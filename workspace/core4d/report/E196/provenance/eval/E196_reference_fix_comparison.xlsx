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2"/>
    <sheet name="Paired Comparison" sheetId="2" state="visible" r:id="rId3"/>
    <sheet name="By Object" sheetId="3" state="visible" r:id="rId4"/>
    <sheet name="12-Gate" sheetId="4" state="visible" r:id="rId5"/>
    <sheet name="Integrity Audit" sheetId="5" state="visible" r:id="rId6"/>
    <sheet name="Case Metrics" sheetId="6" state="visible" r:id="rId7"/>
  </sheets>
  <definedNames>
    <definedName function="false" hidden="true" localSheetId="3" name="_xlnm._FilterDatabase" vbProcedure="false">'12-Gate'!$A$4:$I$700</definedName>
    <definedName function="false" hidden="true" localSheetId="2" name="_xlnm._FilterDatabase" vbProcedure="false">'By Object'!$A$4:$O$116</definedName>
    <definedName function="false" hidden="true" localSheetId="5" name="_xlnm._FilterDatabase" vbProcedure="false">'Case Metrics'!$A$4:$IH$91</definedName>
    <definedName function="false" hidden="true" localSheetId="4" name="_xlnm._FilterDatabase" vbProcedure="false">'Integrity Audit'!$A$4:$AO$33</definedName>
    <definedName function="false" hidden="true" localSheetId="1" name="_xlnm._FilterDatabase" vbProcedure="false">'Paired Comparison'!$A$4:$M$816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K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2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2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2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2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2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2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2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2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2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2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3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3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3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3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3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3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3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3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3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3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4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4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4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4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4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4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4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4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4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4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5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5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5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5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5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5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5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5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5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5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6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6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6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6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6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6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6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6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6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6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7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7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7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7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7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7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7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7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7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7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8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8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8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8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8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8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8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8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8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8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9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9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9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9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9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9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9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9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9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9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0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0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0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0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0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0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0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0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0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0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1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1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1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1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1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1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K11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2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2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2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2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2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2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2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2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2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2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3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3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3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3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3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3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3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3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3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3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4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4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4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4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4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4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4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4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4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4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5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5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5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5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5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5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5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5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5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5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6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6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6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6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6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6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6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6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6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6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7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7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7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7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7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7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7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7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7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7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8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8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8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8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8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8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8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8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8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8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9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9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9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9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9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9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9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9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9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9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0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0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0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0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0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0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0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0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0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0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1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1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1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1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1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1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L11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2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2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2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2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2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2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2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2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2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2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3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3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3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3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3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3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3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3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3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3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4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4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4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4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4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4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4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4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4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4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5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5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5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5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5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5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5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5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5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5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6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6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6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6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6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6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6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6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6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6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7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7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7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7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7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7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7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7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7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7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8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8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8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8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8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8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8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8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8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8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9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9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9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9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9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9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9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9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9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9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0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0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0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0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0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0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0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07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08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09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10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11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12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13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14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15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  <comment ref="M116" authorId="0">
      <text>
        <r>
          <rPr>
            <sz val="11"/>
            <color rgb="FF000000"/>
            <rFont val="Calibri"/>
            <family val="2"/>
            <charset val="1"/>
          </rPr>
          <t xml:space="preserve">Source: e196_reference_fix_by_object.tsv; paired bootstrap 10,000 draws with frozen seed.</t>
        </r>
      </text>
    </comment>
  </commentList>
</comments>
</file>

<file path=xl/sharedStrings.xml><?xml version="1.0" encoding="utf-8"?>
<sst xmlns="http://schemas.openxmlformats.org/spreadsheetml/2006/main" count="14820" uniqueCount="1189">
  <si>
    <t xml:space="preserve">E196 reference-fix comparison</t>
  </si>
  <si>
    <t xml:space="preserve">29 affected cases; formulas recalculate deltas and direction-aware improvements.</t>
  </si>
  <si>
    <t xml:space="preserve">Decision</t>
  </si>
  <si>
    <t xml:space="preserve">REFERENCE_FIX_VALIDATED_G1_IMPROVES</t>
  </si>
  <si>
    <t xml:space="preserve">Technical reference contract and corrected G1 performance are separate claims</t>
  </si>
  <si>
    <t xml:space="preserve">Scope</t>
  </si>
  <si>
    <t xml:space="preserve">29 mismatch cases</t>
  </si>
  <si>
    <t xml:space="preserve">box001=21; box023=8</t>
  </si>
  <si>
    <t xml:space="preserve">box001 primary excludes box001_20231023_110_p1</t>
  </si>
  <si>
    <t xml:space="preserve">Arms</t>
  </si>
  <si>
    <t xml:space="preserve">PRG</t>
  </si>
  <si>
    <t xml:space="preserve">G1 contaminated (E194)</t>
  </si>
  <si>
    <t xml:space="preserve">G1 corrected (E196)</t>
  </si>
  <si>
    <t xml:space="preserve">Delta</t>
  </si>
  <si>
    <t xml:space="preserve">Raw delta = candidate - baseline</t>
  </si>
  <si>
    <t xml:space="preserve">Improvement flips sign for lower-is-better metrics</t>
  </si>
  <si>
    <t xml:space="preserve">Positive improvement is always better</t>
  </si>
  <si>
    <t xml:space="preserve">Color</t>
  </si>
  <si>
    <t xml:space="preserve">Improvement &gt;0 green</t>
  </si>
  <si>
    <t xml:space="preserve">Improvement =0 yellow</t>
  </si>
  <si>
    <t xml:space="preserve">Improvement &lt;0 red</t>
  </si>
  <si>
    <t xml:space="preserve">Integrity</t>
  </si>
  <si>
    <t xml:space="preserve">29/29 pass</t>
  </si>
  <si>
    <t xml:space="preserve">runtime/meta/XML parity</t>
  </si>
  <si>
    <t xml:space="preserve">target max &lt;1e-4 deg</t>
  </si>
  <si>
    <t xml:space="preserve">CI</t>
  </si>
  <si>
    <t xml:space="preserve">10,000 paired bootstrap draws</t>
  </si>
  <si>
    <t xml:space="preserve">seed fixed per row</t>
  </si>
  <si>
    <t xml:space="preserve">CI cells are evidence values; workbook means/deltas are formulas</t>
  </si>
  <si>
    <t xml:space="preserve">Sources</t>
  </si>
  <si>
    <t xml:space="preserve">e196_reference_fix_by_case.tsv</t>
  </si>
  <si>
    <t xml:space="preserve">e196_reference_integrity_audit.tsv</t>
  </si>
  <si>
    <t xml:space="preserve">e196_reference_fix_by_object.tsv</t>
  </si>
  <si>
    <t xml:space="preserve">Same-case paired comparison</t>
  </si>
  <si>
    <t xml:space="preserve">Raw Delta = candidate-baseline. Improvement is direction-aware; positive is always better.</t>
  </si>
  <si>
    <t xml:space="preserve">Comparison</t>
  </si>
  <si>
    <t xml:space="preserve">Baseline arm</t>
  </si>
  <si>
    <t xml:space="preserve">Candidate arm</t>
  </si>
  <si>
    <t xml:space="preserve">Case</t>
  </si>
  <si>
    <t xml:space="preserve">Object</t>
  </si>
  <si>
    <t xml:space="preserve">Box001 primary</t>
  </si>
  <si>
    <t xml:space="preserve">Metric key</t>
  </si>
  <si>
    <t xml:space="preserve">Metric</t>
  </si>
  <si>
    <t xml:space="preserve">Direction</t>
  </si>
  <si>
    <t xml:space="preserve">Baseline value</t>
  </si>
  <si>
    <t xml:space="preserve">Candidate value</t>
  </si>
  <si>
    <t xml:space="preserve">Raw Delta</t>
  </si>
  <si>
    <t xml:space="preserve">Improvement</t>
  </si>
  <si>
    <t xml:space="preserve">corrected_vs_prg</t>
  </si>
  <si>
    <t xml:space="preserve">G1 corrected</t>
  </si>
  <si>
    <t xml:space="preserve">box001_20231003_2_041_p1</t>
  </si>
  <si>
    <t xml:space="preserve">box001</t>
  </si>
  <si>
    <t xml:space="preserve">track_obj_z_abs_err_cm_mean</t>
  </si>
  <si>
    <t xml:space="preserve">Object z MAE (cm)</t>
  </si>
  <si>
    <t xml:space="preserve">lower</t>
  </si>
  <si>
    <t xml:space="preserve">track_obj_pos_err_cm_mean</t>
  </si>
  <si>
    <t xml:space="preserve">Object 3D position error (cm)</t>
  </si>
  <si>
    <t xml:space="preserve">track_obj_ori_err_deg_mean</t>
  </si>
  <si>
    <t xml:space="preserve">Object orientation error (deg)</t>
  </si>
  <si>
    <t xml:space="preserve">body_z_err_p95_m</t>
  </si>
  <si>
    <t xml:space="preserve">Body z error p95 (m)</t>
  </si>
  <si>
    <t xml:space="preserve">track_root_pos_err_cm_mean</t>
  </si>
  <si>
    <t xml:space="preserve">Body/root position error (cm)</t>
  </si>
  <si>
    <t xml:space="preserve">track_root_ori_err_deg_mean</t>
  </si>
  <si>
    <t xml:space="preserve">Body/root orientation error (deg)</t>
  </si>
  <si>
    <t xml:space="preserve">track_eef_pos_err_cm_mean</t>
  </si>
  <si>
    <t xml:space="preserve">Combined hand position error (cm)</t>
  </si>
  <si>
    <t xml:space="preserve">track_eef_ori_err_deg_mean</t>
  </si>
  <si>
    <t xml:space="preserve">Combined hand orientation error (deg)</t>
  </si>
  <si>
    <t xml:space="preserve">hand_object_physics_contact_3mm_in_mask_frac</t>
  </si>
  <si>
    <t xml:space="preserve">3 mm contact fraction</t>
  </si>
  <si>
    <t xml:space="preserve">higher</t>
  </si>
  <si>
    <t xml:space="preserve">hand_object_physics_contact_in_mask_frac</t>
  </si>
  <si>
    <t xml:space="preserve">Raw contact fraction</t>
  </si>
  <si>
    <t xml:space="preserve">hand_object_release_false_contact_3mm_frac</t>
  </si>
  <si>
    <t xml:space="preserve">False release fraction</t>
  </si>
  <si>
    <t xml:space="preserve">hand_object_physics_penetration_3mm_frame_frac</t>
  </si>
  <si>
    <t xml:space="preserve">Hand penetration fraction</t>
  </si>
  <si>
    <t xml:space="preserve">leg_penetration_frac</t>
  </si>
  <si>
    <t xml:space="preserve">Leg penetration fraction</t>
  </si>
  <si>
    <t xml:space="preserve">fall_flag</t>
  </si>
  <si>
    <t xml:space="preserve">Fall flag</t>
  </si>
  <si>
    <t xml:space="preserve">corrected_vs_contaminated_g1</t>
  </si>
  <si>
    <t xml:space="preserve">G1 contaminated</t>
  </si>
  <si>
    <t xml:space="preserve">box001_20231003_1_039_p1</t>
  </si>
  <si>
    <t xml:space="preserve">box001_20231003_1_041_p1</t>
  </si>
  <si>
    <t xml:space="preserve">box001_20231003_2_037_p1</t>
  </si>
  <si>
    <t xml:space="preserve">box001_20231003_2_039_p1</t>
  </si>
  <si>
    <t xml:space="preserve">box001_20231023_107_p2</t>
  </si>
  <si>
    <t xml:space="preserve">box001_20231023_109_p2</t>
  </si>
  <si>
    <t xml:space="preserve">box023_20231008_046_p1</t>
  </si>
  <si>
    <t xml:space="preserve">box023</t>
  </si>
  <si>
    <t xml:space="preserve">box023_20231011_021_p1</t>
  </si>
  <si>
    <t xml:space="preserve">box023_20231020_042_p1</t>
  </si>
  <si>
    <t xml:space="preserve">box001_20231020_014_p1</t>
  </si>
  <si>
    <t xml:space="preserve">box001_20231003_1_040_p1</t>
  </si>
  <si>
    <t xml:space="preserve">box001_20231003_1_042_p1</t>
  </si>
  <si>
    <t xml:space="preserve">box001_20231003_2_037_p2</t>
  </si>
  <si>
    <t xml:space="preserve">box001_20231020_010_p1</t>
  </si>
  <si>
    <t xml:space="preserve">box001_20231023_108_p1</t>
  </si>
  <si>
    <t xml:space="preserve">box001_20231023_110_p1</t>
  </si>
  <si>
    <t xml:space="preserve">box023_20231008_046_p2</t>
  </si>
  <si>
    <t xml:space="preserve">box023_20231020_040_p1</t>
  </si>
  <si>
    <t xml:space="preserve">box023_20231020_042_p2</t>
  </si>
  <si>
    <t xml:space="preserve">box001_20231020_014_p2</t>
  </si>
  <si>
    <t xml:space="preserve">box001_20231003_1_040_p2</t>
  </si>
  <si>
    <t xml:space="preserve">box001_20231003_1_042_p2</t>
  </si>
  <si>
    <t xml:space="preserve">box001_20231003_2_038_p1</t>
  </si>
  <si>
    <t xml:space="preserve">box001_20231020_011_p1</t>
  </si>
  <si>
    <t xml:space="preserve">box001_20231023_108_p2</t>
  </si>
  <si>
    <t xml:space="preserve">box001_20231023_110_p2</t>
  </si>
  <si>
    <t xml:space="preserve">box023_20231011_019_p2</t>
  </si>
  <si>
    <t xml:space="preserve">box023_20231020_040_p2</t>
  </si>
  <si>
    <t xml:space="preserve">By-object formula summary</t>
  </si>
  <si>
    <t xml:space="preserve">Means, deltas, improvements and counts are Excel formulas over Paired Comparison; bootstrap CI uses fixed-seed evidence.</t>
  </si>
  <si>
    <t xml:space="preserve">Subset</t>
  </si>
  <si>
    <t xml:space="preserve">N</t>
  </si>
  <si>
    <t xml:space="preserve">Baseline mean</t>
  </si>
  <si>
    <t xml:space="preserve">Candidate mean</t>
  </si>
  <si>
    <t xml:space="preserve">Median improvement</t>
  </si>
  <si>
    <t xml:space="preserve">Bootstrap 95% CI low</t>
  </si>
  <si>
    <t xml:space="preserve">Bootstrap 95% CI high</t>
  </si>
  <si>
    <t xml:space="preserve">Improved cases</t>
  </si>
  <si>
    <t xml:space="preserve">Worsened cases</t>
  </si>
  <si>
    <t xml:space="preserve">ALL_AFFECTED_29</t>
  </si>
  <si>
    <t xml:space="preserve">BOX001_ALL_AFFECTED_21</t>
  </si>
  <si>
    <t xml:space="preserve">BOX001_PRIMARY_20</t>
  </si>
  <si>
    <t xml:space="preserve">BOX023_8</t>
  </si>
  <si>
    <t xml:space="preserve">Twelve-gate migrations</t>
  </si>
  <si>
    <t xml:space="preserve">Every case and gate is shown for corrected G1 against PRG and contaminated G1.</t>
  </si>
  <si>
    <t xml:space="preserve">Gate</t>
  </si>
  <si>
    <t xml:space="preserve">Baseline pass</t>
  </si>
  <si>
    <t xml:space="preserve">Candidate pass</t>
  </si>
  <si>
    <t xml:space="preserve">Migration</t>
  </si>
  <si>
    <t xml:space="preserve">fall</t>
  </si>
  <si>
    <t xml:space="preserve">body_z</t>
  </si>
  <si>
    <t xml:space="preserve">contact</t>
  </si>
  <si>
    <t xml:space="preserve">release</t>
  </si>
  <si>
    <t xml:space="preserve">hand_penetration</t>
  </si>
  <si>
    <t xml:space="preserve">lower_body</t>
  </si>
  <si>
    <t xml:space="preserve">root_pos</t>
  </si>
  <si>
    <t xml:space="preserve">root_ori</t>
  </si>
  <si>
    <t xml:space="preserve">hand_pos</t>
  </si>
  <si>
    <t xml:space="preserve">hand_ori</t>
  </si>
  <si>
    <t xml:space="preserve">object_pos</t>
  </si>
  <si>
    <t xml:space="preserve">object_ori</t>
  </si>
  <si>
    <t xml:space="preserve">Reference-integrity audit</t>
  </si>
  <si>
    <t xml:space="preserve">Hardcoded source evidence; derived calculations are kept in formula-driven sheets.</t>
  </si>
  <si>
    <t xml:space="preserve">case_id</t>
  </si>
  <si>
    <t xml:space="preserve">object_key</t>
  </si>
  <si>
    <t xml:space="preserve">retarget_variant_id</t>
  </si>
  <si>
    <t xml:space="preserve">worker</t>
  </si>
  <si>
    <t xml:space="preserve">runtime_euler_convention</t>
  </si>
  <si>
    <t xml:space="preserve">xml_hinge_axis_sequence</t>
  </si>
  <si>
    <t xml:space="preserve">runtime_convention_matches_xml_axes</t>
  </si>
  <si>
    <t xml:space="preserve">current_meta_exists</t>
  </si>
  <si>
    <t xml:space="preserve">current_meta_euler_convention</t>
  </si>
  <si>
    <t xml:space="preserve">current_meta_matches_runtime</t>
  </si>
  <si>
    <t xml:space="preserve">cluster7</t>
  </si>
  <si>
    <t xml:space="preserve">public_prg_to_g1_delta_deg</t>
  </si>
  <si>
    <t xml:space="preserve">public_g1_ori_err_deg_mean</t>
  </si>
  <si>
    <t xml:space="preserve">g1_vs_raw_ori_err_recomputed_deg_mean</t>
  </si>
  <si>
    <t xml:space="preserve">g1_vs_raw_ori_err_reproduction_abs_diff_deg</t>
  </si>
  <si>
    <t xml:space="preserve">runtime_target_vs_raw_pos_err_cm_mean</t>
  </si>
  <si>
    <t xml:space="preserve">runtime_target_vs_raw_pos_err_cm_max</t>
  </si>
  <si>
    <t xml:space="preserve">axis_target_vs_raw_pos_err_cm_max</t>
  </si>
  <si>
    <t xml:space="preserve">g1_raw_minus_runtime_target_err_deg_mean</t>
  </si>
  <si>
    <t xml:space="preserve">frames</t>
  </si>
  <si>
    <t xml:space="preserve">runtime_log</t>
  </si>
  <si>
    <t xml:space="preserve">current_meta_path</t>
  </si>
  <si>
    <t xml:space="preserve">scene_xml</t>
  </si>
  <si>
    <t xml:space="preserve">trajectory</t>
  </si>
  <si>
    <t xml:space="preserve">g1_rollout</t>
  </si>
  <si>
    <t xml:space="preserve">runtime_target_vs_raw_ori_err_deg_mean</t>
  </si>
  <si>
    <t xml:space="preserve">runtime_target_vs_raw_ori_err_deg_median</t>
  </si>
  <si>
    <t xml:space="preserve">runtime_target_vs_raw_ori_err_deg_p95</t>
  </si>
  <si>
    <t xml:space="preserve">runtime_target_vs_raw_ori_err_deg_max</t>
  </si>
  <si>
    <t xml:space="preserve">axis_target_vs_raw_ori_err_deg_mean</t>
  </si>
  <si>
    <t xml:space="preserve">axis_target_vs_raw_ori_err_deg_median</t>
  </si>
  <si>
    <t xml:space="preserve">axis_target_vs_raw_ori_err_deg_p95</t>
  </si>
  <si>
    <t xml:space="preserve">axis_target_vs_raw_ori_err_deg_max</t>
  </si>
  <si>
    <t xml:space="preserve">g1_vs_runtime_target_ori_err_deg_mean</t>
  </si>
  <si>
    <t xml:space="preserve">g1_vs_runtime_target_ori_err_deg_median</t>
  </si>
  <si>
    <t xml:space="preserve">g1_vs_runtime_target_ori_err_deg_p95</t>
  </si>
  <si>
    <t xml:space="preserve">g1_vs_runtime_target_ori_err_deg_max</t>
  </si>
  <si>
    <t xml:space="preserve">expected_meta_sha256</t>
  </si>
  <si>
    <t xml:space="preserve">expected_convention</t>
  </si>
  <si>
    <t xml:space="preserve">reference_contract_version</t>
  </si>
  <si>
    <t xml:space="preserve">integrity_pass</t>
  </si>
  <si>
    <t xml:space="preserve">omnirt_v1</t>
  </si>
  <si>
    <t xml:space="preserve">local-gpu0</t>
  </si>
  <si>
    <t xml:space="preserve">XZY</t>
  </si>
  <si>
    <t xml:space="preserve">logs/E196/cem/full_reference_fix/E196_box001_20231003_2_041_p1_G1_reference_fix.log</t>
  </si>
  <si>
    <t xml:space="preserve">example_datasets/processed/core4d/unitree_g1/humanoid_object/dcv3_omnirt_v1_ref_fk_box001_20231003_2_041_p1/scene_act_meta.json</t>
  </si>
  <si>
    <t xml:space="preserve">example_datasets/processed/core4d/unitree_g1/humanoid_object/dcv3_omnirt_v1_ref_fk_box001_20231003_2_041_p1/scene_act_E194_G1_expansion_rubberHull_PRG_gravcomp.xml</t>
  </si>
  <si>
    <t xml:space="preserve">example_datasets/processed/core4d/unitree_g1/humanoid_object/dcv3_omnirt_v1_ref_fk_box001_20231003_2_041_p1/0/trajectory_kinematic.npz</t>
  </si>
  <si>
    <t xml:space="preserve">/home/ubuntu/Workspace/spider/workspace/core4d/results/E196/s6_downstream/cem/full_reference_fix/E196_box001_20231003_2_041_p1_G1_reference_fix_outdir/trajectory_mjwp_act.npz</t>
  </si>
  <si>
    <t xml:space="preserve">0a2150f97b0253275bef08d1f3643e86feb44005054aaa1e7b0ac4571de1e70c</t>
  </si>
  <si>
    <t xml:space="preserve">E196-v1-fail-closed-compiled-axis</t>
  </si>
  <si>
    <t xml:space="preserve">logs/E196/cem/full_reference_fix/E196_box001_20231003_1_039_p1_G1_reference_fix.log</t>
  </si>
  <si>
    <t xml:space="preserve">example_datasets/processed/core4d/unitree_g1/humanoid_object/dcv3_omnirt_v1_ref_fk_box001_20231003_1_039_p1/scene_act_meta.json</t>
  </si>
  <si>
    <t xml:space="preserve">example_datasets/processed/core4d/unitree_g1/humanoid_object/dcv3_omnirt_v1_ref_fk_box001_20231003_1_039_p1/scene_act_E194_G1_expansion_rubberHull_PRG_gravcomp.xml</t>
  </si>
  <si>
    <t xml:space="preserve">example_datasets/processed/core4d/unitree_g1/humanoid_object/dcv3_omnirt_v1_ref_fk_box001_20231003_1_039_p1/0/trajectory_kinematic.npz</t>
  </si>
  <si>
    <t xml:space="preserve">/home/ubuntu/Workspace/spider/workspace/core4d/results/E196/s6_downstream/cem/full_reference_fix/E196_box001_20231003_1_039_p1_G1_reference_fix_outdir/trajectory_mjwp_act.npz</t>
  </si>
  <si>
    <t xml:space="preserve">omnirt_v2</t>
  </si>
  <si>
    <t xml:space="preserve">ZYX</t>
  </si>
  <si>
    <t xml:space="preserve">logs/E196/cem/full_reference_fix/E196_box001_20231003_1_041_p1_G1_reference_fix.log</t>
  </si>
  <si>
    <t xml:space="preserve">example_datasets/processed/core4d/unitree_g1/humanoid_object/dcv3_omnirt_v2_ref_fk_box001_20231003_1_041_p1/scene_act_meta.json</t>
  </si>
  <si>
    <t xml:space="preserve">example_datasets/processed/core4d/unitree_g1/humanoid_object/dcv3_omnirt_v2_ref_fk_box001_20231003_1_041_p1/scene_act_E194_G1_expansion_rubberHull_PRG_gravcomp.xml</t>
  </si>
  <si>
    <t xml:space="preserve">example_datasets/processed/core4d/unitree_g1/humanoid_object/dcv3_omnirt_v2_ref_fk_box001_20231003_1_041_p1/0/trajectory_kinematic.npz</t>
  </si>
  <si>
    <t xml:space="preserve">/home/ubuntu/Workspace/spider/workspace/core4d/results/E196/s6_downstream/cem/full_reference_fix/E196_box001_20231003_1_041_p1_G1_reference_fix_outdir/trajectory_mjwp_act.npz</t>
  </si>
  <si>
    <t xml:space="preserve">75edfa8c21cd66ad755820b38e88965b10f11e9860e4c9e529415ac4d608d4b9</t>
  </si>
  <si>
    <t xml:space="preserve">logs/E196/cem/full_reference_fix/E196_box001_20231003_2_037_p1_G1_reference_fix.log</t>
  </si>
  <si>
    <t xml:space="preserve">example_datasets/processed/core4d/unitree_g1/humanoid_object/dcv3_omnirt_v1_ref_fk_box001_20231003_2_037_p1/scene_act_meta.json</t>
  </si>
  <si>
    <t xml:space="preserve">example_datasets/processed/core4d/unitree_g1/humanoid_object/dcv3_omnirt_v1_ref_fk_box001_20231003_2_037_p1/scene_act_E194_G1_expansion_rubberHull_PRG_gravcomp.xml</t>
  </si>
  <si>
    <t xml:space="preserve">example_datasets/processed/core4d/unitree_g1/humanoid_object/dcv3_omnirt_v1_ref_fk_box001_20231003_2_037_p1/0/trajectory_kinematic.npz</t>
  </si>
  <si>
    <t xml:space="preserve">/home/ubuntu/Workspace/spider/workspace/core4d/results/E196/s6_downstream/cem/full_reference_fix/E196_box001_20231003_2_037_p1_G1_reference_fix_outdir/trajectory_mjwp_act.npz</t>
  </si>
  <si>
    <t xml:space="preserve">logs/E196/cem/full_reference_fix/E196_box001_20231003_2_039_p1_G1_reference_fix.log</t>
  </si>
  <si>
    <t xml:space="preserve">example_datasets/processed/core4d/unitree_g1/humanoid_object/dcv3_omnirt_v2_ref_fk_box001_20231003_2_039_p1/scene_act_meta.json</t>
  </si>
  <si>
    <t xml:space="preserve">example_datasets/processed/core4d/unitree_g1/humanoid_object/dcv3_omnirt_v2_ref_fk_box001_20231003_2_039_p1/scene_act_E194_G1_expansion_rubberHull_PRG_gravcomp.xml</t>
  </si>
  <si>
    <t xml:space="preserve">example_datasets/processed/core4d/unitree_g1/humanoid_object/dcv3_omnirt_v2_ref_fk_box001_20231003_2_039_p1/0/trajectory_kinematic.npz</t>
  </si>
  <si>
    <t xml:space="preserve">/home/ubuntu/Workspace/spider/workspace/core4d/results/E196/s6_downstream/cem/full_reference_fix/E196_box001_20231003_2_039_p1_G1_reference_fix_outdir/trajectory_mjwp_act.npz</t>
  </si>
  <si>
    <t xml:space="preserve">logs/E196/cem/full_reference_fix/E196_box001_20231023_107_p2_G1_reference_fix.log</t>
  </si>
  <si>
    <t xml:space="preserve">example_datasets/processed/core4d/unitree_g1/humanoid_object/dcv3_omnirt_v1_ref_fk_box001_20231023_107_p2/scene_act_meta.json</t>
  </si>
  <si>
    <t xml:space="preserve">example_datasets/processed/core4d/unitree_g1/humanoid_object/dcv3_omnirt_v1_ref_fk_box001_20231023_107_p2/scene_act_E194_G1_expansion_rubberHull_PRG_gravcomp.xml</t>
  </si>
  <si>
    <t xml:space="preserve">example_datasets/processed/core4d/unitree_g1/humanoid_object/dcv3_omnirt_v1_ref_fk_box001_20231023_107_p2/0/trajectory_kinematic.npz</t>
  </si>
  <si>
    <t xml:space="preserve">/home/ubuntu/Workspace/spider/workspace/core4d/results/E196/s6_downstream/cem/full_reference_fix/E196_box001_20231023_107_p2_G1_reference_fix_outdir/trajectory_mjwp_act.npz</t>
  </si>
  <si>
    <t xml:space="preserve">logs/E196/cem/full_reference_fix/E196_box001_20231023_109_p2_G1_reference_fix.log</t>
  </si>
  <si>
    <t xml:space="preserve">example_datasets/processed/core4d/unitree_g1/humanoid_object/dcv3_omnirt_v1_ref_fk_box001_20231023_109_p2/scene_act_meta.json</t>
  </si>
  <si>
    <t xml:space="preserve">example_datasets/processed/core4d/unitree_g1/humanoid_object/dcv3_omnirt_v1_ref_fk_box001_20231023_109_p2/scene_act_E194_G1_expansion_rubberHull_PRG_gravcomp.xml</t>
  </si>
  <si>
    <t xml:space="preserve">example_datasets/processed/core4d/unitree_g1/humanoid_object/dcv3_omnirt_v1_ref_fk_box001_20231023_109_p2/0/trajectory_kinematic.npz</t>
  </si>
  <si>
    <t xml:space="preserve">/home/ubuntu/Workspace/spider/workspace/core4d/results/E196/s6_downstream/cem/full_reference_fix/E196_box001_20231023_109_p2_G1_reference_fix_outdir/trajectory_mjwp_act.npz</t>
  </si>
  <si>
    <t xml:space="preserve">logs/E196/cem/full_reference_fix/E196_box023_20231008_046_p1_G1_reference_fix.log</t>
  </si>
  <si>
    <t xml:space="preserve">example_datasets/processed/core4d/unitree_g1/humanoid_object/dcv3_omnirt_v1_ref_fk_box023_20231008_046_p1/scene_act_meta.json</t>
  </si>
  <si>
    <t xml:space="preserve">example_datasets/processed/core4d/unitree_g1/humanoid_object/dcv3_omnirt_v1_ref_fk_box023_20231008_046_p1/scene_act_E194_G1_expansion_rubberHull_PRG_gravcomp.xml</t>
  </si>
  <si>
    <t xml:space="preserve">example_datasets/processed/core4d/unitree_g1/humanoid_object/dcv3_omnirt_v1_ref_fk_box023_20231008_046_p1/0/trajectory_kinematic.npz</t>
  </si>
  <si>
    <t xml:space="preserve">/home/ubuntu/Workspace/spider/workspace/core4d/results/E196/s6_downstream/cem/full_reference_fix/E196_box023_20231008_046_p1_G1_reference_fix_outdir/trajectory_mjwp_act.npz</t>
  </si>
  <si>
    <t xml:space="preserve">40cb82c8fe5a3dc06685d3f06832592d5b7db7cd447fd4061c468f4b8e2f4edb</t>
  </si>
  <si>
    <t xml:space="preserve">logs/E196/cem/full_reference_fix/E196_box023_20231011_021_p1_G1_reference_fix.log</t>
  </si>
  <si>
    <t xml:space="preserve">example_datasets/processed/core4d/unitree_g1/humanoid_object/dcv3_omnirt_v1_ref_fk_box023_20231011_021_p1/scene_act_meta.json</t>
  </si>
  <si>
    <t xml:space="preserve">example_datasets/processed/core4d/unitree_g1/humanoid_object/dcv3_omnirt_v1_ref_fk_box023_20231011_021_p1/scene_act_E194_G1_expansion_rubberHull_PRG_gravcomp.xml</t>
  </si>
  <si>
    <t xml:space="preserve">example_datasets/processed/core4d/unitree_g1/humanoid_object/dcv3_omnirt_v1_ref_fk_box023_20231011_021_p1/0/trajectory_kinematic.npz</t>
  </si>
  <si>
    <t xml:space="preserve">/home/ubuntu/Workspace/spider/workspace/core4d/results/E196/s6_downstream/cem/full_reference_fix/E196_box023_20231011_021_p1_G1_reference_fix_outdir/trajectory_mjwp_act.npz</t>
  </si>
  <si>
    <t xml:space="preserve">8a7721efaa78f204293f777175b4e421eff824d45cb20c1296be39d8db4d1a94</t>
  </si>
  <si>
    <t xml:space="preserve">logs/E196/cem/full_reference_fix/E196_box023_20231020_042_p1_G1_reference_fix.log</t>
  </si>
  <si>
    <t xml:space="preserve">example_datasets/processed/core4d/unitree_g1/humanoid_object/dcv3_omnirt_v1_ref_fk_box023_20231020_042_p1/scene_act_meta.json</t>
  </si>
  <si>
    <t xml:space="preserve">example_datasets/processed/core4d/unitree_g1/humanoid_object/dcv3_omnirt_v1_ref_fk_box023_20231020_042_p1/scene_act_E194_G1_expansion_rubberHull_PRG_gravcomp.xml</t>
  </si>
  <si>
    <t xml:space="preserve">example_datasets/processed/core4d/unitree_g1/humanoid_object/dcv3_omnirt_v1_ref_fk_box023_20231020_042_p1/0/trajectory_kinematic.npz</t>
  </si>
  <si>
    <t xml:space="preserve">/home/ubuntu/Workspace/spider/workspace/core4d/results/E196/s6_downstream/cem/full_reference_fix/E196_box023_20231020_042_p1_G1_reference_fix_outdir/trajectory_mjwp_act.npz</t>
  </si>
  <si>
    <t xml:space="preserve">ada-gpu0</t>
  </si>
  <si>
    <t xml:space="preserve">logs/E196/cem/full_reference_fix/E196_box001_20231020_014_p1_G1_reference_fix.log</t>
  </si>
  <si>
    <t xml:space="preserve">example_datasets/processed/core4d/unitree_g1/humanoid_object/dcv3_omnirt_v1_ref_fk_box001_20231020_014_p1/scene_act_meta.json</t>
  </si>
  <si>
    <t xml:space="preserve">example_datasets/processed/core4d/unitree_g1/humanoid_object/dcv3_omnirt_v1_ref_fk_box001_20231020_014_p1/scene_act_E194_G1_expansion_rubberHull_PRG_gravcomp.xml</t>
  </si>
  <si>
    <t xml:space="preserve">example_datasets/processed/core4d/unitree_g1/humanoid_object/dcv3_omnirt_v1_ref_fk_box001_20231020_014_p1/0/trajectory_kinematic.npz</t>
  </si>
  <si>
    <t xml:space="preserve">/home/ubuntu/Workspace/spider/workspace/core4d/results/E196/s6_downstream/cem/full_reference_fix/E196_box001_20231020_014_p1_G1_reference_fix_outdir/trajectory_mjwp_act.npz</t>
  </si>
  <si>
    <t xml:space="preserve">logs/E196/cem/full_reference_fix/E196_box001_20231003_1_040_p1_G1_reference_fix.log</t>
  </si>
  <si>
    <t xml:space="preserve">example_datasets/processed/core4d/unitree_g1/humanoid_object/dcv3_omnirt_v1_ref_fk_box001_20231003_1_040_p1/scene_act_meta.json</t>
  </si>
  <si>
    <t xml:space="preserve">example_datasets/processed/core4d/unitree_g1/humanoid_object/dcv3_omnirt_v1_ref_fk_box001_20231003_1_040_p1/scene_act_E194_G1_expansion_rubberHull_PRG_gravcomp.xml</t>
  </si>
  <si>
    <t xml:space="preserve">example_datasets/processed/core4d/unitree_g1/humanoid_object/dcv3_omnirt_v1_ref_fk_box001_20231003_1_040_p1/0/trajectory_kinematic.npz</t>
  </si>
  <si>
    <t xml:space="preserve">/home/ubuntu/Workspace/spider/workspace/core4d/results/E196/s6_downstream/cem/full_reference_fix/E196_box001_20231003_1_040_p1_G1_reference_fix_outdir/trajectory_mjwp_act.npz</t>
  </si>
  <si>
    <t xml:space="preserve">logs/E196/cem/full_reference_fix/E196_box001_20231003_1_042_p1_G1_reference_fix.log</t>
  </si>
  <si>
    <t xml:space="preserve">example_datasets/processed/core4d/unitree_g1/humanoid_object/dcv3_omnirt_v1_ref_fk_box001_20231003_1_042_p1/scene_act_meta.json</t>
  </si>
  <si>
    <t xml:space="preserve">example_datasets/processed/core4d/unitree_g1/humanoid_object/dcv3_omnirt_v1_ref_fk_box001_20231003_1_042_p1/scene_act_E194_G1_expansion_rubberHull_PRG_gravcomp.xml</t>
  </si>
  <si>
    <t xml:space="preserve">example_datasets/processed/core4d/unitree_g1/humanoid_object/dcv3_omnirt_v1_ref_fk_box001_20231003_1_042_p1/0/trajectory_kinematic.npz</t>
  </si>
  <si>
    <t xml:space="preserve">/home/ubuntu/Workspace/spider/workspace/core4d/results/E196/s6_downstream/cem/full_reference_fix/E196_box001_20231003_1_042_p1_G1_reference_fix_outdir/trajectory_mjwp_act.npz</t>
  </si>
  <si>
    <t xml:space="preserve">logs/E196/cem/full_reference_fix/E196_box001_20231003_2_037_p2_G1_reference_fix.log</t>
  </si>
  <si>
    <t xml:space="preserve">example_datasets/processed/core4d/unitree_g1/humanoid_object/dcv3_omnirt_v1_ref_fk_box001_20231003_2_037_p2/scene_act_meta.json</t>
  </si>
  <si>
    <t xml:space="preserve">example_datasets/processed/core4d/unitree_g1/humanoid_object/dcv3_omnirt_v1_ref_fk_box001_20231003_2_037_p2/scene_act_E194_G1_expansion_rubberHull_PRG_gravcomp.xml</t>
  </si>
  <si>
    <t xml:space="preserve">example_datasets/processed/core4d/unitree_g1/humanoid_object/dcv3_omnirt_v1_ref_fk_box001_20231003_2_037_p2/0/trajectory_kinematic.npz</t>
  </si>
  <si>
    <t xml:space="preserve">/home/ubuntu/Workspace/spider/workspace/core4d/results/E196/s6_downstream/cem/full_reference_fix/E196_box001_20231003_2_037_p2_G1_reference_fix_outdir/trajectory_mjwp_act.npz</t>
  </si>
  <si>
    <t xml:space="preserve">logs/E196/cem/full_reference_fix/E196_box001_20231020_010_p1_G1_reference_fix.log</t>
  </si>
  <si>
    <t xml:space="preserve">example_datasets/processed/core4d/unitree_g1/humanoid_object/dcv3_omnirt_v1_ref_fk_box001_20231020_010_p1/scene_act_meta.json</t>
  </si>
  <si>
    <t xml:space="preserve">example_datasets/processed/core4d/unitree_g1/humanoid_object/dcv3_omnirt_v1_ref_fk_box001_20231020_010_p1/scene_act_E194_G1_expansion_rubberHull_PRG_gravcomp.xml</t>
  </si>
  <si>
    <t xml:space="preserve">example_datasets/processed/core4d/unitree_g1/humanoid_object/dcv3_omnirt_v1_ref_fk_box001_20231020_010_p1/0/trajectory_kinematic.npz</t>
  </si>
  <si>
    <t xml:space="preserve">/home/ubuntu/Workspace/spider/workspace/core4d/results/E196/s6_downstream/cem/full_reference_fix/E196_box001_20231020_010_p1_G1_reference_fix_outdir/trajectory_mjwp_act.npz</t>
  </si>
  <si>
    <t xml:space="preserve">logs/E196/cem/full_reference_fix/E196_box001_20231023_108_p1_G1_reference_fix.log</t>
  </si>
  <si>
    <t xml:space="preserve">example_datasets/processed/core4d/unitree_g1/humanoid_object/dcv3_omnirt_v2_ref_fk_box001_20231023_108_p1/scene_act_meta.json</t>
  </si>
  <si>
    <t xml:space="preserve">example_datasets/processed/core4d/unitree_g1/humanoid_object/dcv3_omnirt_v2_ref_fk_box001_20231023_108_p1/scene_act_E194_G1_expansion_rubberHull_PRG_gravcomp.xml</t>
  </si>
  <si>
    <t xml:space="preserve">example_datasets/processed/core4d/unitree_g1/humanoid_object/dcv3_omnirt_v2_ref_fk_box001_20231023_108_p1/0/trajectory_kinematic.npz</t>
  </si>
  <si>
    <t xml:space="preserve">/home/ubuntu/Workspace/spider/workspace/core4d/results/E196/s6_downstream/cem/full_reference_fix/E196_box001_20231023_108_p1_G1_reference_fix_outdir/trajectory_mjwp_act.npz</t>
  </si>
  <si>
    <t xml:space="preserve">logs/E196/cem/full_reference_fix/E196_box001_20231023_110_p1_G1_reference_fix.log</t>
  </si>
  <si>
    <t xml:space="preserve">example_datasets/processed/core4d/unitree_g1/humanoid_object/dcv3_omnirt_v2_ref_fk_box001_20231023_110_p1/scene_act_meta.json</t>
  </si>
  <si>
    <t xml:space="preserve">example_datasets/processed/core4d/unitree_g1/humanoid_object/dcv3_omnirt_v2_ref_fk_box001_20231023_110_p1/scene_act_E194_G1_expansion_rubberHull_PRG_gravcomp.xml</t>
  </si>
  <si>
    <t xml:space="preserve">example_datasets/processed/core4d/unitree_g1/humanoid_object/dcv3_omnirt_v2_ref_fk_box001_20231023_110_p1/0/trajectory_kinematic.npz</t>
  </si>
  <si>
    <t xml:space="preserve">/home/ubuntu/Workspace/spider/workspace/core4d/results/E196/s6_downstream/cem/full_reference_fix/E196_box001_20231023_110_p1_G1_reference_fix_outdir/trajectory_mjwp_act.npz</t>
  </si>
  <si>
    <t xml:space="preserve">logs/E196/cem/full_reference_fix/E196_box023_20231008_046_p2_G1_reference_fix.log</t>
  </si>
  <si>
    <t xml:space="preserve">example_datasets/processed/core4d/unitree_g1/humanoid_object/dcv3_omnirt_v1_ref_fk_box023_20231008_046_p2/scene_act_meta.json</t>
  </si>
  <si>
    <t xml:space="preserve">example_datasets/processed/core4d/unitree_g1/humanoid_object/dcv3_omnirt_v1_ref_fk_box023_20231008_046_p2/scene_act_E194_G1_expansion_rubberHull_PRG_gravcomp.xml</t>
  </si>
  <si>
    <t xml:space="preserve">example_datasets/processed/core4d/unitree_g1/humanoid_object/dcv3_omnirt_v1_ref_fk_box023_20231008_046_p2/0/trajectory_kinematic.npz</t>
  </si>
  <si>
    <t xml:space="preserve">/home/ubuntu/Workspace/spider/workspace/core4d/results/E196/s6_downstream/cem/full_reference_fix/E196_box023_20231008_046_p2_G1_reference_fix_outdir/trajectory_mjwp_act.npz</t>
  </si>
  <si>
    <t xml:space="preserve">logs/E196/cem/full_reference_fix/E196_box023_20231020_040_p1_G1_reference_fix.log</t>
  </si>
  <si>
    <t xml:space="preserve">example_datasets/processed/core4d/unitree_g1/humanoid_object/dcv3_omnirt_v1_ref_fk_box023_20231020_040_p1/scene_act_meta.json</t>
  </si>
  <si>
    <t xml:space="preserve">example_datasets/processed/core4d/unitree_g1/humanoid_object/dcv3_omnirt_v1_ref_fk_box023_20231020_040_p1/scene_act_E194_G1_expansion_rubberHull_PRG_gravcomp.xml</t>
  </si>
  <si>
    <t xml:space="preserve">example_datasets/processed/core4d/unitree_g1/humanoid_object/dcv3_omnirt_v1_ref_fk_box023_20231020_040_p1/0/trajectory_kinematic.npz</t>
  </si>
  <si>
    <t xml:space="preserve">/home/ubuntu/Workspace/spider/workspace/core4d/results/E196/s6_downstream/cem/full_reference_fix/E196_box023_20231020_040_p1_G1_reference_fix_outdir/trajectory_mjwp_act.npz</t>
  </si>
  <si>
    <t xml:space="preserve">logs/E196/cem/full_reference_fix/E196_box023_20231020_042_p2_G1_reference_fix.log</t>
  </si>
  <si>
    <t xml:space="preserve">example_datasets/processed/core4d/unitree_g1/humanoid_object/dcv3_omnirt_v1_ref_fk_box023_20231020_042_p2/scene_act_meta.json</t>
  </si>
  <si>
    <t xml:space="preserve">example_datasets/processed/core4d/unitree_g1/humanoid_object/dcv3_omnirt_v1_ref_fk_box023_20231020_042_p2/scene_act_E194_G1_expansion_rubberHull_PRG_gravcomp.xml</t>
  </si>
  <si>
    <t xml:space="preserve">example_datasets/processed/core4d/unitree_g1/humanoid_object/dcv3_omnirt_v1_ref_fk_box023_20231020_042_p2/0/trajectory_kinematic.npz</t>
  </si>
  <si>
    <t xml:space="preserve">/home/ubuntu/Workspace/spider/workspace/core4d/results/E196/s6_downstream/cem/full_reference_fix/E196_box023_20231020_042_p2_G1_reference_fix_outdir/trajectory_mjwp_act.npz</t>
  </si>
  <si>
    <t xml:space="preserve">ada-gpu1</t>
  </si>
  <si>
    <t xml:space="preserve">logs/E196/cem/full_reference_fix/E196_box001_20231020_014_p2_G1_reference_fix.log</t>
  </si>
  <si>
    <t xml:space="preserve">example_datasets/processed/core4d/unitree_g1/humanoid_object/dcv3_omnirt_v2_ref_fk_box001_20231020_014_p2/scene_act_meta.json</t>
  </si>
  <si>
    <t xml:space="preserve">example_datasets/processed/core4d/unitree_g1/humanoid_object/dcv3_omnirt_v2_ref_fk_box001_20231020_014_p2/scene_act_E194_G1_expansion_rubberHull_PRG_gravcomp.xml</t>
  </si>
  <si>
    <t xml:space="preserve">example_datasets/processed/core4d/unitree_g1/humanoid_object/dcv3_omnirt_v2_ref_fk_box001_20231020_014_p2/0/trajectory_kinematic.npz</t>
  </si>
  <si>
    <t xml:space="preserve">/home/ubuntu/Workspace/spider/workspace/core4d/results/E196/s6_downstream/cem/full_reference_fix/E196_box001_20231020_014_p2_G1_reference_fix_outdir/trajectory_mjwp_act.npz</t>
  </si>
  <si>
    <t xml:space="preserve">logs/E196/cem/full_reference_fix/E196_box001_20231003_1_040_p2_G1_reference_fix.log</t>
  </si>
  <si>
    <t xml:space="preserve">example_datasets/processed/core4d/unitree_g1/humanoid_object/dcv3_omnirt_v2_ref_fk_box001_20231003_1_040_p2/scene_act_meta.json</t>
  </si>
  <si>
    <t xml:space="preserve">example_datasets/processed/core4d/unitree_g1/humanoid_object/dcv3_omnirt_v2_ref_fk_box001_20231003_1_040_p2/scene_act_E194_G1_expansion_rubberHull_PRG_gravcomp.xml</t>
  </si>
  <si>
    <t xml:space="preserve">example_datasets/processed/core4d/unitree_g1/humanoid_object/dcv3_omnirt_v2_ref_fk_box001_20231003_1_040_p2/0/trajectory_kinematic.npz</t>
  </si>
  <si>
    <t xml:space="preserve">/home/ubuntu/Workspace/spider/workspace/core4d/results/E196/s6_downstream/cem/full_reference_fix/E196_box001_20231003_1_040_p2_G1_reference_fix_outdir/trajectory_mjwp_act.npz</t>
  </si>
  <si>
    <t xml:space="preserve">logs/E196/cem/full_reference_fix/E196_box001_20231003_1_042_p2_G1_reference_fix.log</t>
  </si>
  <si>
    <t xml:space="preserve">example_datasets/processed/core4d/unitree_g1/humanoid_object/dcv3_omnirt_v1_ref_fk_box001_20231003_1_042_p2/scene_act_meta.json</t>
  </si>
  <si>
    <t xml:space="preserve">example_datasets/processed/core4d/unitree_g1/humanoid_object/dcv3_omnirt_v1_ref_fk_box001_20231003_1_042_p2/scene_act_E194_G1_expansion_rubberHull_PRG_gravcomp.xml</t>
  </si>
  <si>
    <t xml:space="preserve">example_datasets/processed/core4d/unitree_g1/humanoid_object/dcv3_omnirt_v1_ref_fk_box001_20231003_1_042_p2/0/trajectory_kinematic.npz</t>
  </si>
  <si>
    <t xml:space="preserve">/home/ubuntu/Workspace/spider/workspace/core4d/results/E196/s6_downstream/cem/full_reference_fix/E196_box001_20231003_1_042_p2_G1_reference_fix_outdir/trajectory_mjwp_act.npz</t>
  </si>
  <si>
    <t xml:space="preserve">logs/E196/cem/full_reference_fix/E196_box001_20231003_2_038_p1_G1_reference_fix.log</t>
  </si>
  <si>
    <t xml:space="preserve">example_datasets/processed/core4d/unitree_g1/humanoid_object/dcv3_omnirt_v1_ref_fk_box001_20231003_2_038_p1/scene_act_meta.json</t>
  </si>
  <si>
    <t xml:space="preserve">example_datasets/processed/core4d/unitree_g1/humanoid_object/dcv3_omnirt_v1_ref_fk_box001_20231003_2_038_p1/scene_act_E194_G1_expansion_rubberHull_PRG_gravcomp.xml</t>
  </si>
  <si>
    <t xml:space="preserve">example_datasets/processed/core4d/unitree_g1/humanoid_object/dcv3_omnirt_v1_ref_fk_box001_20231003_2_038_p1/0/trajectory_kinematic.npz</t>
  </si>
  <si>
    <t xml:space="preserve">/home/ubuntu/Workspace/spider/workspace/core4d/results/E196/s6_downstream/cem/full_reference_fix/E196_box001_20231003_2_038_p1_G1_reference_fix_outdir/trajectory_mjwp_act.npz</t>
  </si>
  <si>
    <t xml:space="preserve">logs/E196/cem/full_reference_fix/E196_box001_20231020_011_p1_G1_reference_fix.log</t>
  </si>
  <si>
    <t xml:space="preserve">example_datasets/processed/core4d/unitree_g1/humanoid_object/dcv3_omnirt_v1_ref_fk_box001_20231020_011_p1/scene_act_meta.json</t>
  </si>
  <si>
    <t xml:space="preserve">example_datasets/processed/core4d/unitree_g1/humanoid_object/dcv3_omnirt_v1_ref_fk_box001_20231020_011_p1/scene_act_E194_G1_expansion_rubberHull_PRG_gravcomp.xml</t>
  </si>
  <si>
    <t xml:space="preserve">example_datasets/processed/core4d/unitree_g1/humanoid_object/dcv3_omnirt_v1_ref_fk_box001_20231020_011_p1/0/trajectory_kinematic.npz</t>
  </si>
  <si>
    <t xml:space="preserve">/home/ubuntu/Workspace/spider/workspace/core4d/results/E196/s6_downstream/cem/full_reference_fix/E196_box001_20231020_011_p1_G1_reference_fix_outdir/trajectory_mjwp_act.npz</t>
  </si>
  <si>
    <t xml:space="preserve">logs/E196/cem/full_reference_fix/E196_box001_20231023_108_p2_G1_reference_fix.log</t>
  </si>
  <si>
    <t xml:space="preserve">example_datasets/processed/core4d/unitree_g1/humanoid_object/dcv3_omnirt_v1_ref_fk_box001_20231023_108_p2/scene_act_meta.json</t>
  </si>
  <si>
    <t xml:space="preserve">example_datasets/processed/core4d/unitree_g1/humanoid_object/dcv3_omnirt_v1_ref_fk_box001_20231023_108_p2/scene_act_E194_G1_expansion_rubberHull_PRG_gravcomp.xml</t>
  </si>
  <si>
    <t xml:space="preserve">example_datasets/processed/core4d/unitree_g1/humanoid_object/dcv3_omnirt_v1_ref_fk_box001_20231023_108_p2/0/trajectory_kinematic.npz</t>
  </si>
  <si>
    <t xml:space="preserve">/home/ubuntu/Workspace/spider/workspace/core4d/results/E196/s6_downstream/cem/full_reference_fix/E196_box001_20231023_108_p2_G1_reference_fix_outdir/trajectory_mjwp_act.npz</t>
  </si>
  <si>
    <t xml:space="preserve">logs/E196/cem/full_reference_fix/E196_box001_20231023_110_p2_G1_reference_fix.log</t>
  </si>
  <si>
    <t xml:space="preserve">example_datasets/processed/core4d/unitree_g1/humanoid_object/dcv3_omnirt_v1_ref_fk_box001_20231023_110_p2/scene_act_meta.json</t>
  </si>
  <si>
    <t xml:space="preserve">example_datasets/processed/core4d/unitree_g1/humanoid_object/dcv3_omnirt_v1_ref_fk_box001_20231023_110_p2/scene_act_E194_G1_expansion_rubberHull_PRG_gravcomp.xml</t>
  </si>
  <si>
    <t xml:space="preserve">example_datasets/processed/core4d/unitree_g1/humanoid_object/dcv3_omnirt_v1_ref_fk_box001_20231023_110_p2/0/trajectory_kinematic.npz</t>
  </si>
  <si>
    <t xml:space="preserve">/home/ubuntu/Workspace/spider/workspace/core4d/results/E196/s6_downstream/cem/full_reference_fix/E196_box001_20231023_110_p2_G1_reference_fix_outdir/trajectory_mjwp_act.npz</t>
  </si>
  <si>
    <t xml:space="preserve">logs/E196/cem/full_reference_fix/E196_box023_20231011_019_p2_G1_reference_fix.log</t>
  </si>
  <si>
    <t xml:space="preserve">example_datasets/processed/core4d/unitree_g1/humanoid_object/dcv3_omnirt_v1_ref_fk_box023_20231011_019_p2/scene_act_meta.json</t>
  </si>
  <si>
    <t xml:space="preserve">example_datasets/processed/core4d/unitree_g1/humanoid_object/dcv3_omnirt_v1_ref_fk_box023_20231011_019_p2/scene_act_E194_G1_expansion_rubberHull_PRG_gravcomp.xml</t>
  </si>
  <si>
    <t xml:space="preserve">example_datasets/processed/core4d/unitree_g1/humanoid_object/dcv3_omnirt_v1_ref_fk_box023_20231011_019_p2/0/trajectory_kinematic.npz</t>
  </si>
  <si>
    <t xml:space="preserve">/home/ubuntu/Workspace/spider/workspace/core4d/results/E196/s6_downstream/cem/full_reference_fix/E196_box023_20231011_019_p2_G1_reference_fix_outdir/trajectory_mjwp_act.npz</t>
  </si>
  <si>
    <t xml:space="preserve">logs/E196/cem/full_reference_fix/E196_box023_20231020_040_p2_G1_reference_fix.log</t>
  </si>
  <si>
    <t xml:space="preserve">example_datasets/processed/core4d/unitree_g1/humanoid_object/dcv3_omnirt_v1_ref_fk_box023_20231020_040_p2/scene_act_meta.json</t>
  </si>
  <si>
    <t xml:space="preserve">example_datasets/processed/core4d/unitree_g1/humanoid_object/dcv3_omnirt_v1_ref_fk_box023_20231020_040_p2/scene_act_E194_G1_expansion_rubberHull_PRG_gravcomp.xml</t>
  </si>
  <si>
    <t xml:space="preserve">example_datasets/processed/core4d/unitree_g1/humanoid_object/dcv3_omnirt_v1_ref_fk_box023_20231020_040_p2/0/trajectory_kinematic.npz</t>
  </si>
  <si>
    <t xml:space="preserve">/home/ubuntu/Workspace/spider/workspace/core4d/results/E196/s6_downstream/cem/full_reference_fix/E196_box023_20231020_040_p2_G1_reference_fix_outdir/trajectory_mjwp_act.npz</t>
  </si>
  <si>
    <t xml:space="preserve">Three-arm public-core metrics</t>
  </si>
  <si>
    <t xml:space="preserve">variant</t>
  </si>
  <si>
    <t xml:space="preserve">method</t>
  </si>
  <si>
    <t xml:space="preserve">hand_collision_variant_id</t>
  </si>
  <si>
    <t xml:space="preserve">object_category</t>
  </si>
  <si>
    <t xml:space="preserve">expected_quality</t>
  </si>
  <si>
    <t xml:space="preserve">qpos_path</t>
  </si>
  <si>
    <t xml:space="preserve">qpos_frames</t>
  </si>
  <si>
    <t xml:space="preserve">duration_s</t>
  </si>
  <si>
    <t xml:space="preserve">pelvis_min_m</t>
  </si>
  <si>
    <t xml:space="preserve">pelvis_end_m</t>
  </si>
  <si>
    <t xml:space="preserve">root_xy_displacement_m</t>
  </si>
  <si>
    <t xml:space="preserve">object_xy_displacement_m</t>
  </si>
  <si>
    <t xml:space="preserve">object_z_range_m</t>
  </si>
  <si>
    <t xml:space="preserve">object_floor_contact_frac</t>
  </si>
  <si>
    <t xml:space="preserve">hand_geom_penetration_frac</t>
  </si>
  <si>
    <t xml:space="preserve">hand_geom_penetration_2mm_frac</t>
  </si>
  <si>
    <t xml:space="preserve">hand_geom_penetration_5mm_frac</t>
  </si>
  <si>
    <t xml:space="preserve">hand_geom_deep_penetration_2cm_frac</t>
  </si>
  <si>
    <t xml:space="preserve">hand_object_physics_contact_frac</t>
  </si>
  <si>
    <t xml:space="preserve">hand_object_clean_physics_contact_frac</t>
  </si>
  <si>
    <t xml:space="preserve">hand_object_physics_contact_3mm_frac</t>
  </si>
  <si>
    <t xml:space="preserve">hand_object_physics_contact_5mm_frac</t>
  </si>
  <si>
    <t xml:space="preserve">hand_object_physics_penetration_5mm_frame_frac</t>
  </si>
  <si>
    <t xml:space="preserve">hand_object_con_dist_mean_m</t>
  </si>
  <si>
    <t xml:space="preserve">hand_object_con_dist_min_m</t>
  </si>
  <si>
    <t xml:space="preserve">hand_object_con_dist_frac_lt_neg2mm</t>
  </si>
  <si>
    <t xml:space="preserve">hand_object_con_dist_frac_lt_neg3mm</t>
  </si>
  <si>
    <t xml:space="preserve">hand_object_con_dist_frac_lt_neg5mm</t>
  </si>
  <si>
    <t xml:space="preserve">hand_object_con_deep2mm_frame_frac</t>
  </si>
  <si>
    <t xml:space="preserve">hand_object_con_deep3mm_frame_frac</t>
  </si>
  <si>
    <t xml:space="preserve">hand_object_con_deep5mm_frame_frac</t>
  </si>
  <si>
    <t xml:space="preserve">hand_floor_min_z_m</t>
  </si>
  <si>
    <t xml:space="preserve">hand_floor_near_2cm_frac</t>
  </si>
  <si>
    <t xml:space="preserve">hand_floor_penetration_frac</t>
  </si>
  <si>
    <t xml:space="preserve">hand_floor_physics_contact_frac</t>
  </si>
  <si>
    <t xml:space="preserve">hand_floor_con_dist_mean_m</t>
  </si>
  <si>
    <t xml:space="preserve">hand_floor_con_dist_min_m</t>
  </si>
  <si>
    <t xml:space="preserve">hand_floor_con_dist_frac_lt_neg5mm</t>
  </si>
  <si>
    <t xml:space="preserve">hand_floor_con_deep5mm_frame_frac</t>
  </si>
  <si>
    <t xml:space="preserve">leg_near_2cm_frac</t>
  </si>
  <si>
    <t xml:space="preserve">leg_object_physics_contact_frac</t>
  </si>
  <si>
    <t xml:space="preserve">body_penetration_frac</t>
  </si>
  <si>
    <t xml:space="preserve">head_penetration_frac</t>
  </si>
  <si>
    <t xml:space="preserve">upper_body_penetration_frac</t>
  </si>
  <si>
    <t xml:space="preserve">obj_err_mean_m</t>
  </si>
  <si>
    <t xml:space="preserve">obj_err_max_m</t>
  </si>
  <si>
    <t xml:space="preserve">notes</t>
  </si>
  <si>
    <t xml:space="preserve">eef_near_3cm_frac</t>
  </si>
  <si>
    <t xml:space="preserve">hand_geom_near_3cm_frac</t>
  </si>
  <si>
    <t xml:space="preserve">eef_near_5cm_frac</t>
  </si>
  <si>
    <t xml:space="preserve">hand_geom_near_5cm_frac</t>
  </si>
  <si>
    <t xml:space="preserve">eef_near_8cm_frac</t>
  </si>
  <si>
    <t xml:space="preserve">hand_geom_near_8cm_frac</t>
  </si>
  <si>
    <t xml:space="preserve">eef_near_10cm_frac</t>
  </si>
  <si>
    <t xml:space="preserve">hand_geom_near_10cm_frac</t>
  </si>
  <si>
    <t xml:space="preserve">track_root_pos_err_mean_m</t>
  </si>
  <si>
    <t xml:space="preserve">track_root_pos_err_terminal_m</t>
  </si>
  <si>
    <t xml:space="preserve">track_root_quat_err_mean</t>
  </si>
  <si>
    <t xml:space="preserve">track_root_quat_err_terminal</t>
  </si>
  <si>
    <t xml:space="preserve">track_joint_err_mean_rad</t>
  </si>
  <si>
    <t xml:space="preserve">track_joint_err_terminal_rad</t>
  </si>
  <si>
    <t xml:space="preserve">track_pelvis_z_err_mean_m</t>
  </si>
  <si>
    <t xml:space="preserve">track_pelvis_z_err_terminal_m</t>
  </si>
  <si>
    <t xml:space="preserve">track_joint_err_deg_mean</t>
  </si>
  <si>
    <t xml:space="preserve">ref_contact_frac</t>
  </si>
  <si>
    <t xml:space="preserve">hand_object_clean_physics_contact_in_mask_frac</t>
  </si>
  <si>
    <t xml:space="preserve">hand_object_physics_contact_5mm_in_mask_frac</t>
  </si>
  <si>
    <t xml:space="preserve">rl_object_contact_ref_frac</t>
  </si>
  <si>
    <t xml:space="preserve">rl_object_contact_gap_fill_frames</t>
  </si>
  <si>
    <t xml:space="preserve">rl_object_contact_filled_frame_count</t>
  </si>
  <si>
    <t xml:space="preserve">hand_object_physics_contact_in_rl_mask_frac</t>
  </si>
  <si>
    <t xml:space="preserve">hand_object_physics_contact_3mm_in_rl_mask_frac</t>
  </si>
  <si>
    <t xml:space="preserve">hand_object_physics_contact_5mm_in_rl_mask_frac</t>
  </si>
  <si>
    <t xml:space="preserve">hand_object_false_contact_frac</t>
  </si>
  <si>
    <t xml:space="preserve">hand_object_clean_false_contact_frac</t>
  </si>
  <si>
    <t xml:space="preserve">hand_object_false_contact_3mm_frac</t>
  </si>
  <si>
    <t xml:space="preserve">hand_object_false_contact_5mm_frac</t>
  </si>
  <si>
    <t xml:space="preserve">hand_object_approach_false_contact_frac</t>
  </si>
  <si>
    <t xml:space="preserve">hand_object_clean_approach_false_contact_frac</t>
  </si>
  <si>
    <t xml:space="preserve">hand_object_approach_false_contact_3mm_frac</t>
  </si>
  <si>
    <t xml:space="preserve">hand_object_approach_false_contact_5mm_frac</t>
  </si>
  <si>
    <t xml:space="preserve">hand_object_release_false_contact_frac</t>
  </si>
  <si>
    <t xml:space="preserve">hand_object_clean_release_false_contact_frac</t>
  </si>
  <si>
    <t xml:space="preserve">hand_object_release_false_contact_5mm_frac</t>
  </si>
  <si>
    <t xml:space="preserve">hand_geom_penetration_2mm_in_mask_frac</t>
  </si>
  <si>
    <t xml:space="preserve">hand_geom_penetration_5mm_in_mask_frac</t>
  </si>
  <si>
    <t xml:space="preserve">track_obj_z_err_m_mean</t>
  </si>
  <si>
    <t xml:space="preserve">track_obj_z_err_m_p10</t>
  </si>
  <si>
    <t xml:space="preserve">track_obj_xy_err_cm_mean</t>
  </si>
  <si>
    <t xml:space="preserve">track_obj_z_err_m_lifted_mean</t>
  </si>
  <si>
    <t xml:space="preserve">track_obj_xy_err_cm_lifted_mean</t>
  </si>
  <si>
    <t xml:space="preserve">track_obj_z_err_share_lifted</t>
  </si>
  <si>
    <t xml:space="preserve">obj_lifted_frame_frac</t>
  </si>
  <si>
    <t xml:space="preserve">obj_side_near_z_err_m</t>
  </si>
  <si>
    <t xml:space="preserve">obj_side_far_z_err_m</t>
  </si>
  <si>
    <t xml:space="preserve">obj_side_z_asym_cm</t>
  </si>
  <si>
    <t xml:space="preserve">object_guidance_force_N_p95</t>
  </si>
  <si>
    <t xml:space="preserve">object_guidance_force_z_N_p95</t>
  </si>
  <si>
    <t xml:space="preserve">object_guidance_torque_Nm_p95</t>
  </si>
  <si>
    <t xml:space="preserve">object_weight_N</t>
  </si>
  <si>
    <t xml:space="preserve">ref_hand_geom_penetration_frac</t>
  </si>
  <si>
    <t xml:space="preserve">ref_hand_geom_penetration_3mm_frac</t>
  </si>
  <si>
    <t xml:space="preserve">ref_hand_geom_min_sdf_m</t>
  </si>
  <si>
    <t xml:space="preserve">hand_gate_floor_saturation_frac</t>
  </si>
  <si>
    <t xml:space="preserve">hand_gate_fixed_depth_8mm_frame_frac</t>
  </si>
  <si>
    <t xml:space="preserve">hand_gate_fixed_depth_10mm_frame_frac</t>
  </si>
  <si>
    <t xml:space="preserve">hand_gate_fixed_depth_12mm_frame_frac</t>
  </si>
  <si>
    <t xml:space="preserve">hand_gate_fixed_depth_15mm_frame_frac</t>
  </si>
  <si>
    <t xml:space="preserve">hand_gate_fixed_depth_20mm_frame_frac</t>
  </si>
  <si>
    <t xml:space="preserve">object_mass_kg</t>
  </si>
  <si>
    <t xml:space="preserve">object_half_extents_m</t>
  </si>
  <si>
    <t xml:space="preserve">object_max_half_extent_m</t>
  </si>
  <si>
    <t xml:space="preserve">grip_near_arm_m</t>
  </si>
  <si>
    <t xml:space="preserve">grip_far_arm_m</t>
  </si>
  <si>
    <t xml:space="preserve">sample_smooth_accel_p95_mean</t>
  </si>
  <si>
    <t xml:space="preserve">sample_smooth_accel_p95_max</t>
  </si>
  <si>
    <t xml:space="preserve">sample_smooth_jerk_p95_mean</t>
  </si>
  <si>
    <t xml:space="preserve">sample_smooth_jerk_p95_max</t>
  </si>
  <si>
    <t xml:space="preserve">sample_smooth_penalty_mean</t>
  </si>
  <si>
    <t xml:space="preserve">sample_smooth_penalty_max</t>
  </si>
  <si>
    <t xml:space="preserve">sample_foot_slip_speed_mean_mean</t>
  </si>
  <si>
    <t xml:space="preserve">sample_foot_slip_speed_peak_mean</t>
  </si>
  <si>
    <t xml:space="preserve">sample_foot_slip_speed_peak_max</t>
  </si>
  <si>
    <t xml:space="preserve">sample_foot_ground_dev_mean_mean</t>
  </si>
  <si>
    <t xml:space="preserve">sample_foot_ground_dev_peak_mean</t>
  </si>
  <si>
    <t xml:space="preserve">sample_foot_ground_dev_peak_max</t>
  </si>
  <si>
    <t xml:space="preserve">sample_foot_penalty_mean</t>
  </si>
  <si>
    <t xml:space="preserve">sample_foot_penalty_max</t>
  </si>
  <si>
    <t xml:space="preserve">qpos_speed_l2_p95</t>
  </si>
  <si>
    <t xml:space="preserve">qpos_accel_l2_p95</t>
  </si>
  <si>
    <t xml:space="preserve">qpos_jerk_l2_p95</t>
  </si>
  <si>
    <t xml:space="preserve">trackbody_speed_max</t>
  </si>
  <si>
    <t xml:space="preserve">ankle_speed_max</t>
  </si>
  <si>
    <t xml:space="preserve">wrist_speed_max</t>
  </si>
  <si>
    <t xml:space="preserve">trackbody_acc_max</t>
  </si>
  <si>
    <t xml:space="preserve">ankle_acc_max</t>
  </si>
  <si>
    <t xml:space="preserve">trackbody_jerk_p95</t>
  </si>
  <si>
    <t xml:space="preserve">ankle_jerk_p95</t>
  </si>
  <si>
    <t xml:space="preserve">obj_speed_max</t>
  </si>
  <si>
    <t xml:space="preserve">foot_slip_max_m</t>
  </si>
  <si>
    <t xml:space="preserve">foot_ground_dev_max_m</t>
  </si>
  <si>
    <t xml:space="preserve">foot_grounded_frame_frac</t>
  </si>
  <si>
    <t xml:space="preserve">has_smooth_health</t>
  </si>
  <si>
    <t xml:space="preserve">has_foot_health</t>
  </si>
  <si>
    <t xml:space="preserve">z_reference_source</t>
  </si>
  <si>
    <t xml:space="preserve">z_reference_path</t>
  </si>
  <si>
    <t xml:space="preserve">z_eval_frames</t>
  </si>
  <si>
    <t xml:space="preserve">monitored_bodies</t>
  </si>
  <si>
    <t xml:space="preserve">body_z_gate_metric</t>
  </si>
  <si>
    <t xml:space="preserve">body_z_gate_threshold_m</t>
  </si>
  <si>
    <t xml:space="preserve">body_z_err_peak_m</t>
  </si>
  <si>
    <t xml:space="preserve">body_z_over_frac</t>
  </si>
  <si>
    <t xml:space="preserve">holosoma_z_gate_pass</t>
  </si>
  <si>
    <t xml:space="preserve">sugar_3d_err_peak_m</t>
  </si>
  <si>
    <t xml:space="preserve">sugar_3d_err_p95_m</t>
  </si>
  <si>
    <t xml:space="preserve">sugar_3d_over_frac</t>
  </si>
  <si>
    <t xml:space="preserve">sugar_3d_gate_pass</t>
  </si>
  <si>
    <t xml:space="preserve">xy_err_peak_m</t>
  </si>
  <si>
    <t xml:space="preserve">xy_err_p95_m</t>
  </si>
  <si>
    <t xml:space="preserve">xy_only_failure</t>
  </si>
  <si>
    <t xml:space="preserve">body_z_accel_p95</t>
  </si>
  <si>
    <t xml:space="preserve">body_z_jerk_p95</t>
  </si>
  <si>
    <t xml:space="preserve">legacy_intra_tick_z_err_peak_m</t>
  </si>
  <si>
    <t xml:space="preserve">legacy_intra_tick_z_gate_pass</t>
  </si>
  <si>
    <t xml:space="preserve">release_window_frame_count</t>
  </si>
  <si>
    <t xml:space="preserve">release_gate_applicable</t>
  </si>
  <si>
    <t xml:space="preserve">release_gate_status</t>
  </si>
  <si>
    <t xml:space="preserve">cem_leg_gate_valid_frac_mean</t>
  </si>
  <si>
    <t xml:space="preserve">cem_leg_gate_valid_frac_last_iter_mean</t>
  </si>
  <si>
    <t xml:space="preserve">cem_leg_gate_selected_valid_frac_mean</t>
  </si>
  <si>
    <t xml:space="preserve">cem_leg_gate_selected_valid_frac_last_iter_mean</t>
  </si>
  <si>
    <t xml:space="preserve">cem_leg_gate_fallback_used_mean</t>
  </si>
  <si>
    <t xml:space="preserve">cem_leg_gate_fallback_used_last_iter_mean</t>
  </si>
  <si>
    <t xml:space="preserve">cem_leg_gate_min_sdf_min_m_mean</t>
  </si>
  <si>
    <t xml:space="preserve">cem_leg_gate_min_sdf_min_m_last_iter_mean</t>
  </si>
  <si>
    <t xml:space="preserve">cem_leg_gate_min_sdf_p05_m_mean</t>
  </si>
  <si>
    <t xml:space="preserve">cem_leg_gate_min_sdf_p05_m_last_iter_mean</t>
  </si>
  <si>
    <t xml:space="preserve">cem_leg_gate_violation_pct_mean_mean</t>
  </si>
  <si>
    <t xml:space="preserve">cem_leg_gate_violation_pct_mean_last_iter_mean</t>
  </si>
  <si>
    <t xml:space="preserve">cem_leg_gate_selected_all_valid_mean</t>
  </si>
  <si>
    <t xml:space="preserve">cem_leg_gate_selected_all_valid_last_iter_mean</t>
  </si>
  <si>
    <t xml:space="preserve">cem_leg_gate_min_sdf_worst_m</t>
  </si>
  <si>
    <t xml:space="preserve">leg_gate_fallback_pass</t>
  </si>
  <si>
    <t xml:space="preserve">leg_gate_valid_frac_pass</t>
  </si>
  <si>
    <t xml:space="preserve">leg_gate_selected_valid_pass</t>
  </si>
  <si>
    <t xml:space="preserve">leg_gate_health_pass</t>
  </si>
  <si>
    <t xml:space="preserve">fall_gate_pass</t>
  </si>
  <si>
    <t xml:space="preserve">body_z_gate_pass</t>
  </si>
  <si>
    <t xml:space="preserve">contact_gate_pass</t>
  </si>
  <si>
    <t xml:space="preserve">release_gate_pass</t>
  </si>
  <si>
    <t xml:space="preserve">hand_penetration_gate_pass</t>
  </si>
  <si>
    <t xml:space="preserve">lower_body_gate_pass</t>
  </si>
  <si>
    <t xml:space="preserve">root_pos_gate_pass</t>
  </si>
  <si>
    <t xml:space="preserve">root_ori_gate_pass</t>
  </si>
  <si>
    <t xml:space="preserve">hand_pos_gate_pass</t>
  </si>
  <si>
    <t xml:space="preserve">hand_ori_gate_pass</t>
  </si>
  <si>
    <t xml:space="preserve">object_pos_gate_pass</t>
  </si>
  <si>
    <t xml:space="preserve">object_ori_gate_pass</t>
  </si>
  <si>
    <t xml:space="preserve">legacy_physics6_pass</t>
  </si>
  <si>
    <t xml:space="preserve">numeric_release_pass_12gate</t>
  </si>
  <si>
    <t xml:space="preserve">numeric_release_pass</t>
  </si>
  <si>
    <t xml:space="preserve">numeric_failure_modes</t>
  </si>
  <si>
    <t xml:space="preserve">scoring_contract_id</t>
  </si>
  <si>
    <t xml:space="preserve">tracking_gates_enabled</t>
  </si>
  <si>
    <t xml:space="preserve">arm</t>
  </si>
  <si>
    <t xml:space="preserve">source_exp</t>
  </si>
  <si>
    <t xml:space="preserve">execution_source</t>
  </si>
  <si>
    <t xml:space="preserve">reused_full</t>
  </si>
  <si>
    <t xml:space="preserve">execution_profile</t>
  </si>
  <si>
    <t xml:space="preserve">result_sha256</t>
  </si>
  <si>
    <t xml:space="preserve">outdir_sha256</t>
  </si>
  <si>
    <t xml:space="preserve">scene_sha256</t>
  </si>
  <si>
    <t xml:space="preserve">trajectory_sha256</t>
  </si>
  <si>
    <t xml:space="preserve">metric_standard_id</t>
  </si>
  <si>
    <t xml:space="preserve">result_npz</t>
  </si>
  <si>
    <t xml:space="preserve">outdir_npz</t>
  </si>
  <si>
    <t xml:space="preserve">config_act</t>
  </si>
  <si>
    <t xml:space="preserve">contact_mask</t>
  </si>
  <si>
    <t xml:space="preserve">resolved_euler_convention</t>
  </si>
  <si>
    <t xml:space="preserve">scene_act_meta_sha256</t>
  </si>
  <si>
    <t xml:space="preserve">wave</t>
  </si>
  <si>
    <t xml:space="preserve">E173_box001_20231003_2_041_p1_PRG</t>
  </si>
  <si>
    <t xml:space="preserve">E173_E170PRG_crossObject_candidate_r1</t>
  </si>
  <si>
    <t xml:space="preserve">rubber_hull</t>
  </si>
  <si>
    <t xml:space="preserve">workspace/core4d/results/E173/s6_downstream/cem/full/E173_box001_20231003_2_041_p1_PRG_outdir_full/trajectory_mjwp_act.npz</t>
  </si>
  <si>
    <t xml:space="preserve">example_datasets/processed/core4d/unitree_g1/humanoid_object/dcv3_omnirt_v1_ref_fk_box001_20231003_2_041_p1/scene_act_E173_rubberHull_PRG.xml</t>
  </si>
  <si>
    <t xml:space="preserve">0.2511|0.3132|0.4063</t>
  </si>
  <si>
    <t xml:space="preserve">fixed_kinematic_trajectory</t>
  </si>
  <si>
    <t xml:space="preserve">left_ankle_roll_link,right_ankle_roll_link,left_wrist_yaw_link,right_wrist_yaw_link</t>
  </si>
  <si>
    <t xml:space="preserve">PENDING_EVALUATION</t>
  </si>
  <si>
    <t xml:space="preserve">core4d-e194-g1-expansion-12gate-v1</t>
  </si>
  <si>
    <t xml:space="preserve">E173</t>
  </si>
  <si>
    <t xml:space="preserve">A0-source</t>
  </si>
  <si>
    <t xml:space="preserve">abfd38575fa522cce303c3ca068df75fe89b12b3547f1c822a680ddc4c68629c</t>
  </si>
  <si>
    <t xml:space="preserve">942151d5e0eed8e2b80a439d1475a34e582058924aca91b1b1d51a953605e0bc</t>
  </si>
  <si>
    <t xml:space="preserve">bbb14f9d630e6ee1ab27ecb5d94c7b5db2b845e29e1ed5710f13a613c07df948</t>
  </si>
  <si>
    <t xml:space="preserve">core4d-e154-physics-contact-v1</t>
  </si>
  <si>
    <t xml:space="preserve">workspace/core4d/results/E173/s6_downstream/cem/full/E173_box001_20231003_2_041_p1_PRG.npz</t>
  </si>
  <si>
    <t xml:space="preserve">workspace/core4d/results/E173/s6_downstream/cem/full/E173_box001_20231003_2_041_p1_PRG_outdir_full/config_act.yaml</t>
  </si>
  <si>
    <t xml:space="preserve">workspace/core4d/results/E173/s3_retarget/omnirt_v1/ref_fk/results/omnirt_v1_ref_fk/contact_masks/dcv3_omnirt_v1_ref_fk_box001_20231003_2_041_p1/raw_contact_mask_3cm.npz</t>
  </si>
  <si>
    <t xml:space="preserve">E194_box001_20231003_2_041_p1_G1_expansion</t>
  </si>
  <si>
    <t xml:space="preserve">E167A_zOnlyBody_PRG_gravcomp_G1</t>
  </si>
  <si>
    <t xml:space="preserve">workspace/core4d/results/E194/s6_downstream/cem/full_g1_expansion/E194_box001_20231003_2_041_p1_G1_expansion_outdir/trajectory_mjwp_act.npz</t>
  </si>
  <si>
    <t xml:space="preserve">hand_ori,object_ori</t>
  </si>
  <si>
    <t xml:space="preserve">G1_contaminated</t>
  </si>
  <si>
    <t xml:space="preserve">1bd052d937b03b4e44557b1f01f19ba0d6e3e18ca8fd20f0f831e670fdfcfeaf</t>
  </si>
  <si>
    <t xml:space="preserve">7de10ee3d4108fac2fcbe4134ede29fd357e13358d07c5e4833351b28b6096c4</t>
  </si>
  <si>
    <t xml:space="preserve">workspace/core4d/results/E194/s6_downstream/cem/full_g1_expansion/E194_box001_20231003_2_041_p1_G1_expansion.npz</t>
  </si>
  <si>
    <t xml:space="preserve">workspace/core4d/results/E194/s6_downstream/cem/full_g1_expansion/E194_box001_20231003_2_041_p1_G1_expansion_outdir/config_act.yaml</t>
  </si>
  <si>
    <t xml:space="preserve">E173_box001_20231003_1_039_p1_PRG</t>
  </si>
  <si>
    <t xml:space="preserve">workspace/core4d/results/E173/s6_downstream/cem/full/E173_box001_20231003_1_039_p1_PRG_outdir_full/trajectory_mjwp_act.npz</t>
  </si>
  <si>
    <t xml:space="preserve">example_datasets/processed/core4d/unitree_g1/humanoid_object/dcv3_omnirt_v1_ref_fk_box001_20231003_1_039_p1/scene_act_E173_rubberHull_PRG.xml</t>
  </si>
  <si>
    <t xml:space="preserve">90dd50afe3f4d15936bab2feaa61883f6c6c367b92af64a148082304595fe4db</t>
  </si>
  <si>
    <t xml:space="preserve">03547b71aa503d7a8c5e39e982d5e245e6ee62e4d5a262bf4dc733cb9ef7f73c</t>
  </si>
  <si>
    <t xml:space="preserve">e199d8f2f55179e98cef6cdbe52ebc954ba033d1ee4bd795756d850a309e94a0</t>
  </si>
  <si>
    <t xml:space="preserve">workspace/core4d/results/E173/s6_downstream/cem/full/E173_box001_20231003_1_039_p1_PRG.npz</t>
  </si>
  <si>
    <t xml:space="preserve">workspace/core4d/results/E173/s6_downstream/cem/full/E173_box001_20231003_1_039_p1_PRG_outdir_full/config_act.yaml</t>
  </si>
  <si>
    <t xml:space="preserve">workspace/core4d/results/E173/s3_retarget/omnirt_v1/ref_fk/results/omnirt_v1_ref_fk/contact_masks/dcv3_omnirt_v1_ref_fk_box001_20231003_1_039_p1/raw_contact_mask_3cm.npz</t>
  </si>
  <si>
    <t xml:space="preserve">E194_box001_20231003_1_039_p1_G1_expansion</t>
  </si>
  <si>
    <t xml:space="preserve">workspace/core4d/results/E194/s6_downstream/cem/full_g1_expansion/E194_box001_20231003_1_039_p1_G1_expansion_outdir/trajectory_mjwp_act.npz</t>
  </si>
  <si>
    <t xml:space="preserve">c6d5417deeaa3e4d842d80eb9360340b0ff269d66a785573d2f9b7c066035a96</t>
  </si>
  <si>
    <t xml:space="preserve">977b508af57d7efc505715d87d07d63db3c9a5fd36ebe948a72d0894fb186a38</t>
  </si>
  <si>
    <t xml:space="preserve">workspace/core4d/results/E194/s6_downstream/cem/full_g1_expansion/E194_box001_20231003_1_039_p1_G1_expansion.npz</t>
  </si>
  <si>
    <t xml:space="preserve">workspace/core4d/results/E194/s6_downstream/cem/full_g1_expansion/E194_box001_20231003_1_039_p1_G1_expansion_outdir/config_act.yaml</t>
  </si>
  <si>
    <t xml:space="preserve">E173_box001_20231003_1_041_p1_PRG</t>
  </si>
  <si>
    <t xml:space="preserve">workspace/core4d/results/E173/s6_downstream/cem/full/E173_box001_20231003_1_041_p1_PRG_outdir_full/trajectory_mjwp_act.npz</t>
  </si>
  <si>
    <t xml:space="preserve">example_datasets/processed/core4d/unitree_g1/humanoid_object/dcv3_omnirt_v2_ref_fk_box001_20231003_1_041_p1/scene_act_E173_rubberHull_PRG.xml</t>
  </si>
  <si>
    <t xml:space="preserve">3f63570db24a69961a2e6791d3325f5f15edf810af57d98d5902bce3787b77e2</t>
  </si>
  <si>
    <t xml:space="preserve">ceb3ff107335f4bb07c820bd5d1c74d9e1135d2bd2fcf2aa76d79039bee0f943</t>
  </si>
  <si>
    <t xml:space="preserve">34765c4de314ed17edd53a2afab0aa18abd0315f6298cb459594aa75bf36f3b7</t>
  </si>
  <si>
    <t xml:space="preserve">workspace/core4d/results/E173/s6_downstream/cem/full/E173_box001_20231003_1_041_p1_PRG.npz</t>
  </si>
  <si>
    <t xml:space="preserve">workspace/core4d/results/E173/s6_downstream/cem/full/E173_box001_20231003_1_041_p1_PRG_outdir_full/config_act.yaml</t>
  </si>
  <si>
    <t xml:space="preserve">workspace/core4d/results/E173/s3_retarget/omnirt_v2/ref_fk/results/omnirt_v2_ref_fk/contact_masks/dcv3_omnirt_v2_ref_fk_box001_20231003_1_041_p1/raw_contact_mask_3cm.npz</t>
  </si>
  <si>
    <t xml:space="preserve">E194_box001_20231003_1_041_p1_G1_expansion</t>
  </si>
  <si>
    <t xml:space="preserve">workspace/core4d/results/E194/s6_downstream/cem/full_g1_expansion/E194_box001_20231003_1_041_p1_G1_expansion_outdir/trajectory_mjwp_act.npz</t>
  </si>
  <si>
    <t xml:space="preserve">6b0f50fc10e9c90e4b2fdad724501ac9d50cf2940780d4b3e64c2ea10a2500f8</t>
  </si>
  <si>
    <t xml:space="preserve">8ac0a17569c29148af7a002b353f8a237ac6282dce2ba040fbab7bc3f36afb88</t>
  </si>
  <si>
    <t xml:space="preserve">workspace/core4d/results/E194/s6_downstream/cem/full_g1_expansion/E194_box001_20231003_1_041_p1_G1_expansion.npz</t>
  </si>
  <si>
    <t xml:space="preserve">workspace/core4d/results/E194/s6_downstream/cem/full_g1_expansion/E194_box001_20231003_1_041_p1_G1_expansion_outdir/config_act.yaml</t>
  </si>
  <si>
    <t xml:space="preserve">E173_box001_20231003_2_037_p1_PRG</t>
  </si>
  <si>
    <t xml:space="preserve">workspace/core4d/results/E173/s6_downstream/cem/full/E173_box001_20231003_2_037_p1_PRG_outdir_full/trajectory_mjwp_act.npz</t>
  </si>
  <si>
    <t xml:space="preserve">example_datasets/processed/core4d/unitree_g1/humanoid_object/dcv3_omnirt_v1_ref_fk_box001_20231003_2_037_p1/scene_act_E173_rubberHull_PRG.xml</t>
  </si>
  <si>
    <t xml:space="preserve">d4682f5f2ced19488984a944d1457e41ef2225be7e747a29a638d1fd3528b101</t>
  </si>
  <si>
    <t xml:space="preserve">280a7a64984c689bbee036491a4c32955d4c1673a96e9dfe6c0dde4a586680f5</t>
  </si>
  <si>
    <t xml:space="preserve">4539ce4f62042ec1e56efe17073715ad01b7c3a1e9fa7c9f1581c5ddeca5bd0d</t>
  </si>
  <si>
    <t xml:space="preserve">workspace/core4d/results/E173/s6_downstream/cem/full/E173_box001_20231003_2_037_p1_PRG.npz</t>
  </si>
  <si>
    <t xml:space="preserve">workspace/core4d/results/E173/s6_downstream/cem/full/E173_box001_20231003_2_037_p1_PRG_outdir_full/config_act.yaml</t>
  </si>
  <si>
    <t xml:space="preserve">workspace/core4d/results/E173/s3_retarget/omnirt_v1/ref_fk/results/omnirt_v1_ref_fk/contact_masks/dcv3_omnirt_v1_ref_fk_box001_20231003_2_037_p1/raw_contact_mask_3cm.npz</t>
  </si>
  <si>
    <t xml:space="preserve">E194_box001_20231003_2_037_p1_G1_expansion</t>
  </si>
  <si>
    <t xml:space="preserve">workspace/core4d/results/E194/s6_downstream/cem/full_g1_expansion/E194_box001_20231003_2_037_p1_G1_expansion_outdir/trajectory_mjwp_act.npz</t>
  </si>
  <si>
    <t xml:space="preserve">6bf23c1b3a66723b7c9479f48fb29e00fdc5d798c3c18f362076a3811adedc93</t>
  </si>
  <si>
    <t xml:space="preserve">3e9a3d684b9568960895d3413fa44b52ab3035018eb9c3823419a7606949f891</t>
  </si>
  <si>
    <t xml:space="preserve">workspace/core4d/results/E194/s6_downstream/cem/full_g1_expansion/E194_box001_20231003_2_037_p1_G1_expansion.npz</t>
  </si>
  <si>
    <t xml:space="preserve">workspace/core4d/results/E194/s6_downstream/cem/full_g1_expansion/E194_box001_20231003_2_037_p1_G1_expansion_outdir/config_act.yaml</t>
  </si>
  <si>
    <t xml:space="preserve">E173_box001_20231003_2_039_p1_PRG</t>
  </si>
  <si>
    <t xml:space="preserve">workspace/core4d/results/E173/s6_downstream/cem/full/E173_box001_20231003_2_039_p1_PRG_outdir_full/trajectory_mjwp_act.npz</t>
  </si>
  <si>
    <t xml:space="preserve">example_datasets/processed/core4d/unitree_g1/humanoid_object/dcv3_omnirt_v2_ref_fk_box001_20231003_2_039_p1/scene_act_E173_rubberHull_PRG.xml</t>
  </si>
  <si>
    <t xml:space="preserve">36c6c564b66c8797b6e89e043eb64919aadf1adbf9ab9ffc2439b8b465caaeef</t>
  </si>
  <si>
    <t xml:space="preserve">2f1d72827030002930e25599e3b9df81f5056cddd07274881d0736454a6d87ff</t>
  </si>
  <si>
    <t xml:space="preserve">cc5a55ff79c38c04b222ef53f6191ef0425346977e29d65bdbedefea2df89a1f</t>
  </si>
  <si>
    <t xml:space="preserve">workspace/core4d/results/E173/s6_downstream/cem/full/E173_box001_20231003_2_039_p1_PRG.npz</t>
  </si>
  <si>
    <t xml:space="preserve">workspace/core4d/results/E173/s6_downstream/cem/full/E173_box001_20231003_2_039_p1_PRG_outdir_full/config_act.yaml</t>
  </si>
  <si>
    <t xml:space="preserve">workspace/core4d/results/E173/s3_retarget/omnirt_v2/ref_fk/results/omnirt_v2_ref_fk/contact_masks/dcv3_omnirt_v2_ref_fk_box001_20231003_2_039_p1/raw_contact_mask_3cm.npz</t>
  </si>
  <si>
    <t xml:space="preserve">E194_box001_20231003_2_039_p1_G1_expansion</t>
  </si>
  <si>
    <t xml:space="preserve">workspace/core4d/results/E194/s6_downstream/cem/full_g1_expansion/E194_box001_20231003_2_039_p1_G1_expansion_outdir/trajectory_mjwp_act.npz</t>
  </si>
  <si>
    <t xml:space="preserve">e64dc4f1aab816780430d92414019870b772be79c4d0d455028c9e48a47cb3a2</t>
  </si>
  <si>
    <t xml:space="preserve">3d9aa9006e0b853e2870b5729516cb7a034c5981396af94f40668f0a6ce70a3b</t>
  </si>
  <si>
    <t xml:space="preserve">workspace/core4d/results/E194/s6_downstream/cem/full_g1_expansion/E194_box001_20231003_2_039_p1_G1_expansion.npz</t>
  </si>
  <si>
    <t xml:space="preserve">workspace/core4d/results/E194/s6_downstream/cem/full_g1_expansion/E194_box001_20231003_2_039_p1_G1_expansion_outdir/config_act.yaml</t>
  </si>
  <si>
    <t xml:space="preserve">E173_box001_20231023_107_p2_PRG</t>
  </si>
  <si>
    <t xml:space="preserve">workspace/core4d/results/E173/s6_downstream/cem/full/E173_box001_20231023_107_p2_PRG_outdir_full/trajectory_mjwp_act.npz</t>
  </si>
  <si>
    <t xml:space="preserve">example_datasets/processed/core4d/unitree_g1/humanoid_object/dcv3_omnirt_v1_ref_fk_box001_20231023_107_p2/scene_act_E173_rubberHull_PRG.xml</t>
  </si>
  <si>
    <t xml:space="preserve">a037d2cadc2bdfbf0bb84cde0cba13a618c994cae22de2f4fc6d84cb74c919bc</t>
  </si>
  <si>
    <t xml:space="preserve">83650ef1a583b82a76e45b51c27ddee668f496922acb6a5f3c5d7099e870d16b</t>
  </si>
  <si>
    <t xml:space="preserve">f75cd1a3eb31859c35c942be45fc05e87f6d8237330546b7c2092a2a12166376</t>
  </si>
  <si>
    <t xml:space="preserve">workspace/core4d/results/E173/s6_downstream/cem/full/E173_box001_20231023_107_p2_PRG.npz</t>
  </si>
  <si>
    <t xml:space="preserve">workspace/core4d/results/E173/s6_downstream/cem/full/E173_box001_20231023_107_p2_PRG_outdir_full/config_act.yaml</t>
  </si>
  <si>
    <t xml:space="preserve">workspace/core4d/results/E173/s3_retarget/omnirt_v1/ref_fk/results/omnirt_v1_ref_fk/contact_masks/dcv3_omnirt_v1_ref_fk_box001_20231023_107_p2/raw_contact_mask_3cm.npz</t>
  </si>
  <si>
    <t xml:space="preserve">E194_box001_20231023_107_p2_G1_expansion</t>
  </si>
  <si>
    <t xml:space="preserve">workspace/core4d/results/E194/s6_downstream/cem/full_g1_expansion/E194_box001_20231023_107_p2_G1_expansion_outdir/trajectory_mjwp_act.npz</t>
  </si>
  <si>
    <t xml:space="preserve">release,root_pos,hand_pos,hand_ori</t>
  </si>
  <si>
    <t xml:space="preserve">46783025d1c9d1181af124880fadcadc6727e8597d3911f2c36058f86c61ecd5</t>
  </si>
  <si>
    <t xml:space="preserve">e26629bb3ce495d6cae0a18c92fcee4b866b6f380dd867f35b555363ddcea67b</t>
  </si>
  <si>
    <t xml:space="preserve">workspace/core4d/results/E194/s6_downstream/cem/full_g1_expansion/E194_box001_20231023_107_p2_G1_expansion.npz</t>
  </si>
  <si>
    <t xml:space="preserve">workspace/core4d/results/E194/s6_downstream/cem/full_g1_expansion/E194_box001_20231023_107_p2_G1_expansion_outdir/config_act.yaml</t>
  </si>
  <si>
    <t xml:space="preserve">E173_box001_20231023_109_p2_PRG</t>
  </si>
  <si>
    <t xml:space="preserve">workspace/core4d/results/E173/s6_downstream/cem/full/E173_box001_20231023_109_p2_PRG_outdir_full/trajectory_mjwp_act.npz</t>
  </si>
  <si>
    <t xml:space="preserve">example_datasets/processed/core4d/unitree_g1/humanoid_object/dcv3_omnirt_v1_ref_fk_box001_20231023_109_p2/scene_act_E173_rubberHull_PRG.xml</t>
  </si>
  <si>
    <t xml:space="preserve">dce849b9b73aa8a31f39521956b51884b28417b395e2f924a9f2138f78c75558</t>
  </si>
  <si>
    <t xml:space="preserve">376bd18ff436123a0b423b1529479437bc9fbf427de8f465f6352259e1ad7a9c</t>
  </si>
  <si>
    <t xml:space="preserve">64b913737ea733d1079c976d507cf9f7f1ea4731a0362cae7a6e51ed699102f1</t>
  </si>
  <si>
    <t xml:space="preserve">workspace/core4d/results/E173/s6_downstream/cem/full/E173_box001_20231023_109_p2_PRG.npz</t>
  </si>
  <si>
    <t xml:space="preserve">workspace/core4d/results/E173/s6_downstream/cem/full/E173_box001_20231023_109_p2_PRG_outdir_full/config_act.yaml</t>
  </si>
  <si>
    <t xml:space="preserve">workspace/core4d/results/E173/s3_retarget/omnirt_v1/ref_fk/results/omnirt_v1_ref_fk/contact_masks/dcv3_omnirt_v1_ref_fk_box001_20231023_109_p2/raw_contact_mask_3cm.npz</t>
  </si>
  <si>
    <t xml:space="preserve">E194_box001_20231023_109_p2_G1_expansion</t>
  </si>
  <si>
    <t xml:space="preserve">workspace/core4d/results/E194/s6_downstream/cem/full_g1_expansion/E194_box001_20231023_109_p2_G1_expansion_outdir/trajectory_mjwp_act.npz</t>
  </si>
  <si>
    <t xml:space="preserve">5012b97b6802aa160c1765b54dfa18e7d4d721637c2467a8ccf16ffd0cd5b8cd</t>
  </si>
  <si>
    <t xml:space="preserve">1d18716e875a9ad81ed0b1724c6ccd5c7eee058b00bf54887cddcaa51a5338d2</t>
  </si>
  <si>
    <t xml:space="preserve">workspace/core4d/results/E194/s6_downstream/cem/full_g1_expansion/E194_box001_20231023_109_p2_G1_expansion.npz</t>
  </si>
  <si>
    <t xml:space="preserve">workspace/core4d/results/E194/s6_downstream/cem/full_g1_expansion/E194_box001_20231023_109_p2_G1_expansion_outdir/config_act.yaml</t>
  </si>
  <si>
    <t xml:space="preserve">E173_box023_20231008_046_p1_PRG</t>
  </si>
  <si>
    <t xml:space="preserve">workspace/core4d/results/E173/s6_downstream/cem/full/E173_box023_20231008_046_p1_PRG_outdir_full/trajectory_mjwp_act.npz</t>
  </si>
  <si>
    <t xml:space="preserve">example_datasets/processed/core4d/unitree_g1/humanoid_object/dcv3_omnirt_v1_ref_fk_box023_20231008_046_p1/scene_act_E173_rubberHull_PRG.xml</t>
  </si>
  <si>
    <t xml:space="preserve">0.1519|0.1516|0.1955</t>
  </si>
  <si>
    <t xml:space="preserve">e9846785433f94f17b738fecaccd6854b00a7741c1bd31d79eefc4f0159d314f</t>
  </si>
  <si>
    <t xml:space="preserve">412f332eb22336aa0bf5961150a2915e3e097161aad54501dc600e056e51fb90</t>
  </si>
  <si>
    <t xml:space="preserve">bb7458209babbecef7fb1083068cf3c11921222426a0e31080e17861a548ee12</t>
  </si>
  <si>
    <t xml:space="preserve">workspace/core4d/results/E173/s6_downstream/cem/full/E173_box023_20231008_046_p1_PRG.npz</t>
  </si>
  <si>
    <t xml:space="preserve">workspace/core4d/results/E173/s6_downstream/cem/full/E173_box023_20231008_046_p1_PRG_outdir_full/config_act.yaml</t>
  </si>
  <si>
    <t xml:space="preserve">workspace/core4d/results/E173/s3_retarget/omnirt_v1/ref_fk/results/omnirt_v1_ref_fk/contact_masks/dcv3_omnirt_v1_ref_fk_box023_20231008_046_p1/raw_contact_mask_3cm.npz</t>
  </si>
  <si>
    <t xml:space="preserve">E194_box023_20231008_046_p1_G1_expansion</t>
  </si>
  <si>
    <t xml:space="preserve">workspace/core4d/results/E194/s6_downstream/cem/full_g1_expansion/E194_box023_20231008_046_p1_G1_expansion_outdir/trajectory_mjwp_act.npz</t>
  </si>
  <si>
    <t xml:space="preserve">4a59470da0845b2ef52c64fa7a5aa1421acd87cb75ca2395f57c24f29490fa28</t>
  </si>
  <si>
    <t xml:space="preserve">cd50388468445be516c4c3238185aa88100d8c25690770de85fbeca526480de1</t>
  </si>
  <si>
    <t xml:space="preserve">workspace/core4d/results/E194/s6_downstream/cem/full_g1_expansion/E194_box023_20231008_046_p1_G1_expansion.npz</t>
  </si>
  <si>
    <t xml:space="preserve">workspace/core4d/results/E194/s6_downstream/cem/full_g1_expansion/E194_box023_20231008_046_p1_G1_expansion_outdir/config_act.yaml</t>
  </si>
  <si>
    <t xml:space="preserve">E173_box023_20231011_021_p1_PRG</t>
  </si>
  <si>
    <t xml:space="preserve">workspace/core4d/results/E173/s6_downstream/cem/full/E173_box023_20231011_021_p1_PRG_outdir_full/trajectory_mjwp_act.npz</t>
  </si>
  <si>
    <t xml:space="preserve">example_datasets/processed/core4d/unitree_g1/humanoid_object/dcv3_omnirt_v1_ref_fk_box023_20231011_021_p1/scene_act_E173_rubberHull_PRG.xml</t>
  </si>
  <si>
    <t xml:space="preserve">860b1c19ecba4fa6cc07b26c762c9dd3e6959ba19fa4167ef04058d67d2b4b9e</t>
  </si>
  <si>
    <t xml:space="preserve">ea59708b4e0d4d2a523d736fe75b840b28eb4417d1e6e1cb7acda32ccc83e7a3</t>
  </si>
  <si>
    <t xml:space="preserve">269aa1e354e819b134ab5a5c4d9d3b3104ab222e6075c67a45cc4e8fa19ebc19</t>
  </si>
  <si>
    <t xml:space="preserve">workspace/core4d/results/E173/s6_downstream/cem/full/E173_box023_20231011_021_p1_PRG.npz</t>
  </si>
  <si>
    <t xml:space="preserve">workspace/core4d/results/E173/s6_downstream/cem/full/E173_box023_20231011_021_p1_PRG_outdir_full/config_act.yaml</t>
  </si>
  <si>
    <t xml:space="preserve">workspace/core4d/results/E173/s3_retarget/omnirt_v1/ref_fk/results/omnirt_v1_ref_fk/contact_masks/dcv3_omnirt_v1_ref_fk_box023_20231011_021_p1/raw_contact_mask_3cm.npz</t>
  </si>
  <si>
    <t xml:space="preserve">E194_box023_20231011_021_p1_G1_expansion</t>
  </si>
  <si>
    <t xml:space="preserve">workspace/core4d/results/E194/s6_downstream/cem/full_g1_expansion/E194_box023_20231011_021_p1_G1_expansion_outdir/trajectory_mjwp_act.npz</t>
  </si>
  <si>
    <t xml:space="preserve">a71b978f2bfed19543f2154fce65b461898039d1118470894bf812f45f7908a0</t>
  </si>
  <si>
    <t xml:space="preserve">ef89dce0b6b56d7c7fece0d3852eb5a0fcc356a9ba0b4f05640a05dca2d7b4c0</t>
  </si>
  <si>
    <t xml:space="preserve">workspace/core4d/results/E194/s6_downstream/cem/full_g1_expansion/E194_box023_20231011_021_p1_G1_expansion.npz</t>
  </si>
  <si>
    <t xml:space="preserve">workspace/core4d/results/E194/s6_downstream/cem/full_g1_expansion/E194_box023_20231011_021_p1_G1_expansion_outdir/config_act.yaml</t>
  </si>
  <si>
    <t xml:space="preserve">E173_box023_20231020_042_p1_PRG</t>
  </si>
  <si>
    <t xml:space="preserve">workspace/core4d/results/E173/s6_downstream/cem/full/E173_box023_20231020_042_p1_PRG_outdir_full/trajectory_mjwp_act.npz</t>
  </si>
  <si>
    <t xml:space="preserve">example_datasets/processed/core4d/unitree_g1/humanoid_object/dcv3_omnirt_v1_ref_fk_box023_20231020_042_p1/scene_act_E173_rubberHull_PRG.xml</t>
  </si>
  <si>
    <t xml:space="preserve">root_pos,hand_pos,hand_ori</t>
  </si>
  <si>
    <t xml:space="preserve">48331836691de8d9bb2caadf76666f2775d67640c78ed0d4a9822c0fe5887af2</t>
  </si>
  <si>
    <t xml:space="preserve">99555d71366e268e17fa119c36f203a76ca9a373a1377efce23fe70c472a8d7c</t>
  </si>
  <si>
    <t xml:space="preserve">4dba4fa6032e060ca34dac5fe211108d7712c5605fbe62057eabb499b9b43c8f</t>
  </si>
  <si>
    <t xml:space="preserve">workspace/core4d/results/E173/s6_downstream/cem/full/E173_box023_20231020_042_p1_PRG.npz</t>
  </si>
  <si>
    <t xml:space="preserve">workspace/core4d/results/E173/s6_downstream/cem/full/E173_box023_20231020_042_p1_PRG_outdir_full/config_act.yaml</t>
  </si>
  <si>
    <t xml:space="preserve">workspace/core4d/results/E173/s3_retarget/omnirt_v1/ref_fk/results/omnirt_v1_ref_fk/contact_masks/dcv3_omnirt_v1_ref_fk_box023_20231020_042_p1/raw_contact_mask_3cm.npz</t>
  </si>
  <si>
    <t xml:space="preserve">E194_box023_20231020_042_p1_G1_expansion</t>
  </si>
  <si>
    <t xml:space="preserve">workspace/core4d/results/E194/s6_downstream/cem/full_g1_expansion/E194_box023_20231020_042_p1_G1_expansion_outdir/trajectory_mjwp_act.npz</t>
  </si>
  <si>
    <t xml:space="preserve">root_pos,hand_pos,hand_ori,object_ori</t>
  </si>
  <si>
    <t xml:space="preserve">1e4428a7372660d3c870635bc7f540861a4a5198c2677ef7ac9d62347bc4eebf</t>
  </si>
  <si>
    <t xml:space="preserve">784c039485e202af84703725bec9cbca908b98477dd31e99dd21364c46592b32</t>
  </si>
  <si>
    <t xml:space="preserve">workspace/core4d/results/E194/s6_downstream/cem/full_g1_expansion/E194_box023_20231020_042_p1_G1_expansion.npz</t>
  </si>
  <si>
    <t xml:space="preserve">workspace/core4d/results/E194/s6_downstream/cem/full_g1_expansion/E194_box023_20231020_042_p1_G1_expansion_outdir/config_act.yaml</t>
  </si>
  <si>
    <t xml:space="preserve">E173_box001_20231020_014_p1_PRG</t>
  </si>
  <si>
    <t xml:space="preserve">workspace/core4d/results/E173/s6_downstream/cem/full/E173_box001_20231020_014_p1_PRG_outdir_full/trajectory_mjwp_act.npz</t>
  </si>
  <si>
    <t xml:space="preserve">example_datasets/processed/core4d/unitree_g1/humanoid_object/dcv3_omnirt_v1_ref_fk_box001_20231020_014_p1/scene_act_E173_rubberHull_PRG.xml</t>
  </si>
  <si>
    <t xml:space="preserve">lower_body,hand_ori</t>
  </si>
  <si>
    <t xml:space="preserve">df6f87436e3cfb3b0a132e4bafbe741f5aedd78e7a0260ce05801a0b1dee1621</t>
  </si>
  <si>
    <t xml:space="preserve">8b57a28d53a47918ec6251131cea047ec6efaa66740f8e2b4f14ef61b33a3c3a</t>
  </si>
  <si>
    <t xml:space="preserve">099510bd23ada050943351a06cedbb787687b786f4589b688425b057ad7cd0a9</t>
  </si>
  <si>
    <t xml:space="preserve">workspace/core4d/results/E173/s6_downstream/cem/full/E173_box001_20231020_014_p1_PRG.npz</t>
  </si>
  <si>
    <t xml:space="preserve">workspace/core4d/results/E173/s6_downstream/cem/full/E173_box001_20231020_014_p1_PRG_outdir_full/config_act.yaml</t>
  </si>
  <si>
    <t xml:space="preserve">workspace/core4d/results/E173/s3_retarget/omnirt_v1/ref_fk/results/omnirt_v1_ref_fk/contact_masks/dcv3_omnirt_v1_ref_fk_box001_20231020_014_p1/raw_contact_mask_3cm.npz</t>
  </si>
  <si>
    <t xml:space="preserve">E194_box001_20231020_014_p1_G1_expansion</t>
  </si>
  <si>
    <t xml:space="preserve">workspace/core4d/results/E194/s6_downstream/cem/full_g1_expansion/E194_box001_20231020_014_p1_G1_expansion_outdir/trajectory_mjwp_act.npz</t>
  </si>
  <si>
    <t xml:space="preserve">contact,hand_ori,object_ori</t>
  </si>
  <si>
    <t xml:space="preserve">d34bea3e2638cd975c9faa6078712bee9be8426b3542625fa899c00a6925a15c</t>
  </si>
  <si>
    <t xml:space="preserve">0b13f9776b460190e2b9efb3db252c36b9f5a850245485a06eb9d5571c4d899c</t>
  </si>
  <si>
    <t xml:space="preserve">workspace/core4d/results/E194/s6_downstream/cem/full_g1_expansion/E194_box001_20231020_014_p1_G1_expansion.npz</t>
  </si>
  <si>
    <t xml:space="preserve">workspace/core4d/results/E194/s6_downstream/cem/full_g1_expansion/E194_box001_20231020_014_p1_G1_expansion_outdir/config_act.yaml</t>
  </si>
  <si>
    <t xml:space="preserve">E173_box001_20231003_1_040_p1_PRG</t>
  </si>
  <si>
    <t xml:space="preserve">workspace/core4d/results/E173/s6_downstream/cem/full/E173_box001_20231003_1_040_p1_PRG_outdir_full/trajectory_mjwp_act.npz</t>
  </si>
  <si>
    <t xml:space="preserve">example_datasets/processed/core4d/unitree_g1/humanoid_object/dcv3_omnirt_v1_ref_fk_box001_20231003_1_040_p1/scene_act_E173_rubberHull_PRG.xml</t>
  </si>
  <si>
    <t xml:space="preserve">lower_body,root_pos,hand_pos</t>
  </si>
  <si>
    <t xml:space="preserve">f1711adf588e93521f2eed25618b4079b52d908d1fba7b8c70a6adb1a5642fbd</t>
  </si>
  <si>
    <t xml:space="preserve">2523ff319f9fe67b2e70591681e7fb20dba95c9e213ca301591fb64a15fce1d6</t>
  </si>
  <si>
    <t xml:space="preserve">d47c4c144c9b5f6282aa9a38ec243399626fe32ff7ad5b59a92d1c05bb85121a</t>
  </si>
  <si>
    <t xml:space="preserve">workspace/core4d/results/E173/s6_downstream/cem/full/E173_box001_20231003_1_040_p1_PRG.npz</t>
  </si>
  <si>
    <t xml:space="preserve">workspace/core4d/results/E173/s6_downstream/cem/full/E173_box001_20231003_1_040_p1_PRG_outdir_full/config_act.yaml</t>
  </si>
  <si>
    <t xml:space="preserve">workspace/core4d/results/E173/s3_retarget/omnirt_v1/ref_fk/results/omnirt_v1_ref_fk/contact_masks/dcv3_omnirt_v1_ref_fk_box001_20231003_1_040_p1/raw_contact_mask_3cm.npz</t>
  </si>
  <si>
    <t xml:space="preserve">E194_box001_20231003_1_040_p1_G1_expansion</t>
  </si>
  <si>
    <t xml:space="preserve">workspace/core4d/results/E194/s6_downstream/cem/full_g1_expansion/E194_box001_20231003_1_040_p1_G1_expansion_outdir/trajectory_mjwp_act.npz</t>
  </si>
  <si>
    <t xml:space="preserve">7e81f20363991c6a3441aff2e95723adf3ae20f5265addb7f29b5e29edbb5d2f</t>
  </si>
  <si>
    <t xml:space="preserve">e3a080c7b06dff227d98e29da8f8a7ff9a44ac5be1845f5bf039dfeedbe3d28e</t>
  </si>
  <si>
    <t xml:space="preserve">workspace/core4d/results/E194/s6_downstream/cem/full_g1_expansion/E194_box001_20231003_1_040_p1_G1_expansion.npz</t>
  </si>
  <si>
    <t xml:space="preserve">workspace/core4d/results/E194/s6_downstream/cem/full_g1_expansion/E194_box001_20231003_1_040_p1_G1_expansion_outdir/config_act.yaml</t>
  </si>
  <si>
    <t xml:space="preserve">E173_box001_20231003_1_042_p1_PRG</t>
  </si>
  <si>
    <t xml:space="preserve">workspace/core4d/results/E173/s6_downstream/cem/full/E173_box001_20231003_1_042_p1_PRG_outdir_full/trajectory_mjwp_act.npz</t>
  </si>
  <si>
    <t xml:space="preserve">example_datasets/processed/core4d/unitree_g1/humanoid_object/dcv3_omnirt_v1_ref_fk_box001_20231003_1_042_p1/scene_act_E173_rubberHull_PRG.xml</t>
  </si>
  <si>
    <t xml:space="preserve">hand_penetration,root_pos,hand_pos</t>
  </si>
  <si>
    <t xml:space="preserve">24ce8b943eaf9c4034a56175061ee8d94be4bf9ae43d0eed2edc9f324d5e3d04</t>
  </si>
  <si>
    <t xml:space="preserve">bedeeedeb65c96aed9bb55a89d0447e829517ded48094d44843d8d7c01654948</t>
  </si>
  <si>
    <t xml:space="preserve">693133944d7b8ca91547743b57c6df08b47318de6722f2728c8f47347f311e39</t>
  </si>
  <si>
    <t xml:space="preserve">workspace/core4d/results/E173/s6_downstream/cem/full/E173_box001_20231003_1_042_p1_PRG.npz</t>
  </si>
  <si>
    <t xml:space="preserve">workspace/core4d/results/E173/s6_downstream/cem/full/E173_box001_20231003_1_042_p1_PRG_outdir_full/config_act.yaml</t>
  </si>
  <si>
    <t xml:space="preserve">workspace/core4d/results/E173/s3_retarget/omnirt_v1/ref_fk/results/omnirt_v1_ref_fk/contact_masks/dcv3_omnirt_v1_ref_fk_box001_20231003_1_042_p1/raw_contact_mask_3cm.npz</t>
  </si>
  <si>
    <t xml:space="preserve">E194_box001_20231003_1_042_p1_G1_expansion</t>
  </si>
  <si>
    <t xml:space="preserve">workspace/core4d/results/E194/s6_downstream/cem/full_g1_expansion/E194_box001_20231003_1_042_p1_G1_expansion_outdir/trajectory_mjwp_act.npz</t>
  </si>
  <si>
    <t xml:space="preserve">hand_pos,hand_ori</t>
  </si>
  <si>
    <t xml:space="preserve">2b77a1a9f13617386bb0bb7b6b685d0fd48499f04b305166e0e9c5bb43c63ac3</t>
  </si>
  <si>
    <t xml:space="preserve">843ef8a8b9d944ab03aa59d21eb3d55c1eee6d6efbc2d6540178416ea71361ce</t>
  </si>
  <si>
    <t xml:space="preserve">workspace/core4d/results/E194/s6_downstream/cem/full_g1_expansion/E194_box001_20231003_1_042_p1_G1_expansion.npz</t>
  </si>
  <si>
    <t xml:space="preserve">workspace/core4d/results/E194/s6_downstream/cem/full_g1_expansion/E194_box001_20231003_1_042_p1_G1_expansion_outdir/config_act.yaml</t>
  </si>
  <si>
    <t xml:space="preserve">E173_box001_20231003_2_037_p2_PRG</t>
  </si>
  <si>
    <t xml:space="preserve">workspace/core4d/results/E173/s6_downstream/cem/full/E173_box001_20231003_2_037_p2_PRG_outdir_full/trajectory_mjwp_act.npz</t>
  </si>
  <si>
    <t xml:space="preserve">example_datasets/processed/core4d/unitree_g1/humanoid_object/dcv3_omnirt_v1_ref_fk_box001_20231003_2_037_p2/scene_act_E173_rubberHull_PRG.xml</t>
  </si>
  <si>
    <t xml:space="preserve">lower_body,root_pos,root_ori,hand_pos,hand_ori</t>
  </si>
  <si>
    <t xml:space="preserve">63f8b6d63e91dbbb64df3041a19f0259e172823979b76059da1655f32b69b702</t>
  </si>
  <si>
    <t xml:space="preserve">48685c47e31303e4976022fc0a9fd8cc4746f1aa7712815f5b76ceabd11f460f</t>
  </si>
  <si>
    <t xml:space="preserve">f2eb95976d4e8b2bbf9041288b32f3c2da697aba7cd971e7453e8f71fec6e4bb</t>
  </si>
  <si>
    <t xml:space="preserve">workspace/core4d/results/E173/s6_downstream/cem/full/E173_box001_20231003_2_037_p2_PRG.npz</t>
  </si>
  <si>
    <t xml:space="preserve">workspace/core4d/results/E173/s6_downstream/cem/full/E173_box001_20231003_2_037_p2_PRG_outdir_full/config_act.yaml</t>
  </si>
  <si>
    <t xml:space="preserve">workspace/core4d/results/E173/s3_retarget/omnirt_v1/ref_fk/results/omnirt_v1_ref_fk/contact_masks/dcv3_omnirt_v1_ref_fk_box001_20231003_2_037_p2/raw_contact_mask_3cm.npz</t>
  </si>
  <si>
    <t xml:space="preserve">E194_box001_20231003_2_037_p2_G1_expansion</t>
  </si>
  <si>
    <t xml:space="preserve">workspace/core4d/results/E194/s6_downstream/cem/full_g1_expansion/E194_box001_20231003_2_037_p2_G1_expansion_outdir/trajectory_mjwp_act.npz</t>
  </si>
  <si>
    <t xml:space="preserve">4dc8c20418517870939c0d9fd5ea975472ddc778d0c939540d8f35b78b7d38b1</t>
  </si>
  <si>
    <t xml:space="preserve">aa155cc96d40059aefba9185ff3334d554055337c16f81136062dd18ff7155d4</t>
  </si>
  <si>
    <t xml:space="preserve">workspace/core4d/results/E194/s6_downstream/cem/full_g1_expansion/E194_box001_20231003_2_037_p2_G1_expansion.npz</t>
  </si>
  <si>
    <t xml:space="preserve">workspace/core4d/results/E194/s6_downstream/cem/full_g1_expansion/E194_box001_20231003_2_037_p2_G1_expansion_outdir/config_act.yaml</t>
  </si>
  <si>
    <t xml:space="preserve">E173_box001_20231020_010_p1_PRG</t>
  </si>
  <si>
    <t xml:space="preserve">workspace/core4d/results/E173/s6_downstream/cem/full/E173_box001_20231020_010_p1_PRG_outdir_full/trajectory_mjwp_act.npz</t>
  </si>
  <si>
    <t xml:space="preserve">example_datasets/processed/core4d/unitree_g1/humanoid_object/dcv3_omnirt_v1_ref_fk_box001_20231020_010_p1/scene_act_E173_rubberHull_PRG.xml</t>
  </si>
  <si>
    <t xml:space="preserve">lower_body,root_pos,root_ori,hand_ori</t>
  </si>
  <si>
    <t xml:space="preserve">e465232dc0b6c4400ebc8936f6839d5f9739f801a9ee20b6ace8e56f15c087fa</t>
  </si>
  <si>
    <t xml:space="preserve">9ecc94900f8ca2760360977c3f9da614bb42fc20ad359197c7920c5c552a9d72</t>
  </si>
  <si>
    <t xml:space="preserve">f33bba81c28909ddb1f9f0636c930fd92d04d12d0f9f01d4f87f41bf99fc148a</t>
  </si>
  <si>
    <t xml:space="preserve">workspace/core4d/results/E173/s6_downstream/cem/full/E173_box001_20231020_010_p1_PRG.npz</t>
  </si>
  <si>
    <t xml:space="preserve">workspace/core4d/results/E173/s6_downstream/cem/full/E173_box001_20231020_010_p1_PRG_outdir_full/config_act.yaml</t>
  </si>
  <si>
    <t xml:space="preserve">workspace/core4d/results/E173/s3_retarget/omnirt_v1/ref_fk/results/omnirt_v1_ref_fk/contact_masks/dcv3_omnirt_v1_ref_fk_box001_20231020_010_p1/raw_contact_mask_3cm.npz</t>
  </si>
  <si>
    <t xml:space="preserve">E194_box001_20231020_010_p1_G1_expansion</t>
  </si>
  <si>
    <t xml:space="preserve">workspace/core4d/results/E194/s6_downstream/cem/full_g1_expansion/E194_box001_20231020_010_p1_G1_expansion_outdir/trajectory_mjwp_act.npz</t>
  </si>
  <si>
    <t xml:space="preserve">c3d7337f40be520fce3d4428cbbb51fa2c280578e16bc8ed38193225ed0d2595</t>
  </si>
  <si>
    <t xml:space="preserve">01cdb27aa82a6ae54ed78ba67cce68fce0cc06c60e51282af8f65544f679a7fb</t>
  </si>
  <si>
    <t xml:space="preserve">workspace/core4d/results/E194/s6_downstream/cem/full_g1_expansion/E194_box001_20231020_010_p1_G1_expansion.npz</t>
  </si>
  <si>
    <t xml:space="preserve">workspace/core4d/results/E194/s6_downstream/cem/full_g1_expansion/E194_box001_20231020_010_p1_G1_expansion_outdir/config_act.yaml</t>
  </si>
  <si>
    <t xml:space="preserve">E173_box001_20231023_108_p1_PRG</t>
  </si>
  <si>
    <t xml:space="preserve">workspace/core4d/results/E173/s6_downstream/cem/full/E173_box001_20231023_108_p1_PRG_outdir_full/trajectory_mjwp_act.npz</t>
  </si>
  <si>
    <t xml:space="preserve">example_datasets/processed/core4d/unitree_g1/humanoid_object/dcv3_omnirt_v2_ref_fk_box001_20231023_108_p1/scene_act_E173_rubberHull_PRG.xml</t>
  </si>
  <si>
    <t xml:space="preserve">6530073618a5d546a696c136e055e3dbd0fb35d121a3451aff424047b1eece46</t>
  </si>
  <si>
    <t xml:space="preserve">67fc978ed550e63887b5a5d185310b2ca3e5dd3c4858f21d1ff2b681df5fada2</t>
  </si>
  <si>
    <t xml:space="preserve">bb132b3428c37005a5948d3277ae3d4f420eccbd32a606d48a7de6608bdf907d</t>
  </si>
  <si>
    <t xml:space="preserve">workspace/core4d/results/E173/s6_downstream/cem/full/E173_box001_20231023_108_p1_PRG.npz</t>
  </si>
  <si>
    <t xml:space="preserve">workspace/core4d/results/E173/s6_downstream/cem/full/E173_box001_20231023_108_p1_PRG_outdir_full/config_act.yaml</t>
  </si>
  <si>
    <t xml:space="preserve">workspace/core4d/results/E173/s3_retarget/omnirt_v2/ref_fk/results/omnirt_v2_ref_fk/contact_masks/dcv3_omnirt_v2_ref_fk_box001_20231023_108_p1/raw_contact_mask_3cm.npz</t>
  </si>
  <si>
    <t xml:space="preserve">E194_box001_20231023_108_p1_G1_expansion</t>
  </si>
  <si>
    <t xml:space="preserve">workspace/core4d/results/E194/s6_downstream/cem/full_g1_expansion/E194_box001_20231023_108_p1_G1_expansion_outdir/trajectory_mjwp_act.npz</t>
  </si>
  <si>
    <t xml:space="preserve">c279bcc6da7c1cb6d254a11327a536e9a233683ae202c67d55fdba38be88ad58</t>
  </si>
  <si>
    <t xml:space="preserve">acee348d138cbbcb5f1f34ffc957b053367811013c70c012e2fc75b2b6a82e96</t>
  </si>
  <si>
    <t xml:space="preserve">workspace/core4d/results/E194/s6_downstream/cem/full_g1_expansion/E194_box001_20231023_108_p1_G1_expansion.npz</t>
  </si>
  <si>
    <t xml:space="preserve">workspace/core4d/results/E194/s6_downstream/cem/full_g1_expansion/E194_box001_20231023_108_p1_G1_expansion_outdir/config_act.yaml</t>
  </si>
  <si>
    <t xml:space="preserve">E173_box001_20231023_110_p1_PRG</t>
  </si>
  <si>
    <t xml:space="preserve">workspace/core4d/results/E173/s6_downstream/cem/full/E173_box001_20231023_110_p1_PRG_outdir_full/trajectory_mjwp_act.npz</t>
  </si>
  <si>
    <t xml:space="preserve">example_datasets/processed/core4d/unitree_g1/humanoid_object/dcv3_omnirt_v2_ref_fk_box001_20231023_110_p1/scene_act_E173_rubberHull_PRG.xml</t>
  </si>
  <si>
    <t xml:space="preserve">fall,body_z,contact,root_pos,root_ori,hand_pos,hand_ori</t>
  </si>
  <si>
    <t xml:space="preserve">131db7d6229911969f1727015167f7e9d0a5a50cfdffe6b03d7f346e98fcc239</t>
  </si>
  <si>
    <t xml:space="preserve">f74c43527e00e99d94929401ce9ee2739971165cfb6e0ffccf2ccb37acfc59b7</t>
  </si>
  <si>
    <t xml:space="preserve">a6489404f7027e5ad00b2015ff15dd554e3a3b7c44bfffc7a1458c85bf7f7e37</t>
  </si>
  <si>
    <t xml:space="preserve">workspace/core4d/results/E173/s6_downstream/cem/full/E173_box001_20231023_110_p1_PRG.npz</t>
  </si>
  <si>
    <t xml:space="preserve">workspace/core4d/results/E173/s6_downstream/cem/full/E173_box001_20231023_110_p1_PRG_outdir_full/config_act.yaml</t>
  </si>
  <si>
    <t xml:space="preserve">workspace/core4d/results/E173/s3_retarget/omnirt_v2/ref_fk/results/omnirt_v2_ref_fk/contact_masks/dcv3_omnirt_v2_ref_fk_box001_20231023_110_p1/raw_contact_mask_3cm.npz</t>
  </si>
  <si>
    <t xml:space="preserve">E194_box001_20231023_110_p1_G1_expansion</t>
  </si>
  <si>
    <t xml:space="preserve">workspace/core4d/results/E194/s6_downstream/cem/full_g1_expansion/E194_box001_20231023_110_p1_G1_expansion_outdir/trajectory_mjwp_act.npz</t>
  </si>
  <si>
    <t xml:space="preserve">fall,body_z,contact,root_pos,root_ori,hand_pos,hand_ori,object_ori</t>
  </si>
  <si>
    <t xml:space="preserve">744ae76577c460e8f740e1ac94c5c8a66415aaaf8da65b64bfbaf66e27e79eec</t>
  </si>
  <si>
    <t xml:space="preserve">c0f3a0beefb83b7631a01914fb55a8896407ac76f0c467155ed5e227c13e23e1</t>
  </si>
  <si>
    <t xml:space="preserve">workspace/core4d/results/E194/s6_downstream/cem/full_g1_expansion/E194_box001_20231023_110_p1_G1_expansion.npz</t>
  </si>
  <si>
    <t xml:space="preserve">workspace/core4d/results/E194/s6_downstream/cem/full_g1_expansion/E194_box001_20231023_110_p1_G1_expansion_outdir/config_act.yaml</t>
  </si>
  <si>
    <t xml:space="preserve">E173_box023_20231008_046_p2_PRG</t>
  </si>
  <si>
    <t xml:space="preserve">workspace/core4d/results/E173/s6_downstream/cem/full/E173_box023_20231008_046_p2_PRG_outdir_full/trajectory_mjwp_act.npz</t>
  </si>
  <si>
    <t xml:space="preserve">example_datasets/processed/core4d/unitree_g1/humanoid_object/dcv3_omnirt_v1_ref_fk_box023_20231008_046_p2/scene_act_E173_rubberHull_PRG.xml</t>
  </si>
  <si>
    <t xml:space="preserve">ca1452dd3e85a1dd080f4adfd7c79495e8d052e37bc9ba051527f586e2519fc4</t>
  </si>
  <si>
    <t xml:space="preserve">c049f62e2496987fa5b6e3ac91865d4cedbb958fbfc4eae5033389f7af1ef7a1</t>
  </si>
  <si>
    <t xml:space="preserve">19e0079dd8f6f0030ee8dbc282cb01592bd5f919cc9198f0740556f2e367dd8c</t>
  </si>
  <si>
    <t xml:space="preserve">workspace/core4d/results/E173/s6_downstream/cem/full/E173_box023_20231008_046_p2_PRG.npz</t>
  </si>
  <si>
    <t xml:space="preserve">workspace/core4d/results/E173/s6_downstream/cem/full/E173_box023_20231008_046_p2_PRG_outdir_full/config_act.yaml</t>
  </si>
  <si>
    <t xml:space="preserve">workspace/core4d/results/E173/s3_retarget/omnirt_v1/ref_fk/results/omnirt_v1_ref_fk/contact_masks/dcv3_omnirt_v1_ref_fk_box023_20231008_046_p2/raw_contact_mask_3cm.npz</t>
  </si>
  <si>
    <t xml:space="preserve">E194_box023_20231008_046_p2_G1_expansion</t>
  </si>
  <si>
    <t xml:space="preserve">workspace/core4d/results/E194/s6_downstream/cem/full_g1_expansion/E194_box023_20231008_046_p2_G1_expansion_outdir/trajectory_mjwp_act.npz</t>
  </si>
  <si>
    <t xml:space="preserve">8384c422082495e5c72daefdc9816410a8e768b5aa262378a74f623908b50417</t>
  </si>
  <si>
    <t xml:space="preserve">333e8f9cbbf309d08b220ea7ca72baaa52e49b92f40a80fd71f4d61e9bad620c</t>
  </si>
  <si>
    <t xml:space="preserve">workspace/core4d/results/E194/s6_downstream/cem/full_g1_expansion/E194_box023_20231008_046_p2_G1_expansion.npz</t>
  </si>
  <si>
    <t xml:space="preserve">workspace/core4d/results/E194/s6_downstream/cem/full_g1_expansion/E194_box023_20231008_046_p2_G1_expansion_outdir/config_act.yaml</t>
  </si>
  <si>
    <t xml:space="preserve">E173_box023_20231020_040_p1_PRG</t>
  </si>
  <si>
    <t xml:space="preserve">workspace/core4d/results/E173/s6_downstream/cem/full/E173_box023_20231020_040_p1_PRG_outdir_full/trajectory_mjwp_act.npz</t>
  </si>
  <si>
    <t xml:space="preserve">example_datasets/processed/core4d/unitree_g1/humanoid_object/dcv3_omnirt_v1_ref_fk_box023_20231020_040_p1/scene_act_E173_rubberHull_PRG.xml</t>
  </si>
  <si>
    <t xml:space="preserve">6d46ead3fa7152f16676df93cc77e7f1f879de1152017bd48304672b1e34fdce</t>
  </si>
  <si>
    <t xml:space="preserve">b4af8eb101effe273141491f3d8fbd2c566f0803bd922e82d74bc6afcf637a41</t>
  </si>
  <si>
    <t xml:space="preserve">046e7c094c4b7b5edc0e81502c662a60f2bfaf34eb20700c619664a63c13c548</t>
  </si>
  <si>
    <t xml:space="preserve">workspace/core4d/results/E173/s6_downstream/cem/full/E173_box023_20231020_040_p1_PRG.npz</t>
  </si>
  <si>
    <t xml:space="preserve">workspace/core4d/results/E173/s6_downstream/cem/full/E173_box023_20231020_040_p1_PRG_outdir_full/config_act.yaml</t>
  </si>
  <si>
    <t xml:space="preserve">workspace/core4d/results/E173/s3_retarget/omnirt_v1/ref_fk/results/omnirt_v1_ref_fk/contact_masks/dcv3_omnirt_v1_ref_fk_box023_20231020_040_p1/raw_contact_mask_3cm.npz</t>
  </si>
  <si>
    <t xml:space="preserve">E194_box023_20231020_040_p1_G1_expansion</t>
  </si>
  <si>
    <t xml:space="preserve">workspace/core4d/results/E194/s6_downstream/cem/full_g1_expansion/E194_box023_20231020_040_p1_G1_expansion_outdir/trajectory_mjwp_act.npz</t>
  </si>
  <si>
    <t xml:space="preserve">root_pos,object_ori</t>
  </si>
  <si>
    <t xml:space="preserve">a3802202750d9546a86ad3c66d9c49dbe7673577df41d13032fbd46bcd3da102</t>
  </si>
  <si>
    <t xml:space="preserve">576b71ca653a3423a7dab5b549a8ea20938e50cb76c3dcc49855fe8253907fae</t>
  </si>
  <si>
    <t xml:space="preserve">workspace/core4d/results/E194/s6_downstream/cem/full_g1_expansion/E194_box023_20231020_040_p1_G1_expansion.npz</t>
  </si>
  <si>
    <t xml:space="preserve">workspace/core4d/results/E194/s6_downstream/cem/full_g1_expansion/E194_box023_20231020_040_p1_G1_expansion_outdir/config_act.yaml</t>
  </si>
  <si>
    <t xml:space="preserve">E173_box023_20231020_042_p2_PRG</t>
  </si>
  <si>
    <t xml:space="preserve">workspace/core4d/results/E173/s6_downstream/cem/full/E173_box023_20231020_042_p2_PRG_outdir_full/trajectory_mjwp_act.npz</t>
  </si>
  <si>
    <t xml:space="preserve">example_datasets/processed/core4d/unitree_g1/humanoid_object/dcv3_omnirt_v1_ref_fk_box023_20231020_042_p2/scene_act_E173_rubberHull_PRG.xml</t>
  </si>
  <si>
    <t xml:space="preserve">3815579f49fc15194a70aa46fdfe1cf90c7bf44bdf931718ea18032f4f281627</t>
  </si>
  <si>
    <t xml:space="preserve">5abe75caa843b3b5a3c1b3bb3f6017949aca859ec5aaec0b170f3f8a856f2b8f</t>
  </si>
  <si>
    <t xml:space="preserve">98319da08dccffa00dc4e0e36fc602aa8aaf7a5b7bffcd944c94afd9043b61e2</t>
  </si>
  <si>
    <t xml:space="preserve">workspace/core4d/results/E173/s6_downstream/cem/full/E173_box023_20231020_042_p2_PRG.npz</t>
  </si>
  <si>
    <t xml:space="preserve">workspace/core4d/results/E173/s6_downstream/cem/full/E173_box023_20231020_042_p2_PRG_outdir_full/config_act.yaml</t>
  </si>
  <si>
    <t xml:space="preserve">workspace/core4d/results/E173/s3_retarget/omnirt_v1/ref_fk/results/omnirt_v1_ref_fk/contact_masks/dcv3_omnirt_v1_ref_fk_box023_20231020_042_p2/raw_contact_mask_3cm.npz</t>
  </si>
  <si>
    <t xml:space="preserve">E194_box023_20231020_042_p2_G1_expansion</t>
  </si>
  <si>
    <t xml:space="preserve">workspace/core4d/results/E194/s6_downstream/cem/full_g1_expansion/E194_box023_20231020_042_p2_G1_expansion_outdir/trajectory_mjwp_act.npz</t>
  </si>
  <si>
    <t xml:space="preserve">4728ff2a75f72de175c799f4dcc98742371573f318468061330233d8764592ac</t>
  </si>
  <si>
    <t xml:space="preserve">3da0f7531aa765d895ea01820fef2d977c1bbb9238c531b601e910acd4e4e791</t>
  </si>
  <si>
    <t xml:space="preserve">workspace/core4d/results/E194/s6_downstream/cem/full_g1_expansion/E194_box023_20231020_042_p2_G1_expansion.npz</t>
  </si>
  <si>
    <t xml:space="preserve">workspace/core4d/results/E194/s6_downstream/cem/full_g1_expansion/E194_box023_20231020_042_p2_G1_expansion_outdir/config_act.yaml</t>
  </si>
  <si>
    <t xml:space="preserve">E173_box001_20231020_014_p2_PRG</t>
  </si>
  <si>
    <t xml:space="preserve">workspace/core4d/results/E173/s6_downstream/cem/full/E173_box001_20231020_014_p2_PRG_outdir_full/trajectory_mjwp_act.npz</t>
  </si>
  <si>
    <t xml:space="preserve">example_datasets/processed/core4d/unitree_g1/humanoid_object/dcv3_omnirt_v2_ref_fk_box001_20231020_014_p2/scene_act_E173_rubberHull_PRG.xml</t>
  </si>
  <si>
    <t xml:space="preserve">6466d73d55edea1e780f48160d2c760e9927e615bf37c79641fef2bbc319d41d</t>
  </si>
  <si>
    <t xml:space="preserve">d1d91954d6d0d600863ec4f1a8ecf04e79b4864425286b2700d67c14d33829b7</t>
  </si>
  <si>
    <t xml:space="preserve">b6dbdca5fdb928bea47a2ff944ece7ec9ac1cb5d03aeeadae16fbcae0f8e2c7e</t>
  </si>
  <si>
    <t xml:space="preserve">workspace/core4d/results/E173/s6_downstream/cem/full/E173_box001_20231020_014_p2_PRG.npz</t>
  </si>
  <si>
    <t xml:space="preserve">workspace/core4d/results/E173/s6_downstream/cem/full/E173_box001_20231020_014_p2_PRG_outdir_full/config_act.yaml</t>
  </si>
  <si>
    <t xml:space="preserve">workspace/core4d/results/E173/s3_retarget/omnirt_v2/ref_fk/results/omnirt_v2_ref_fk/contact_masks/dcv3_omnirt_v2_ref_fk_box001_20231020_014_p2/raw_contact_mask_3cm.npz</t>
  </si>
  <si>
    <t xml:space="preserve">E194_box001_20231020_014_p2_G1_expansion</t>
  </si>
  <si>
    <t xml:space="preserve">workspace/core4d/results/E194/s6_downstream/cem/full_g1_expansion/E194_box001_20231020_014_p2_G1_expansion_outdir/trajectory_mjwp_act.npz</t>
  </si>
  <si>
    <t xml:space="preserve">747995d82a282589f487ac6c18e4ffe14eb86b80f788c27d5732ac3daeb7b7c2</t>
  </si>
  <si>
    <t xml:space="preserve">526d58e79f293156707b76fd74f8bdfa7aee6301cec4ce924469c6a03a0af103</t>
  </si>
  <si>
    <t xml:space="preserve">workspace/core4d/results/E194/s6_downstream/cem/full_g1_expansion/E194_box001_20231020_014_p2_G1_expansion.npz</t>
  </si>
  <si>
    <t xml:space="preserve">workspace/core4d/results/E194/s6_downstream/cem/full_g1_expansion/E194_box001_20231020_014_p2_G1_expansion_outdir/config_act.yaml</t>
  </si>
  <si>
    <t xml:space="preserve">E173_box001_20231003_1_040_p2_PRG</t>
  </si>
  <si>
    <t xml:space="preserve">workspace/core4d/results/E173/s6_downstream/cem/full/E173_box001_20231003_1_040_p2_PRG_outdir_full/trajectory_mjwp_act.npz</t>
  </si>
  <si>
    <t xml:space="preserve">example_datasets/processed/core4d/unitree_g1/humanoid_object/dcv3_omnirt_v2_ref_fk_box001_20231003_1_040_p2/scene_act_E173_rubberHull_PRG.xml</t>
  </si>
  <si>
    <t xml:space="preserve">release,hand_penetration</t>
  </si>
  <si>
    <t xml:space="preserve">81285d222b350c39172bd0ad8813c786a00d040e267babfd04a730b3e31a052f</t>
  </si>
  <si>
    <t xml:space="preserve">39c7199d2895d43add9ebbce4c33dc151232f3f85516dad2a01a05f5fe0fc3f8</t>
  </si>
  <si>
    <t xml:space="preserve">0a50e9c5a1a5d5385089df7b9d6a3703a4707f2b415ef09d2be1cc50c45d4d39</t>
  </si>
  <si>
    <t xml:space="preserve">workspace/core4d/results/E173/s6_downstream/cem/full/E173_box001_20231003_1_040_p2_PRG.npz</t>
  </si>
  <si>
    <t xml:space="preserve">workspace/core4d/results/E173/s6_downstream/cem/full/E173_box001_20231003_1_040_p2_PRG_outdir_full/config_act.yaml</t>
  </si>
  <si>
    <t xml:space="preserve">workspace/core4d/results/E173/s3_retarget/omnirt_v2/ref_fk/results/omnirt_v2_ref_fk/contact_masks/dcv3_omnirt_v2_ref_fk_box001_20231003_1_040_p2/raw_contact_mask_3cm.npz</t>
  </si>
  <si>
    <t xml:space="preserve">E194_box001_20231003_1_040_p2_G1_expansion</t>
  </si>
  <si>
    <t xml:space="preserve">workspace/core4d/results/E194/s6_downstream/cem/full_g1_expansion/E194_box001_20231003_1_040_p2_G1_expansion_outdir/trajectory_mjwp_act.npz</t>
  </si>
  <si>
    <t xml:space="preserve">cb2853d65cf9157b5f3755d51474e75855696b109c6550cf999cf6bc349822cb</t>
  </si>
  <si>
    <t xml:space="preserve">f7c92731326895abee5e67c49f8968de884d4629d239874fcfe59a61753b040f</t>
  </si>
  <si>
    <t xml:space="preserve">workspace/core4d/results/E194/s6_downstream/cem/full_g1_expansion/E194_box001_20231003_1_040_p2_G1_expansion.npz</t>
  </si>
  <si>
    <t xml:space="preserve">workspace/core4d/results/E194/s6_downstream/cem/full_g1_expansion/E194_box001_20231003_1_040_p2_G1_expansion_outdir/config_act.yaml</t>
  </si>
  <si>
    <t xml:space="preserve">E173_box001_20231003_1_042_p2_PRG</t>
  </si>
  <si>
    <t xml:space="preserve">workspace/core4d/results/E173/s6_downstream/cem/full/E173_box001_20231003_1_042_p2_PRG_outdir_full/trajectory_mjwp_act.npz</t>
  </si>
  <si>
    <t xml:space="preserve">example_datasets/processed/core4d/unitree_g1/humanoid_object/dcv3_omnirt_v1_ref_fk_box001_20231003_1_042_p2/scene_act_E173_rubberHull_PRG.xml</t>
  </si>
  <si>
    <t xml:space="preserve">cc554f2899a06783bdff029733d7f70db89af871866445a86564f485e8861d55</t>
  </si>
  <si>
    <t xml:space="preserve">0bc7865d9c0e3aa812f9dfc4db35a3c1ff23454c1d7c70d3cbb9d4cda200ac29</t>
  </si>
  <si>
    <t xml:space="preserve">db6c4e6adb3d1688648041a9b597a2c2a27f7cb6a5af64cad923f0115e27170d</t>
  </si>
  <si>
    <t xml:space="preserve">workspace/core4d/results/E173/s6_downstream/cem/full/E173_box001_20231003_1_042_p2_PRG.npz</t>
  </si>
  <si>
    <t xml:space="preserve">workspace/core4d/results/E173/s6_downstream/cem/full/E173_box001_20231003_1_042_p2_PRG_outdir_full/config_act.yaml</t>
  </si>
  <si>
    <t xml:space="preserve">workspace/core4d/results/E173/s3_retarget/omnirt_v1/ref_fk/results/omnirt_v1_ref_fk/contact_masks/dcv3_omnirt_v1_ref_fk_box001_20231003_1_042_p2/raw_contact_mask_3cm.npz</t>
  </si>
  <si>
    <t xml:space="preserve">E194_box001_20231003_1_042_p2_G1_expansion</t>
  </si>
  <si>
    <t xml:space="preserve">workspace/core4d/results/E194/s6_downstream/cem/full_g1_expansion/E194_box001_20231003_1_042_p2_G1_expansion_outdir/trajectory_mjwp_act.npz</t>
  </si>
  <si>
    <t xml:space="preserve">50ee56581d8e5f61a2936c8dc0af98c8f44d45bfbc1f73d803f1930c26d362ac</t>
  </si>
  <si>
    <t xml:space="preserve">5576e28afdf4d710bc415595a0a265269a89e5c2134e36b3035f62d96b5acc91</t>
  </si>
  <si>
    <t xml:space="preserve">workspace/core4d/results/E194/s6_downstream/cem/full_g1_expansion/E194_box001_20231003_1_042_p2_G1_expansion.npz</t>
  </si>
  <si>
    <t xml:space="preserve">workspace/core4d/results/E194/s6_downstream/cem/full_g1_expansion/E194_box001_20231003_1_042_p2_G1_expansion_outdir/config_act.yaml</t>
  </si>
  <si>
    <t xml:space="preserve">E173_box001_20231003_2_038_p1_PRG</t>
  </si>
  <si>
    <t xml:space="preserve">workspace/core4d/results/E173/s6_downstream/cem/full/E173_box001_20231003_2_038_p1_PRG_outdir_full/trajectory_mjwp_act.npz</t>
  </si>
  <si>
    <t xml:space="preserve">example_datasets/processed/core4d/unitree_g1/humanoid_object/dcv3_omnirt_v1_ref_fk_box001_20231003_2_038_p1/scene_act_E173_rubberHull_PRG.xml</t>
  </si>
  <si>
    <t xml:space="preserve">94653c7cfef37312191790c9e963687f6b8fb4b7b9870ac5805665b4b58b2d6a</t>
  </si>
  <si>
    <t xml:space="preserve">c0fb539e1c0ce3420e8f21c962ca3b06d401ab4c616eea3e85965217e88ee920</t>
  </si>
  <si>
    <t xml:space="preserve">2dbbd5c8a30589dee6f92754492532dbbebef8d28d5db8d1d453d112d8a9410b</t>
  </si>
  <si>
    <t xml:space="preserve">workspace/core4d/results/E173/s6_downstream/cem/full/E173_box001_20231003_2_038_p1_PRG.npz</t>
  </si>
  <si>
    <t xml:space="preserve">workspace/core4d/results/E173/s6_downstream/cem/full/E173_box001_20231003_2_038_p1_PRG_outdir_full/config_act.yaml</t>
  </si>
  <si>
    <t xml:space="preserve">workspace/core4d/results/E173/s3_retarget/omnirt_v1/ref_fk/results/omnirt_v1_ref_fk/contact_masks/dcv3_omnirt_v1_ref_fk_box001_20231003_2_038_p1/raw_contact_mask_3cm.npz</t>
  </si>
  <si>
    <t xml:space="preserve">E194_box001_20231003_2_038_p1_G1_expansion</t>
  </si>
  <si>
    <t xml:space="preserve">workspace/core4d/results/E194/s6_downstream/cem/full_g1_expansion/E194_box001_20231003_2_038_p1_G1_expansion_outdir/trajectory_mjwp_act.npz</t>
  </si>
  <si>
    <t xml:space="preserve">4ccf372074763b841a98e52fb229464a5cf570e8ebe8f0dd82c5fe9b758d891a</t>
  </si>
  <si>
    <t xml:space="preserve">9722a6fe342b0487db8cecd3b11ac1b91c37098d5e59e1ea0f19c6cd9f30dda9</t>
  </si>
  <si>
    <t xml:space="preserve">workspace/core4d/results/E194/s6_downstream/cem/full_g1_expansion/E194_box001_20231003_2_038_p1_G1_expansion.npz</t>
  </si>
  <si>
    <t xml:space="preserve">workspace/core4d/results/E194/s6_downstream/cem/full_g1_expansion/E194_box001_20231003_2_038_p1_G1_expansion_outdir/config_act.yaml</t>
  </si>
  <si>
    <t xml:space="preserve">E173_box001_20231020_011_p1_PRG</t>
  </si>
  <si>
    <t xml:space="preserve">workspace/core4d/results/E173/s6_downstream/cem/full/E173_box001_20231020_011_p1_PRG_outdir_full/trajectory_mjwp_act.npz</t>
  </si>
  <si>
    <t xml:space="preserve">example_datasets/processed/core4d/unitree_g1/humanoid_object/dcv3_omnirt_v1_ref_fk_box001_20231020_011_p1/scene_act_E173_rubberHull_PRG.xml</t>
  </si>
  <si>
    <t xml:space="preserve">22c3c1e0deb2c7835902efcca583b88c28f76941d15d1841a063bfa340943c71</t>
  </si>
  <si>
    <t xml:space="preserve">4d6b5979bebea9957a00f950d289879faacddb99b0f78a00b1cee4dbb010d4d8</t>
  </si>
  <si>
    <t xml:space="preserve">7cd6a8f1a0b7aef9da7f506e52c768072f0f9d739de2bfd84ab9d42ab900fd88</t>
  </si>
  <si>
    <t xml:space="preserve">workspace/core4d/results/E173/s6_downstream/cem/full/E173_box001_20231020_011_p1_PRG.npz</t>
  </si>
  <si>
    <t xml:space="preserve">workspace/core4d/results/E173/s6_downstream/cem/full/E173_box001_20231020_011_p1_PRG_outdir_full/config_act.yaml</t>
  </si>
  <si>
    <t xml:space="preserve">workspace/core4d/results/E173/s3_retarget/omnirt_v1/ref_fk/results/omnirt_v1_ref_fk/contact_masks/dcv3_omnirt_v1_ref_fk_box001_20231020_011_p1/raw_contact_mask_3cm.npz</t>
  </si>
  <si>
    <t xml:space="preserve">E194_box001_20231020_011_p1_G1_expansion</t>
  </si>
  <si>
    <t xml:space="preserve">workspace/core4d/results/E194/s6_downstream/cem/full_g1_expansion/E194_box001_20231020_011_p1_G1_expansion_outdir/trajectory_mjwp_act.npz</t>
  </si>
  <si>
    <t xml:space="preserve">676a00662ee01bb9e7fe4a76dd61c66da045d974219a9fc571b818e6fcbe20d9</t>
  </si>
  <si>
    <t xml:space="preserve">2866f84564e52d9bf599cdbd1809f55e04b814d40621fac185fe02dee9bc83cc</t>
  </si>
  <si>
    <t xml:space="preserve">workspace/core4d/results/E194/s6_downstream/cem/full_g1_expansion/E194_box001_20231020_011_p1_G1_expansion.npz</t>
  </si>
  <si>
    <t xml:space="preserve">workspace/core4d/results/E194/s6_downstream/cem/full_g1_expansion/E194_box001_20231020_011_p1_G1_expansion_outdir/config_act.yaml</t>
  </si>
  <si>
    <t xml:space="preserve">E173_box001_20231023_108_p2_PRG</t>
  </si>
  <si>
    <t xml:space="preserve">workspace/core4d/results/E173/s6_downstream/cem/full/E173_box001_20231023_108_p2_PRG_outdir_full/trajectory_mjwp_act.npz</t>
  </si>
  <si>
    <t xml:space="preserve">example_datasets/processed/core4d/unitree_g1/humanoid_object/dcv3_omnirt_v1_ref_fk_box001_20231023_108_p2/scene_act_E173_rubberHull_PRG.xml</t>
  </si>
  <si>
    <t xml:space="preserve">be593cddcb78ec26b65d431117fe7d45891662490722738da12b4283d4ed98b3</t>
  </si>
  <si>
    <t xml:space="preserve">5dd0d2a5078d20ff970b6bf24755cce2c0789aabbba71dce9eb5315816214c96</t>
  </si>
  <si>
    <t xml:space="preserve">2321c3e30adb91503595fde994915716e395404b2c937b37c2b23f70d403b34a</t>
  </si>
  <si>
    <t xml:space="preserve">workspace/core4d/results/E173/s6_downstream/cem/full/E173_box001_20231023_108_p2_PRG.npz</t>
  </si>
  <si>
    <t xml:space="preserve">workspace/core4d/results/E173/s6_downstream/cem/full/E173_box001_20231023_108_p2_PRG_outdir_full/config_act.yaml</t>
  </si>
  <si>
    <t xml:space="preserve">workspace/core4d/results/E173/s3_retarget/omnirt_v1/ref_fk/results/omnirt_v1_ref_fk/contact_masks/dcv3_omnirt_v1_ref_fk_box001_20231023_108_p2/raw_contact_mask_3cm.npz</t>
  </si>
  <si>
    <t xml:space="preserve">E194_box001_20231023_108_p2_G1_expansion</t>
  </si>
  <si>
    <t xml:space="preserve">workspace/core4d/results/E194/s6_downstream/cem/full_g1_expansion/E194_box001_20231023_108_p2_G1_expansion_outdir/trajectory_mjwp_act.npz</t>
  </si>
  <si>
    <t xml:space="preserve">a5bbfc9f44d6bc7571450e9895e421f1f76b64cc2e6ea45234c80c25b60d22c3</t>
  </si>
  <si>
    <t xml:space="preserve">efc851852f0025cebc29c95f05d15d8ee0555cffa55f0dbd4ced73e3aeead137</t>
  </si>
  <si>
    <t xml:space="preserve">workspace/core4d/results/E194/s6_downstream/cem/full_g1_expansion/E194_box001_20231023_108_p2_G1_expansion.npz</t>
  </si>
  <si>
    <t xml:space="preserve">workspace/core4d/results/E194/s6_downstream/cem/full_g1_expansion/E194_box001_20231023_108_p2_G1_expansion_outdir/config_act.yaml</t>
  </si>
  <si>
    <t xml:space="preserve">E173_box001_20231023_110_p2_PRG</t>
  </si>
  <si>
    <t xml:space="preserve">workspace/core4d/results/E173/s6_downstream/cem/full/E173_box001_20231023_110_p2_PRG_outdir_full/trajectory_mjwp_act.npz</t>
  </si>
  <si>
    <t xml:space="preserve">example_datasets/processed/core4d/unitree_g1/humanoid_object/dcv3_omnirt_v1_ref_fk_box001_20231023_110_p2/scene_act_E173_rubberHull_PRG.xml</t>
  </si>
  <si>
    <t xml:space="preserve">root_pos,hand_pos</t>
  </si>
  <si>
    <t xml:space="preserve">45a96436487c02522a4f9594a30d471e0725ebec8cba2586dbe01d7ce6ee89a9</t>
  </si>
  <si>
    <t xml:space="preserve">81fde064a2d7c3f66f7cfc9521d430395724ce50c4fbb6bbee4f64e8c07e672e</t>
  </si>
  <si>
    <t xml:space="preserve">8599ad9e257c8f161271d94f1acc02205efa8ef9a34a88ecd051eb758df01a93</t>
  </si>
  <si>
    <t xml:space="preserve">workspace/core4d/results/E173/s6_downstream/cem/full/E173_box001_20231023_110_p2_PRG.npz</t>
  </si>
  <si>
    <t xml:space="preserve">workspace/core4d/results/E173/s6_downstream/cem/full/E173_box001_20231023_110_p2_PRG_outdir_full/config_act.yaml</t>
  </si>
  <si>
    <t xml:space="preserve">workspace/core4d/results/E173/s3_retarget/omnirt_v1/ref_fk/results/omnirt_v1_ref_fk/contact_masks/dcv3_omnirt_v1_ref_fk_box001_20231023_110_p2/raw_contact_mask_3cm.npz</t>
  </si>
  <si>
    <t xml:space="preserve">E194_box001_20231023_110_p2_G1_expansion</t>
  </si>
  <si>
    <t xml:space="preserve">workspace/core4d/results/E194/s6_downstream/cem/full_g1_expansion/E194_box001_20231023_110_p2_G1_expansion_outdir/trajectory_mjwp_act.npz</t>
  </si>
  <si>
    <t xml:space="preserve">c5f5e33d0a008c85ab84c68660a35ffacf67c84ba31f9d88c7fad7398dc22554</t>
  </si>
  <si>
    <t xml:space="preserve">1f65a6985d5ed9e82044a1889d450e487f60f46ca9d6090f5988138a2f69ba2d</t>
  </si>
  <si>
    <t xml:space="preserve">workspace/core4d/results/E194/s6_downstream/cem/full_g1_expansion/E194_box001_20231023_110_p2_G1_expansion.npz</t>
  </si>
  <si>
    <t xml:space="preserve">workspace/core4d/results/E194/s6_downstream/cem/full_g1_expansion/E194_box001_20231023_110_p2_G1_expansion_outdir/config_act.yaml</t>
  </si>
  <si>
    <t xml:space="preserve">E173_box023_20231011_019_p2_PRG</t>
  </si>
  <si>
    <t xml:space="preserve">workspace/core4d/results/E173/s6_downstream/cem/full/E173_box023_20231011_019_p2_PRG_outdir_full/trajectory_mjwp_act.npz</t>
  </si>
  <si>
    <t xml:space="preserve">example_datasets/processed/core4d/unitree_g1/humanoid_object/dcv3_omnirt_v1_ref_fk_box023_20231011_019_p2/scene_act_E173_rubberHull_PRG.xml</t>
  </si>
  <si>
    <t xml:space="preserve">lower_body,root_pos,hand_pos,hand_ori,object_pos</t>
  </si>
  <si>
    <t xml:space="preserve">5a2361f57f8f3ae46600c06dfcefd20ea6266d89aa2cef529aa17bf7cf8a5b3a</t>
  </si>
  <si>
    <t xml:space="preserve">47374352a3029213024925be7b8ecfe50e3f00e7aece0152588394c9b97374a0</t>
  </si>
  <si>
    <t xml:space="preserve">17307c0c031401a45a6b0c72bc65ceb42b7cfd6d418f0670b7849d820a2e1861</t>
  </si>
  <si>
    <t xml:space="preserve">workspace/core4d/results/E173/s6_downstream/cem/full/E173_box023_20231011_019_p2_PRG.npz</t>
  </si>
  <si>
    <t xml:space="preserve">workspace/core4d/results/E173/s6_downstream/cem/full/E173_box023_20231011_019_p2_PRG_outdir_full/config_act.yaml</t>
  </si>
  <si>
    <t xml:space="preserve">workspace/core4d/results/E173/s3_retarget/omnirt_v1/ref_fk/results/omnirt_v1_ref_fk/contact_masks/dcv3_omnirt_v1_ref_fk_box023_20231011_019_p2/raw_contact_mask_3cm.npz</t>
  </si>
  <si>
    <t xml:space="preserve">E194_box023_20231011_019_p2_G1_expansion</t>
  </si>
  <si>
    <t xml:space="preserve">workspace/core4d/results/E194/s6_downstream/cem/full_g1_expansion/E194_box023_20231011_019_p2_G1_expansion_outdir/trajectory_mjwp_act.npz</t>
  </si>
  <si>
    <t xml:space="preserve">lower_body,root_pos,hand_pos,hand_ori</t>
  </si>
  <si>
    <t xml:space="preserve">35678acc2c284a8c2822dc56b44bc6d895d56c3a742fe7648a7fb4f01a7087b0</t>
  </si>
  <si>
    <t xml:space="preserve">c49d81b91e9acd503d8bc9019c8c970f74ccc493b93dc007c7de679e3ee6880b</t>
  </si>
  <si>
    <t xml:space="preserve">workspace/core4d/results/E194/s6_downstream/cem/full_g1_expansion/E194_box023_20231011_019_p2_G1_expansion.npz</t>
  </si>
  <si>
    <t xml:space="preserve">workspace/core4d/results/E194/s6_downstream/cem/full_g1_expansion/E194_box023_20231011_019_p2_G1_expansion_outdir/config_act.yaml</t>
  </si>
  <si>
    <t xml:space="preserve">E173_box023_20231020_040_p2_PRG</t>
  </si>
  <si>
    <t xml:space="preserve">workspace/core4d/results/E173/s6_downstream/cem/full/E173_box023_20231020_040_p2_PRG_outdir_full/trajectory_mjwp_act.npz</t>
  </si>
  <si>
    <t xml:space="preserve">example_datasets/processed/core4d/unitree_g1/humanoid_object/dcv3_omnirt_v1_ref_fk_box023_20231020_040_p2/scene_act_E173_rubberHull_PRG.xml</t>
  </si>
  <si>
    <t xml:space="preserve">d055381cfb3ef00d70404e2e69b3308fbb03292d8cc34c6276caa57c360d5544</t>
  </si>
  <si>
    <t xml:space="preserve">5e3b2126b49412dc460b6a0a291958f875ed62e389bdb68b5d07aa4d8e2cd7e8</t>
  </si>
  <si>
    <t xml:space="preserve">357a1c0be080c1eee65bc79fa7792f8fa66ebf90c2d3c52a25d916c6c537b2cf</t>
  </si>
  <si>
    <t xml:space="preserve">workspace/core4d/results/E173/s6_downstream/cem/full/E173_box023_20231020_040_p2_PRG.npz</t>
  </si>
  <si>
    <t xml:space="preserve">workspace/core4d/results/E173/s6_downstream/cem/full/E173_box023_20231020_040_p2_PRG_outdir_full/config_act.yaml</t>
  </si>
  <si>
    <t xml:space="preserve">workspace/core4d/results/E173/s3_retarget/omnirt_v1/ref_fk/results/omnirt_v1_ref_fk/contact_masks/dcv3_omnirt_v1_ref_fk_box023_20231020_040_p2/raw_contact_mask_3cm.npz</t>
  </si>
  <si>
    <t xml:space="preserve">E194_box023_20231020_040_p2_G1_expansion</t>
  </si>
  <si>
    <t xml:space="preserve">workspace/core4d/results/E194/s6_downstream/cem/full_g1_expansion/E194_box023_20231020_040_p2_G1_expansion_outdir/trajectory_mjwp_act.npz</t>
  </si>
  <si>
    <t xml:space="preserve">c825f04294aae6ad16cd67dffd8300203032fe2683e31aa663b0d6971d97bc0b</t>
  </si>
  <si>
    <t xml:space="preserve">8a94ee86dac307e66d249547a060c5f95c733b28800c8759c9216295ba5c9469</t>
  </si>
  <si>
    <t xml:space="preserve">workspace/core4d/results/E194/s6_downstream/cem/full_g1_expansion/E194_box023_20231020_040_p2_G1_expansion.npz</t>
  </si>
  <si>
    <t xml:space="preserve">workspace/core4d/results/E194/s6_downstream/cem/full_g1_expansion/E194_box023_20231020_040_p2_G1_expansion_outdir/config_act.yaml</t>
  </si>
  <si>
    <t xml:space="preserve">E196_box001_20231003_2_041_p1_G1_reference_fix</t>
  </si>
  <si>
    <t xml:space="preserve">E167A_zOnlyBody_PRG_gravcomp_G1_reference_corrected</t>
  </si>
  <si>
    <t xml:space="preserve">workspace/core4d/results/E196/s6_downstream/cem/full_reference_fix/E196_box001_20231003_2_041_p1_G1_reference_fix_outdir/trajectory_mjwp_act.npz</t>
  </si>
  <si>
    <t xml:space="preserve">G1_corrected</t>
  </si>
  <si>
    <t xml:space="preserve">E196</t>
  </si>
  <si>
    <t xml:space="preserve">ffbbef91d7e5e7a73f6d3a0c95a595031e5c7314866c0d1cdbd5099c34e8eabe</t>
  </si>
  <si>
    <t xml:space="preserve">workspace/core4d/results/E196/s6_downstream/cem/full_reference_fix/E196_box001_20231003_2_041_p1_G1_reference_fix.npz</t>
  </si>
  <si>
    <t xml:space="preserve">workspace/core4d/results/E196/s6_downstream/cem/full_reference_fix/E196_box001_20231003_2_041_p1_G1_reference_fix_outdir/config_act.yaml</t>
  </si>
  <si>
    <t xml:space="preserve">wave0</t>
  </si>
  <si>
    <t xml:space="preserve">E196_box001_20231003_1_039_p1_G1_reference_fix</t>
  </si>
  <si>
    <t xml:space="preserve">workspace/core4d/results/E196/s6_downstream/cem/full_reference_fix/E196_box001_20231003_1_039_p1_G1_reference_fix_outdir/trajectory_mjwp_act.npz</t>
  </si>
  <si>
    <t xml:space="preserve">b04402a882ce7118d7fe91ac813ecbd7de989a7ccbb4c6d517c4c9ab03bb1102</t>
  </si>
  <si>
    <t xml:space="preserve">workspace/core4d/results/E196/s6_downstream/cem/full_reference_fix/E196_box001_20231003_1_039_p1_G1_reference_fix.npz</t>
  </si>
  <si>
    <t xml:space="preserve">workspace/core4d/results/E196/s6_downstream/cem/full_reference_fix/E196_box001_20231003_1_039_p1_G1_reference_fix_outdir/config_act.yaml</t>
  </si>
  <si>
    <t xml:space="preserve">remaining</t>
  </si>
  <si>
    <t xml:space="preserve">E196_box001_20231003_1_041_p1_G1_reference_fix</t>
  </si>
  <si>
    <t xml:space="preserve">workspace/core4d/results/E196/s6_downstream/cem/full_reference_fix/E196_box001_20231003_1_041_p1_G1_reference_fix_outdir/trajectory_mjwp_act.npz</t>
  </si>
  <si>
    <t xml:space="preserve">hand_penetration,root_pos</t>
  </si>
  <si>
    <t xml:space="preserve">7bb9189c08d243756272dbe471aa1a66dc2c76083ca1ac651360193f18b60af5</t>
  </si>
  <si>
    <t xml:space="preserve">workspace/core4d/results/E196/s6_downstream/cem/full_reference_fix/E196_box001_20231003_1_041_p1_G1_reference_fix.npz</t>
  </si>
  <si>
    <t xml:space="preserve">workspace/core4d/results/E196/s6_downstream/cem/full_reference_fix/E196_box001_20231003_1_041_p1_G1_reference_fix_outdir/config_act.yaml</t>
  </si>
  <si>
    <t xml:space="preserve">E196_box001_20231003_2_037_p1_G1_reference_fix</t>
  </si>
  <si>
    <t xml:space="preserve">workspace/core4d/results/E196/s6_downstream/cem/full_reference_fix/E196_box001_20231003_2_037_p1_G1_reference_fix_outdir/trajectory_mjwp_act.npz</t>
  </si>
  <si>
    <t xml:space="preserve">2f03273e04d0a48c545ba1d94e68714ace85dad7f934baeb38d8ef3e6dc02445</t>
  </si>
  <si>
    <t xml:space="preserve">workspace/core4d/results/E196/s6_downstream/cem/full_reference_fix/E196_box001_20231003_2_037_p1_G1_reference_fix.npz</t>
  </si>
  <si>
    <t xml:space="preserve">workspace/core4d/results/E196/s6_downstream/cem/full_reference_fix/E196_box001_20231003_2_037_p1_G1_reference_fix_outdir/config_act.yaml</t>
  </si>
  <si>
    <t xml:space="preserve">E196_box001_20231003_2_039_p1_G1_reference_fix</t>
  </si>
  <si>
    <t xml:space="preserve">workspace/core4d/results/E196/s6_downstream/cem/full_reference_fix/E196_box001_20231003_2_039_p1_G1_reference_fix_outdir/trajectory_mjwp_act.npz</t>
  </si>
  <si>
    <t xml:space="preserve">7ab2235bd4084207d0f096599bcb3a0c5910f24ecbe230e54febf5270f5f7082</t>
  </si>
  <si>
    <t xml:space="preserve">workspace/core4d/results/E196/s6_downstream/cem/full_reference_fix/E196_box001_20231003_2_039_p1_G1_reference_fix.npz</t>
  </si>
  <si>
    <t xml:space="preserve">workspace/core4d/results/E196/s6_downstream/cem/full_reference_fix/E196_box001_20231003_2_039_p1_G1_reference_fix_outdir/config_act.yaml</t>
  </si>
  <si>
    <t xml:space="preserve">E196_box001_20231023_107_p2_G1_reference_fix</t>
  </si>
  <si>
    <t xml:space="preserve">workspace/core4d/results/E196/s6_downstream/cem/full_reference_fix/E196_box001_20231023_107_p2_G1_reference_fix_outdir/trajectory_mjwp_act.npz</t>
  </si>
  <si>
    <t xml:space="preserve">hand_penetration,hand_ori</t>
  </si>
  <si>
    <t xml:space="preserve">845f0d16b99b460ae353c7a34a00a19037a5ccb5c70a1f4d9b59e65c7f19a3cb</t>
  </si>
  <si>
    <t xml:space="preserve">workspace/core4d/results/E196/s6_downstream/cem/full_reference_fix/E196_box001_20231023_107_p2_G1_reference_fix.npz</t>
  </si>
  <si>
    <t xml:space="preserve">workspace/core4d/results/E196/s6_downstream/cem/full_reference_fix/E196_box001_20231023_107_p2_G1_reference_fix_outdir/config_act.yaml</t>
  </si>
  <si>
    <t xml:space="preserve">E196_box001_20231023_109_p2_G1_reference_fix</t>
  </si>
  <si>
    <t xml:space="preserve">workspace/core4d/results/E196/s6_downstream/cem/full_reference_fix/E196_box001_20231023_109_p2_G1_reference_fix_outdir/trajectory_mjwp_act.npz</t>
  </si>
  <si>
    <t xml:space="preserve">99c95d78b08cf7f7697ad30ff8f7a5038de0ed882eee6aa1f17a74ba0d1dcd67</t>
  </si>
  <si>
    <t xml:space="preserve">workspace/core4d/results/E196/s6_downstream/cem/full_reference_fix/E196_box001_20231023_109_p2_G1_reference_fix.npz</t>
  </si>
  <si>
    <t xml:space="preserve">workspace/core4d/results/E196/s6_downstream/cem/full_reference_fix/E196_box001_20231023_109_p2_G1_reference_fix_outdir/config_act.yaml</t>
  </si>
  <si>
    <t xml:space="preserve">E196_box023_20231008_046_p1_G1_reference_fix</t>
  </si>
  <si>
    <t xml:space="preserve">workspace/core4d/results/E196/s6_downstream/cem/full_reference_fix/E196_box023_20231008_046_p1_G1_reference_fix_outdir/trajectory_mjwp_act.npz</t>
  </si>
  <si>
    <t xml:space="preserve">99cc2c06bcdcfb129657242b915c1e7e064366fb1094cb41d8072f5006ab113b</t>
  </si>
  <si>
    <t xml:space="preserve">workspace/core4d/results/E196/s6_downstream/cem/full_reference_fix/E196_box023_20231008_046_p1_G1_reference_fix.npz</t>
  </si>
  <si>
    <t xml:space="preserve">workspace/core4d/results/E196/s6_downstream/cem/full_reference_fix/E196_box023_20231008_046_p1_G1_reference_fix_outdir/config_act.yaml</t>
  </si>
  <si>
    <t xml:space="preserve">E196_box023_20231011_021_p1_G1_reference_fix</t>
  </si>
  <si>
    <t xml:space="preserve">workspace/core4d/results/E196/s6_downstream/cem/full_reference_fix/E196_box023_20231011_021_p1_G1_reference_fix_outdir/trajectory_mjwp_act.npz</t>
  </si>
  <si>
    <t xml:space="preserve">89844f5e59fcb442e6b36342f6c1b5e4adcd382551fc1140267aaf2b978bf697</t>
  </si>
  <si>
    <t xml:space="preserve">workspace/core4d/results/E196/s6_downstream/cem/full_reference_fix/E196_box023_20231011_021_p1_G1_reference_fix.npz</t>
  </si>
  <si>
    <t xml:space="preserve">workspace/core4d/results/E196/s6_downstream/cem/full_reference_fix/E196_box023_20231011_021_p1_G1_reference_fix_outdir/config_act.yaml</t>
  </si>
  <si>
    <t xml:space="preserve">E196_box023_20231020_042_p1_G1_reference_fix</t>
  </si>
  <si>
    <t xml:space="preserve">workspace/core4d/results/E196/s6_downstream/cem/full_reference_fix/E196_box023_20231020_042_p1_G1_reference_fix_outdir/trajectory_mjwp_act.npz</t>
  </si>
  <si>
    <t xml:space="preserve">hand_penetration,root_pos,hand_pos,hand_ori</t>
  </si>
  <si>
    <t xml:space="preserve">d671714e013c1c9f04d387acb127debcb9ecd51e56191ccb8758c51919c48c16</t>
  </si>
  <si>
    <t xml:space="preserve">workspace/core4d/results/E196/s6_downstream/cem/full_reference_fix/E196_box023_20231020_042_p1_G1_reference_fix.npz</t>
  </si>
  <si>
    <t xml:space="preserve">workspace/core4d/results/E196/s6_downstream/cem/full_reference_fix/E196_box023_20231020_042_p1_G1_reference_fix_outdir/config_act.yaml</t>
  </si>
  <si>
    <t xml:space="preserve">E196_box001_20231020_014_p1_G1_reference_fix</t>
  </si>
  <si>
    <t xml:space="preserve">workspace/core4d/results/E196/s6_downstream/cem/full_reference_fix/E196_box001_20231020_014_p1_G1_reference_fix_outdir/trajectory_mjwp_act.npz</t>
  </si>
  <si>
    <t xml:space="preserve">1701bbd1915a3ffe109cd1ef05bd8d2f992110afa1f8a172198dfd54eede2c78</t>
  </si>
  <si>
    <t xml:space="preserve">workspace/core4d/results/E196/s6_downstream/cem/full_reference_fix/E196_box001_20231020_014_p1_G1_reference_fix.npz</t>
  </si>
  <si>
    <t xml:space="preserve">workspace/core4d/results/E196/s6_downstream/cem/full_reference_fix/E196_box001_20231020_014_p1_G1_reference_fix_outdir/config_act.yaml</t>
  </si>
  <si>
    <t xml:space="preserve">E196_box001_20231003_1_040_p1_G1_reference_fix</t>
  </si>
  <si>
    <t xml:space="preserve">workspace/core4d/results/E196/s6_downstream/cem/full_reference_fix/E196_box001_20231003_1_040_p1_G1_reference_fix_outdir/trajectory_mjwp_act.npz</t>
  </si>
  <si>
    <t xml:space="preserve">426db9e94f218c9064122887a01a70f164c43bb046f27119aa054bec8cc3ca39</t>
  </si>
  <si>
    <t xml:space="preserve">workspace/core4d/results/E196/s6_downstream/cem/full_reference_fix/E196_box001_20231003_1_040_p1_G1_reference_fix.npz</t>
  </si>
  <si>
    <t xml:space="preserve">workspace/core4d/results/E196/s6_downstream/cem/full_reference_fix/E196_box001_20231003_1_040_p1_G1_reference_fix_outdir/config_act.yaml</t>
  </si>
  <si>
    <t xml:space="preserve">E196_box001_20231003_1_042_p1_G1_reference_fix</t>
  </si>
  <si>
    <t xml:space="preserve">workspace/core4d/results/E196/s6_downstream/cem/full_reference_fix/E196_box001_20231003_1_042_p1_G1_reference_fix_outdir/trajectory_mjwp_act.npz</t>
  </si>
  <si>
    <t xml:space="preserve">7edafef56898e2ed754c01fe389202a4abe2d568f9c0bb4f1dfcb09cb255653d</t>
  </si>
  <si>
    <t xml:space="preserve">workspace/core4d/results/E196/s6_downstream/cem/full_reference_fix/E196_box001_20231003_1_042_p1_G1_reference_fix.npz</t>
  </si>
  <si>
    <t xml:space="preserve">workspace/core4d/results/E196/s6_downstream/cem/full_reference_fix/E196_box001_20231003_1_042_p1_G1_reference_fix_outdir/config_act.yaml</t>
  </si>
  <si>
    <t xml:space="preserve">E196_box001_20231003_2_037_p2_G1_reference_fix</t>
  </si>
  <si>
    <t xml:space="preserve">workspace/core4d/results/E196/s6_downstream/cem/full_reference_fix/E196_box001_20231003_2_037_p2_G1_reference_fix_outdir/trajectory_mjwp_act.npz</t>
  </si>
  <si>
    <t xml:space="preserve">hand_penetration,root_pos,hand_ori</t>
  </si>
  <si>
    <t xml:space="preserve">8a5e1118c9ac5e180fec189c9a93c74388f300f86e90549ada52e9937527de38</t>
  </si>
  <si>
    <t xml:space="preserve">workspace/core4d/results/E196/s6_downstream/cem/full_reference_fix/E196_box001_20231003_2_037_p2_G1_reference_fix.npz</t>
  </si>
  <si>
    <t xml:space="preserve">workspace/core4d/results/E196/s6_downstream/cem/full_reference_fix/E196_box001_20231003_2_037_p2_G1_reference_fix_outdir/config_act.yaml</t>
  </si>
  <si>
    <t xml:space="preserve">E196_box001_20231020_010_p1_G1_reference_fix</t>
  </si>
  <si>
    <t xml:space="preserve">workspace/core4d/results/E196/s6_downstream/cem/full_reference_fix/E196_box001_20231020_010_p1_G1_reference_fix_outdir/trajectory_mjwp_act.npz</t>
  </si>
  <si>
    <t xml:space="preserve">root_pos,root_ori,hand_pos,hand_ori</t>
  </si>
  <si>
    <t xml:space="preserve">3b8cdbbd753668d9e3e8f946656b94a738157acb25a468660e4312c5b1bfcb66</t>
  </si>
  <si>
    <t xml:space="preserve">workspace/core4d/results/E196/s6_downstream/cem/full_reference_fix/E196_box001_20231020_010_p1_G1_reference_fix.npz</t>
  </si>
  <si>
    <t xml:space="preserve">workspace/core4d/results/E196/s6_downstream/cem/full_reference_fix/E196_box001_20231020_010_p1_G1_reference_fix_outdir/config_act.yaml</t>
  </si>
  <si>
    <t xml:space="preserve">E196_box001_20231023_108_p1_G1_reference_fix</t>
  </si>
  <si>
    <t xml:space="preserve">workspace/core4d/results/E196/s6_downstream/cem/full_reference_fix/E196_box001_20231023_108_p1_G1_reference_fix_outdir/trajectory_mjwp_act.npz</t>
  </si>
  <si>
    <t xml:space="preserve">3e704a2ef51ff8f1296b53444aa1d44bb470c4f84307624d6e00d7244c5a4c3a</t>
  </si>
  <si>
    <t xml:space="preserve">workspace/core4d/results/E196/s6_downstream/cem/full_reference_fix/E196_box001_20231023_108_p1_G1_reference_fix.npz</t>
  </si>
  <si>
    <t xml:space="preserve">workspace/core4d/results/E196/s6_downstream/cem/full_reference_fix/E196_box001_20231023_108_p1_G1_reference_fix_outdir/config_act.yaml</t>
  </si>
  <si>
    <t xml:space="preserve">E196_box001_20231023_110_p1_G1_reference_fix</t>
  </si>
  <si>
    <t xml:space="preserve">workspace/core4d/results/E196/s6_downstream/cem/full_reference_fix/E196_box001_20231023_110_p1_G1_reference_fix_outdir/trajectory_mjwp_act.npz</t>
  </si>
  <si>
    <t xml:space="preserve">96305369c4316cb264815b7edb36b607f0f0c13ab3c0df8648244285fa32316b</t>
  </si>
  <si>
    <t xml:space="preserve">workspace/core4d/results/E196/s6_downstream/cem/full_reference_fix/E196_box001_20231023_110_p1_G1_reference_fix.npz</t>
  </si>
  <si>
    <t xml:space="preserve">workspace/core4d/results/E196/s6_downstream/cem/full_reference_fix/E196_box001_20231023_110_p1_G1_reference_fix_outdir/config_act.yaml</t>
  </si>
  <si>
    <t xml:space="preserve">E196_box023_20231008_046_p2_G1_reference_fix</t>
  </si>
  <si>
    <t xml:space="preserve">workspace/core4d/results/E196/s6_downstream/cem/full_reference_fix/E196_box023_20231008_046_p2_G1_reference_fix_outdir/trajectory_mjwp_act.npz</t>
  </si>
  <si>
    <t xml:space="preserve">8f412f0e3265b1f0628c130f2c6a56aafa3fd65b7b75c693e02cd64fac7a967a</t>
  </si>
  <si>
    <t xml:space="preserve">workspace/core4d/results/E196/s6_downstream/cem/full_reference_fix/E196_box023_20231008_046_p2_G1_reference_fix.npz</t>
  </si>
  <si>
    <t xml:space="preserve">workspace/core4d/results/E196/s6_downstream/cem/full_reference_fix/E196_box023_20231008_046_p2_G1_reference_fix_outdir/config_act.yaml</t>
  </si>
  <si>
    <t xml:space="preserve">E196_box023_20231020_040_p1_G1_reference_fix</t>
  </si>
  <si>
    <t xml:space="preserve">workspace/core4d/results/E196/s6_downstream/cem/full_reference_fix/E196_box023_20231020_040_p1_G1_reference_fix_outdir/trajectory_mjwp_act.npz</t>
  </si>
  <si>
    <t xml:space="preserve">6ada5da13dff45cbe906d9ceb7de45fd010660c589c00a8fdaabb0be68fa331c</t>
  </si>
  <si>
    <t xml:space="preserve">workspace/core4d/results/E196/s6_downstream/cem/full_reference_fix/E196_box023_20231020_040_p1_G1_reference_fix.npz</t>
  </si>
  <si>
    <t xml:space="preserve">workspace/core4d/results/E196/s6_downstream/cem/full_reference_fix/E196_box023_20231020_040_p1_G1_reference_fix_outdir/config_act.yaml</t>
  </si>
  <si>
    <t xml:space="preserve">E196_box023_20231020_042_p2_G1_reference_fix</t>
  </si>
  <si>
    <t xml:space="preserve">workspace/core4d/results/E196/s6_downstream/cem/full_reference_fix/E196_box023_20231020_042_p2_G1_reference_fix_outdir/trajectory_mjwp_act.npz</t>
  </si>
  <si>
    <t xml:space="preserve">3f4fb8a863159ac1e132729460899b33afb4a23a48d7330df8a1ea960f14ac4c</t>
  </si>
  <si>
    <t xml:space="preserve">workspace/core4d/results/E196/s6_downstream/cem/full_reference_fix/E196_box023_20231020_042_p2_G1_reference_fix.npz</t>
  </si>
  <si>
    <t xml:space="preserve">workspace/core4d/results/E196/s6_downstream/cem/full_reference_fix/E196_box023_20231020_042_p2_G1_reference_fix_outdir/config_act.yaml</t>
  </si>
  <si>
    <t xml:space="preserve">E196_box001_20231020_014_p2_G1_reference_fix</t>
  </si>
  <si>
    <t xml:space="preserve">workspace/core4d/results/E196/s6_downstream/cem/full_reference_fix/E196_box001_20231020_014_p2_G1_reference_fix_outdir/trajectory_mjwp_act.npz</t>
  </si>
  <si>
    <t xml:space="preserve">61b8f8ae69d8a0d6d85efeda216252cf62b4e95422d1dab4e3443625fc7dee64</t>
  </si>
  <si>
    <t xml:space="preserve">workspace/core4d/results/E196/s6_downstream/cem/full_reference_fix/E196_box001_20231020_014_p2_G1_reference_fix.npz</t>
  </si>
  <si>
    <t xml:space="preserve">workspace/core4d/results/E196/s6_downstream/cem/full_reference_fix/E196_box001_20231020_014_p2_G1_reference_fix_outdir/config_act.yaml</t>
  </si>
  <si>
    <t xml:space="preserve">E196_box001_20231003_1_040_p2_G1_reference_fix</t>
  </si>
  <si>
    <t xml:space="preserve">workspace/core4d/results/E196/s6_downstream/cem/full_reference_fix/E196_box001_20231003_1_040_p2_G1_reference_fix_outdir/trajectory_mjwp_act.npz</t>
  </si>
  <si>
    <t xml:space="preserve">45c6fdf473ed773c0a95d3a5dd45d20090c7d74fa8b11ac73a8ce5ac71cbb9e6</t>
  </si>
  <si>
    <t xml:space="preserve">workspace/core4d/results/E196/s6_downstream/cem/full_reference_fix/E196_box001_20231003_1_040_p2_G1_reference_fix.npz</t>
  </si>
  <si>
    <t xml:space="preserve">workspace/core4d/results/E196/s6_downstream/cem/full_reference_fix/E196_box001_20231003_1_040_p2_G1_reference_fix_outdir/config_act.yaml</t>
  </si>
  <si>
    <t xml:space="preserve">E196_box001_20231003_1_042_p2_G1_reference_fix</t>
  </si>
  <si>
    <t xml:space="preserve">workspace/core4d/results/E196/s6_downstream/cem/full_reference_fix/E196_box001_20231003_1_042_p2_G1_reference_fix_outdir/trajectory_mjwp_act.npz</t>
  </si>
  <si>
    <t xml:space="preserve">9d6d4c32b50654b2df0147326516e692aa0e0b6268f616088076d2e8ab84606d</t>
  </si>
  <si>
    <t xml:space="preserve">workspace/core4d/results/E196/s6_downstream/cem/full_reference_fix/E196_box001_20231003_1_042_p2_G1_reference_fix.npz</t>
  </si>
  <si>
    <t xml:space="preserve">workspace/core4d/results/E196/s6_downstream/cem/full_reference_fix/E196_box001_20231003_1_042_p2_G1_reference_fix_outdir/config_act.yaml</t>
  </si>
  <si>
    <t xml:space="preserve">E196_box001_20231003_2_038_p1_G1_reference_fix</t>
  </si>
  <si>
    <t xml:space="preserve">workspace/core4d/results/E196/s6_downstream/cem/full_reference_fix/E196_box001_20231003_2_038_p1_G1_reference_fix_outdir/trajectory_mjwp_act.npz</t>
  </si>
  <si>
    <t xml:space="preserve">f0e2f155609ea41faff9f7ad22f8c9cae70f05a03362f818e0620b2d0ade9154</t>
  </si>
  <si>
    <t xml:space="preserve">workspace/core4d/results/E196/s6_downstream/cem/full_reference_fix/E196_box001_20231003_2_038_p1_G1_reference_fix.npz</t>
  </si>
  <si>
    <t xml:space="preserve">workspace/core4d/results/E196/s6_downstream/cem/full_reference_fix/E196_box001_20231003_2_038_p1_G1_reference_fix_outdir/config_act.yaml</t>
  </si>
  <si>
    <t xml:space="preserve">E196_box001_20231020_011_p1_G1_reference_fix</t>
  </si>
  <si>
    <t xml:space="preserve">workspace/core4d/results/E196/s6_downstream/cem/full_reference_fix/E196_box001_20231020_011_p1_G1_reference_fix_outdir/trajectory_mjwp_act.npz</t>
  </si>
  <si>
    <t xml:space="preserve">766f1a2513a86611b74a0cd542370a610aa6be768c666d69c8f9cd7528b9f14c</t>
  </si>
  <si>
    <t xml:space="preserve">workspace/core4d/results/E196/s6_downstream/cem/full_reference_fix/E196_box001_20231020_011_p1_G1_reference_fix.npz</t>
  </si>
  <si>
    <t xml:space="preserve">workspace/core4d/results/E196/s6_downstream/cem/full_reference_fix/E196_box001_20231020_011_p1_G1_reference_fix_outdir/config_act.yaml</t>
  </si>
  <si>
    <t xml:space="preserve">E196_box001_20231023_108_p2_G1_reference_fix</t>
  </si>
  <si>
    <t xml:space="preserve">workspace/core4d/results/E196/s6_downstream/cem/full_reference_fix/E196_box001_20231023_108_p2_G1_reference_fix_outdir/trajectory_mjwp_act.npz</t>
  </si>
  <si>
    <t xml:space="preserve">d153477455c985f8210092d852fdc38d977e99743767ef3dbe5ad2f688d29ec2</t>
  </si>
  <si>
    <t xml:space="preserve">workspace/core4d/results/E196/s6_downstream/cem/full_reference_fix/E196_box001_20231023_108_p2_G1_reference_fix.npz</t>
  </si>
  <si>
    <t xml:space="preserve">workspace/core4d/results/E196/s6_downstream/cem/full_reference_fix/E196_box001_20231023_108_p2_G1_reference_fix_outdir/config_act.yaml</t>
  </si>
  <si>
    <t xml:space="preserve">E196_box001_20231023_110_p2_G1_reference_fix</t>
  </si>
  <si>
    <t xml:space="preserve">workspace/core4d/results/E196/s6_downstream/cem/full_reference_fix/E196_box001_20231023_110_p2_G1_reference_fix_outdir/trajectory_mjwp_act.npz</t>
  </si>
  <si>
    <t xml:space="preserve">903a3ced4c6fb5657104d948de0b634d5ef40d2fc5094a6dded007905b6a740e</t>
  </si>
  <si>
    <t xml:space="preserve">workspace/core4d/results/E196/s6_downstream/cem/full_reference_fix/E196_box001_20231023_110_p2_G1_reference_fix.npz</t>
  </si>
  <si>
    <t xml:space="preserve">workspace/core4d/results/E196/s6_downstream/cem/full_reference_fix/E196_box001_20231023_110_p2_G1_reference_fix_outdir/config_act.yaml</t>
  </si>
  <si>
    <t xml:space="preserve">E196_box023_20231011_019_p2_G1_reference_fix</t>
  </si>
  <si>
    <t xml:space="preserve">workspace/core4d/results/E196/s6_downstream/cem/full_reference_fix/E196_box023_20231011_019_p2_G1_reference_fix_outdir/trajectory_mjwp_act.npz</t>
  </si>
  <si>
    <t xml:space="preserve">02cc6edc7a3fb34a13c823c7cc01fb33817ce24ac44946e6ea50577612f96ddd</t>
  </si>
  <si>
    <t xml:space="preserve">workspace/core4d/results/E196/s6_downstream/cem/full_reference_fix/E196_box023_20231011_019_p2_G1_reference_fix.npz</t>
  </si>
  <si>
    <t xml:space="preserve">workspace/core4d/results/E196/s6_downstream/cem/full_reference_fix/E196_box023_20231011_019_p2_G1_reference_fix_outdir/config_act.yaml</t>
  </si>
  <si>
    <t xml:space="preserve">E196_box023_20231020_040_p2_G1_reference_fix</t>
  </si>
  <si>
    <t xml:space="preserve">workspace/core4d/results/E196/s6_downstream/cem/full_reference_fix/E196_box023_20231020_040_p2_G1_reference_fix_outdir/trajectory_mjwp_act.npz</t>
  </si>
  <si>
    <t xml:space="preserve">3f36abd95f53512f641fa1262b13d7575154565bb602deba4a3e9ac1af538a74</t>
  </si>
  <si>
    <t xml:space="preserve">workspace/core4d/results/E196/s6_downstream/cem/full_reference_fix/E196_box023_20231020_040_p2_G1_reference_fix.npz</t>
  </si>
  <si>
    <t xml:space="preserve">workspace/core4d/results/E196/s6_downstream/cem/full_reference_fix/E196_box023_20231020_040_p2_G1_reference_fix_outdir/config_act.yaml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</si>
</sst>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9">
    <dxf>
      <fill>
        <patternFill patternType="solid">
          <fgColor rgb="FF4472C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6AC07C"/>
        </patternFill>
      </fill>
    </dxf>
    <dxf>
      <fill>
        <patternFill patternType="solid">
          <fgColor rgb="FF7FC67D"/>
        </patternFill>
      </fill>
    </dxf>
    <dxf>
      <fill>
        <patternFill patternType="solid">
          <fgColor rgb="FF85C87D"/>
        </patternFill>
      </fill>
    </dxf>
    <dxf>
      <fill>
        <patternFill patternType="solid">
          <fgColor rgb="FF93CC7E"/>
        </patternFill>
      </fill>
    </dxf>
    <dxf>
      <fill>
        <patternFill patternType="solid">
          <fgColor rgb="FFB0D580"/>
        </patternFill>
      </fill>
    </dxf>
    <dxf>
      <fill>
        <patternFill patternType="solid">
          <fgColor rgb="FFB4D680"/>
        </patternFill>
      </fill>
    </dxf>
    <dxf>
      <fill>
        <patternFill patternType="solid">
          <fgColor rgb="FFB7D780"/>
        </patternFill>
      </fill>
    </dxf>
    <dxf>
      <fill>
        <patternFill patternType="solid">
          <fgColor rgb="FFBDD881"/>
        </patternFill>
      </fill>
    </dxf>
    <dxf>
      <fill>
        <patternFill patternType="solid">
          <fgColor rgb="FFBED981"/>
        </patternFill>
      </fill>
    </dxf>
    <dxf>
      <fill>
        <patternFill patternType="solid">
          <fgColor rgb="FFBFD981"/>
        </patternFill>
      </fill>
    </dxf>
    <dxf>
      <fill>
        <patternFill patternType="solid">
          <fgColor rgb="FFC6DB81"/>
        </patternFill>
      </fill>
    </dxf>
    <dxf>
      <fill>
        <patternFill patternType="solid">
          <fgColor rgb="FFC7DB81"/>
        </patternFill>
      </fill>
    </dxf>
    <dxf>
      <fill>
        <patternFill patternType="solid">
          <fgColor rgb="FFCBDC81"/>
        </patternFill>
      </fill>
    </dxf>
    <dxf>
      <fill>
        <patternFill patternType="solid">
          <fgColor rgb="FFCEDD82"/>
        </patternFill>
      </fill>
    </dxf>
    <dxf>
      <fill>
        <patternFill patternType="solid">
          <fgColor rgb="FFCFDE82"/>
        </patternFill>
      </fill>
    </dxf>
    <dxf>
      <fill>
        <patternFill patternType="solid">
          <fgColor rgb="FFD2DE82"/>
        </patternFill>
      </fill>
    </dxf>
    <dxf>
      <fill>
        <patternFill patternType="solid">
          <fgColor rgb="FFD3DF82"/>
        </patternFill>
      </fill>
    </dxf>
    <dxf>
      <fill>
        <patternFill patternType="solid">
          <fgColor rgb="FFD4DF82"/>
        </patternFill>
      </fill>
    </dxf>
    <dxf>
      <fill>
        <patternFill patternType="solid">
          <fgColor rgb="FFD5DF82"/>
        </patternFill>
      </fill>
    </dxf>
    <dxf>
      <fill>
        <patternFill patternType="solid">
          <fgColor rgb="FFD8E082"/>
        </patternFill>
      </fill>
    </dxf>
    <dxf>
      <fill>
        <patternFill patternType="solid">
          <fgColor rgb="FFD9E182"/>
        </patternFill>
      </fill>
    </dxf>
    <dxf>
      <fill>
        <patternFill patternType="solid">
          <fgColor rgb="FFDAE182"/>
        </patternFill>
      </fill>
    </dxf>
    <dxf>
      <fill>
        <patternFill patternType="solid">
          <fgColor rgb="FFDBE182"/>
        </patternFill>
      </fill>
    </dxf>
    <dxf>
      <fill>
        <patternFill patternType="solid">
          <fgColor rgb="FFDCE182"/>
        </patternFill>
      </fill>
    </dxf>
    <dxf>
      <fill>
        <patternFill patternType="solid">
          <fgColor rgb="FFDEE283"/>
        </patternFill>
      </fill>
    </dxf>
    <dxf>
      <fill>
        <patternFill patternType="solid">
          <fgColor rgb="FFDFE283"/>
        </patternFill>
      </fill>
    </dxf>
    <dxf>
      <fill>
        <patternFill patternType="solid">
          <fgColor rgb="FFE0E283"/>
        </patternFill>
      </fill>
    </dxf>
    <dxf>
      <fill>
        <patternFill patternType="solid">
          <fgColor rgb="FFE1E383"/>
        </patternFill>
      </fill>
    </dxf>
    <dxf>
      <fill>
        <patternFill patternType="solid">
          <fgColor rgb="FFE2E383"/>
        </patternFill>
      </fill>
    </dxf>
    <dxf>
      <fill>
        <patternFill patternType="solid">
          <fgColor rgb="FFE4E383"/>
        </patternFill>
      </fill>
    </dxf>
    <dxf>
      <fill>
        <patternFill patternType="solid">
          <fgColor rgb="FFE4E483"/>
        </patternFill>
      </fill>
    </dxf>
    <dxf>
      <fill>
        <patternFill patternType="solid">
          <fgColor rgb="FFE5E483"/>
        </patternFill>
      </fill>
    </dxf>
    <dxf>
      <fill>
        <patternFill patternType="solid">
          <fgColor rgb="FFE6E483"/>
        </patternFill>
      </fill>
    </dxf>
    <dxf>
      <fill>
        <patternFill patternType="solid">
          <fgColor rgb="FFE7E583"/>
        </patternFill>
      </fill>
    </dxf>
    <dxf>
      <fill>
        <patternFill patternType="solid">
          <fgColor rgb="FFE8E583"/>
        </patternFill>
      </fill>
    </dxf>
    <dxf>
      <fill>
        <patternFill patternType="solid">
          <fgColor rgb="FFE9E583"/>
        </patternFill>
      </fill>
    </dxf>
    <dxf>
      <fill>
        <patternFill patternType="solid">
          <fgColor rgb="FFEAE583"/>
        </patternFill>
      </fill>
    </dxf>
    <dxf>
      <fill>
        <patternFill patternType="solid">
          <fgColor rgb="FFEBE683"/>
        </patternFill>
      </fill>
    </dxf>
    <dxf>
      <fill>
        <patternFill patternType="solid">
          <fgColor rgb="FFECE683"/>
        </patternFill>
      </fill>
    </dxf>
    <dxf>
      <fill>
        <patternFill patternType="solid">
          <fgColor rgb="FFEDE683"/>
        </patternFill>
      </fill>
    </dxf>
    <dxf>
      <fill>
        <patternFill patternType="solid">
          <fgColor rgb="FFEEE683"/>
        </patternFill>
      </fill>
    </dxf>
    <dxf>
      <fill>
        <patternFill patternType="solid">
          <fgColor rgb="FFEEE784"/>
        </patternFill>
      </fill>
    </dxf>
    <dxf>
      <fill>
        <patternFill patternType="solid">
          <fgColor rgb="FFEFE784"/>
        </patternFill>
      </fill>
    </dxf>
    <dxf>
      <fill>
        <patternFill patternType="solid">
          <fgColor rgb="FFF0E784"/>
        </patternFill>
      </fill>
    </dxf>
    <dxf>
      <fill>
        <patternFill patternType="solid">
          <fgColor rgb="FFF1E784"/>
        </patternFill>
      </fill>
    </dxf>
    <dxf>
      <fill>
        <patternFill patternType="solid">
          <fgColor rgb="FFF2E784"/>
        </patternFill>
      </fill>
    </dxf>
    <dxf>
      <fill>
        <patternFill patternType="solid">
          <fgColor rgb="FFF3E884"/>
        </patternFill>
      </fill>
    </dxf>
    <dxf>
      <fill>
        <patternFill patternType="solid">
          <fgColor rgb="FFF4E884"/>
        </patternFill>
      </fill>
    </dxf>
    <dxf>
      <fill>
        <patternFill patternType="solid">
          <fgColor rgb="FFF5E884"/>
        </patternFill>
      </fill>
    </dxf>
    <dxf>
      <fill>
        <patternFill patternType="solid">
          <fgColor rgb="FFF5E984"/>
        </patternFill>
      </fill>
    </dxf>
    <dxf>
      <fill>
        <patternFill patternType="solid">
          <fgColor rgb="FFF6E984"/>
        </patternFill>
      </fill>
    </dxf>
    <dxf>
      <fill>
        <patternFill patternType="solid">
          <fgColor rgb="FFF7E984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8E984"/>
        </patternFill>
      </fill>
    </dxf>
    <dxf>
      <fill>
        <patternFill patternType="solid">
          <fgColor rgb="FFF97C6E"/>
        </patternFill>
      </fill>
    </dxf>
    <dxf>
      <fill>
        <patternFill patternType="solid">
          <fgColor rgb="FFF97D6E"/>
        </patternFill>
      </fill>
    </dxf>
    <dxf>
      <fill>
        <patternFill patternType="solid">
          <fgColor rgb="FFF97E6F"/>
        </patternFill>
      </fill>
    </dxf>
    <dxf>
      <fill>
        <patternFill patternType="solid">
          <fgColor rgb="FFF98570"/>
        </patternFill>
      </fill>
    </dxf>
    <dxf>
      <fill>
        <patternFill patternType="solid">
          <fgColor rgb="FFF9E984"/>
        </patternFill>
      </fill>
    </dxf>
    <dxf>
      <fill>
        <patternFill patternType="solid">
          <fgColor rgb="FFF9EA84"/>
        </patternFill>
      </fill>
    </dxf>
    <dxf>
      <fill>
        <patternFill patternType="solid">
          <fgColor rgb="FFFA9272"/>
        </patternFill>
      </fill>
    </dxf>
    <dxf>
      <fill>
        <patternFill patternType="solid">
          <fgColor rgb="FFFA9573"/>
        </patternFill>
      </fill>
    </dxf>
    <dxf>
      <fill>
        <patternFill patternType="solid">
          <fgColor rgb="FFFA9673"/>
        </patternFill>
      </fill>
    </dxf>
    <dxf>
      <fill>
        <patternFill patternType="solid">
          <fgColor rgb="FFFAEA84"/>
        </patternFill>
      </fill>
    </dxf>
    <dxf>
      <fill>
        <patternFill patternType="solid">
          <fgColor rgb="FFFBA175"/>
        </patternFill>
      </fill>
    </dxf>
    <dxf>
      <fill>
        <patternFill patternType="solid">
          <fgColor rgb="FFFBA777"/>
        </patternFill>
      </fill>
    </dxf>
    <dxf>
      <fill>
        <patternFill patternType="solid">
          <fgColor rgb="FFFBB178"/>
        </patternFill>
      </fill>
    </dxf>
    <dxf>
      <fill>
        <patternFill patternType="solid">
          <fgColor rgb="FFFBB179"/>
        </patternFill>
      </fill>
    </dxf>
    <dxf>
      <fill>
        <patternFill patternType="solid">
          <fgColor rgb="FFFBEA84"/>
        </patternFill>
      </fill>
    </dxf>
    <dxf>
      <fill>
        <patternFill patternType="solid">
          <fgColor rgb="FFFCB479"/>
        </patternFill>
      </fill>
    </dxf>
    <dxf>
      <fill>
        <patternFill patternType="solid">
          <fgColor rgb="FFFCB679"/>
        </patternFill>
      </fill>
    </dxf>
    <dxf>
      <fill>
        <patternFill patternType="solid">
          <fgColor rgb="FFFCB77A"/>
        </patternFill>
      </fill>
    </dxf>
    <dxf>
      <fill>
        <patternFill patternType="solid">
          <fgColor rgb="FFFCBA7A"/>
        </patternFill>
      </fill>
    </dxf>
    <dxf>
      <fill>
        <patternFill patternType="solid">
          <fgColor rgb="FFFCBC7B"/>
        </patternFill>
      </fill>
    </dxf>
    <dxf>
      <fill>
        <patternFill patternType="solid">
          <fgColor rgb="FFFCBD7B"/>
        </patternFill>
      </fill>
    </dxf>
    <dxf>
      <fill>
        <patternFill patternType="solid">
          <fgColor rgb="FFFCC07B"/>
        </patternFill>
      </fill>
    </dxf>
    <dxf>
      <fill>
        <patternFill patternType="solid">
          <fgColor rgb="FFFCC47C"/>
        </patternFill>
      </fill>
    </dxf>
    <dxf>
      <fill>
        <patternFill patternType="solid">
          <fgColor rgb="FFFCC57C"/>
        </patternFill>
      </fill>
    </dxf>
    <dxf>
      <fill>
        <patternFill patternType="solid">
          <fgColor rgb="FFFCEA84"/>
        </patternFill>
      </fill>
    </dxf>
    <dxf>
      <fill>
        <patternFill patternType="solid">
          <fgColor rgb="FFFCEB84"/>
        </patternFill>
      </fill>
    </dxf>
    <dxf>
      <fill>
        <patternFill patternType="solid">
          <fgColor rgb="FFFDC87D"/>
        </patternFill>
      </fill>
    </dxf>
    <dxf>
      <fill>
        <patternFill patternType="solid">
          <fgColor rgb="FFFDC97D"/>
        </patternFill>
      </fill>
    </dxf>
    <dxf>
      <fill>
        <patternFill patternType="solid">
          <fgColor rgb="FFFDCA7D"/>
        </patternFill>
      </fill>
    </dxf>
    <dxf>
      <fill>
        <patternFill patternType="solid">
          <fgColor rgb="FFFDCB7D"/>
        </patternFill>
      </fill>
    </dxf>
    <dxf>
      <fill>
        <patternFill patternType="solid">
          <fgColor rgb="FFFDCB7E"/>
        </patternFill>
      </fill>
    </dxf>
    <dxf>
      <fill>
        <patternFill patternType="solid">
          <fgColor rgb="FFFDCC7E"/>
        </patternFill>
      </fill>
    </dxf>
    <dxf>
      <fill>
        <patternFill patternType="solid">
          <fgColor rgb="FFFDCE7E"/>
        </patternFill>
      </fill>
    </dxf>
    <dxf>
      <fill>
        <patternFill patternType="solid">
          <fgColor rgb="FFFDCF7E"/>
        </patternFill>
      </fill>
    </dxf>
    <dxf>
      <fill>
        <patternFill patternType="solid">
          <fgColor rgb="FFFDD07E"/>
        </patternFill>
      </fill>
    </dxf>
    <dxf>
      <fill>
        <patternFill patternType="solid">
          <fgColor rgb="FFFDD17F"/>
        </patternFill>
      </fill>
    </dxf>
    <dxf>
      <fill>
        <patternFill patternType="solid">
          <fgColor rgb="FFFDD27F"/>
        </patternFill>
      </fill>
    </dxf>
    <dxf>
      <fill>
        <patternFill patternType="solid">
          <fgColor rgb="FFFDD37F"/>
        </patternFill>
      </fill>
    </dxf>
    <dxf>
      <fill>
        <patternFill patternType="solid">
          <fgColor rgb="FFFDD47F"/>
        </patternFill>
      </fill>
    </dxf>
    <dxf>
      <fill>
        <patternFill patternType="solid">
          <fgColor rgb="FFFDD680"/>
        </patternFill>
      </fill>
    </dxf>
    <dxf>
      <fill>
        <patternFill patternType="solid">
          <fgColor rgb="FFFDD780"/>
        </patternFill>
      </fill>
    </dxf>
    <dxf>
      <fill>
        <patternFill patternType="solid">
          <fgColor rgb="FFFDEB84"/>
        </patternFill>
      </fill>
    </dxf>
    <dxf>
      <fill>
        <patternFill patternType="solid">
          <fgColor rgb="FFFED880"/>
        </patternFill>
      </fill>
    </dxf>
    <dxf>
      <fill>
        <patternFill patternType="solid">
          <fgColor rgb="FFFED980"/>
        </patternFill>
      </fill>
    </dxf>
    <dxf>
      <fill>
        <patternFill patternType="solid">
          <fgColor rgb="FFFEDA80"/>
        </patternFill>
      </fill>
    </dxf>
    <dxf>
      <fill>
        <patternFill patternType="solid">
          <fgColor rgb="FFFEDB80"/>
        </patternFill>
      </fill>
    </dxf>
    <dxf>
      <fill>
        <patternFill patternType="solid">
          <fgColor rgb="FFFEDB81"/>
        </patternFill>
      </fill>
    </dxf>
    <dxf>
      <fill>
        <patternFill patternType="solid">
          <fgColor rgb="FFFEDC81"/>
        </patternFill>
      </fill>
    </dxf>
    <dxf>
      <fill>
        <patternFill patternType="solid">
          <fgColor rgb="FFFEDD81"/>
        </patternFill>
      </fill>
    </dxf>
    <dxf>
      <fill>
        <patternFill patternType="solid">
          <fgColor rgb="FFFEDE81"/>
        </patternFill>
      </fill>
    </dxf>
    <dxf>
      <fill>
        <patternFill patternType="solid">
          <fgColor rgb="FFFEDF81"/>
        </patternFill>
      </fill>
    </dxf>
    <dxf>
      <fill>
        <patternFill patternType="solid">
          <fgColor rgb="FFFEE081"/>
        </patternFill>
      </fill>
    </dxf>
    <dxf>
      <fill>
        <patternFill patternType="solid">
          <fgColor rgb="FFFEE082"/>
        </patternFill>
      </fill>
    </dxf>
    <dxf>
      <fill>
        <patternFill patternType="solid">
          <fgColor rgb="FFFEE182"/>
        </patternFill>
      </fill>
    </dxf>
    <dxf>
      <fill>
        <patternFill patternType="solid">
          <fgColor rgb="FFFEE282"/>
        </patternFill>
      </fill>
    </dxf>
    <dxf>
      <fill>
        <patternFill patternType="solid">
          <fgColor rgb="FFFEE382"/>
        </patternFill>
      </fill>
    </dxf>
    <dxf>
      <fill>
        <patternFill patternType="solid">
          <fgColor rgb="FFFEE482"/>
        </patternFill>
      </fill>
    </dxf>
    <dxf>
      <fill>
        <patternFill patternType="solid">
          <fgColor rgb="FFFEE582"/>
        </patternFill>
      </fill>
    </dxf>
    <dxf>
      <fill>
        <patternFill patternType="solid">
          <fgColor rgb="FFFEE683"/>
        </patternFill>
      </fill>
    </dxf>
    <dxf>
      <fill>
        <patternFill patternType="solid">
          <fgColor rgb="FFFEE783"/>
        </patternFill>
      </fill>
    </dxf>
    <dxf>
      <fill>
        <patternFill patternType="solid">
          <fgColor rgb="FFFEE883"/>
        </patternFill>
      </fill>
    </dxf>
    <dxf>
      <fill>
        <patternFill patternType="solid">
          <fgColor rgb="FFFEE983"/>
        </patternFill>
      </fill>
    </dxf>
    <dxf>
      <fill>
        <patternFill patternType="solid">
          <fgColor rgb="FFFEEA83"/>
        </patternFill>
      </fill>
    </dxf>
    <dxf>
      <fill>
        <patternFill patternType="solid">
          <fgColor rgb="FFFEEB84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7EC67D"/>
        </patternFill>
      </fill>
    </dxf>
    <dxf>
      <fill>
        <patternFill patternType="solid">
          <fgColor rgb="FF88C97E"/>
        </patternFill>
      </fill>
    </dxf>
    <dxf>
      <fill>
        <patternFill patternType="solid">
          <fgColor rgb="FF8BCA7E"/>
        </patternFill>
      </fill>
    </dxf>
    <dxf>
      <fill>
        <patternFill patternType="solid">
          <fgColor rgb="FFB2D580"/>
        </patternFill>
      </fill>
    </dxf>
    <dxf>
      <fill>
        <patternFill patternType="solid">
          <fgColor rgb="FFB3D680"/>
        </patternFill>
      </fill>
    </dxf>
    <dxf>
      <fill>
        <patternFill patternType="solid">
          <fgColor rgb="FFB8D780"/>
        </patternFill>
      </fill>
    </dxf>
    <dxf>
      <fill>
        <patternFill patternType="solid">
          <fgColor rgb="FFD6E082"/>
        </patternFill>
      </fill>
    </dxf>
    <dxf>
      <fill>
        <patternFill patternType="solid">
          <fgColor rgb="FFD7E082"/>
        </patternFill>
      </fill>
    </dxf>
    <dxf>
      <fill>
        <patternFill patternType="solid">
          <fgColor rgb="FFD9E082"/>
        </patternFill>
      </fill>
    </dxf>
    <dxf>
      <fill>
        <patternFill patternType="solid">
          <fgColor rgb="FFDDE283"/>
        </patternFill>
      </fill>
    </dxf>
    <dxf>
      <fill>
        <patternFill patternType="solid">
          <fgColor rgb="FFE3E383"/>
        </patternFill>
      </fill>
    </dxf>
    <dxf>
      <fill>
        <patternFill patternType="solid">
          <fgColor rgb="FFE7E483"/>
        </patternFill>
      </fill>
    </dxf>
    <dxf>
      <fill>
        <patternFill patternType="solid">
          <fgColor rgb="FFF2E884"/>
        </patternFill>
      </fill>
    </dxf>
    <dxf>
      <fill>
        <patternFill patternType="solid">
          <fgColor rgb="FFF87B6E"/>
        </patternFill>
      </fill>
    </dxf>
    <dxf>
      <fill>
        <patternFill patternType="solid">
          <fgColor rgb="FFFBA57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196ByObject" displayName="E196ByObject" ref="A4:O116" headerRowCount="1" totalsRowCount="0" totalsRowShown="0">
  <autoFilter ref="A4:O116"/>
  <tableColumns count="15">
    <tableColumn id="1" name="Subset"/>
    <tableColumn id="2" name="Comparison"/>
    <tableColumn id="3" name="Metric key"/>
    <tableColumn id="4" name="Metric"/>
    <tableColumn id="5" name="Direction"/>
    <tableColumn id="6" name="N"/>
    <tableColumn id="7" name="Baseline mean"/>
    <tableColumn id="8" name="Candidate mean"/>
    <tableColumn id="9" name="Raw Delta"/>
    <tableColumn id="10" name="Improvement"/>
    <tableColumn id="11" name="Median improvement"/>
    <tableColumn id="12" name="Bootstrap 95% CI low"/>
    <tableColumn id="13" name="Bootstrap 95% CI high"/>
    <tableColumn id="14" name="Improved cases"/>
    <tableColumn id="15" name="Worsened cases"/>
  </tableColumns>
</table>
</file>

<file path=xl/tables/table2.xml><?xml version="1.0" encoding="utf-8"?>
<table xmlns="http://schemas.openxmlformats.org/spreadsheetml/2006/main" id="2" name="E196CaseMetrics" displayName="E196CaseMetrics" ref="A4:IH91" headerRowCount="1" totalsRowCount="0" totalsRowShown="0">
  <autoFilter ref="A4:IH91"/>
  <tableColumns count="242">
    <tableColumn id="1" name="case_id"/>
    <tableColumn id="2" name="variant"/>
    <tableColumn id="3" name="method"/>
    <tableColumn id="4" name="hand_collision_variant_id"/>
    <tableColumn id="5" name="object_key"/>
    <tableColumn id="6" name="object_category"/>
    <tableColumn id="7" name="expected_quality"/>
    <tableColumn id="8" name="qpos_path"/>
    <tableColumn id="9" name="scene_xml"/>
    <tableColumn id="10" name="qpos_frames"/>
    <tableColumn id="11" name="duration_s"/>
    <tableColumn id="12" name="pelvis_min_m"/>
    <tableColumn id="13" name="pelvis_end_m"/>
    <tableColumn id="14" name="fall_flag"/>
    <tableColumn id="15" name="root_xy_displacement_m"/>
    <tableColumn id="16" name="object_xy_displacement_m"/>
    <tableColumn id="17" name="object_z_range_m"/>
    <tableColumn id="18" name="object_floor_contact_frac"/>
    <tableColumn id="19" name="hand_geom_penetration_frac"/>
    <tableColumn id="20" name="hand_geom_penetration_2mm_frac"/>
    <tableColumn id="21" name="hand_geom_penetration_5mm_frac"/>
    <tableColumn id="22" name="hand_geom_deep_penetration_2cm_frac"/>
    <tableColumn id="23" name="hand_object_physics_contact_frac"/>
    <tableColumn id="24" name="hand_object_clean_physics_contact_frac"/>
    <tableColumn id="25" name="hand_object_physics_contact_3mm_frac"/>
    <tableColumn id="26" name="hand_object_physics_contact_5mm_frac"/>
    <tableColumn id="27" name="hand_object_physics_penetration_3mm_frame_frac"/>
    <tableColumn id="28" name="hand_object_physics_penetration_5mm_frame_frac"/>
    <tableColumn id="29" name="hand_object_con_dist_mean_m"/>
    <tableColumn id="30" name="hand_object_con_dist_min_m"/>
    <tableColumn id="31" name="hand_object_con_dist_frac_lt_neg2mm"/>
    <tableColumn id="32" name="hand_object_con_dist_frac_lt_neg3mm"/>
    <tableColumn id="33" name="hand_object_con_dist_frac_lt_neg5mm"/>
    <tableColumn id="34" name="hand_object_con_deep2mm_frame_frac"/>
    <tableColumn id="35" name="hand_object_con_deep3mm_frame_frac"/>
    <tableColumn id="36" name="hand_object_con_deep5mm_frame_frac"/>
    <tableColumn id="37" name="hand_floor_min_z_m"/>
    <tableColumn id="38" name="hand_floor_near_2cm_frac"/>
    <tableColumn id="39" name="hand_floor_penetration_frac"/>
    <tableColumn id="40" name="hand_floor_physics_contact_frac"/>
    <tableColumn id="41" name="hand_floor_con_dist_mean_m"/>
    <tableColumn id="42" name="hand_floor_con_dist_min_m"/>
    <tableColumn id="43" name="hand_floor_con_dist_frac_lt_neg5mm"/>
    <tableColumn id="44" name="hand_floor_con_deep5mm_frame_frac"/>
    <tableColumn id="45" name="leg_near_2cm_frac"/>
    <tableColumn id="46" name="leg_penetration_frac"/>
    <tableColumn id="47" name="leg_object_physics_contact_frac"/>
    <tableColumn id="48" name="body_penetration_frac"/>
    <tableColumn id="49" name="head_penetration_frac"/>
    <tableColumn id="50" name="upper_body_penetration_frac"/>
    <tableColumn id="51" name="obj_err_mean_m"/>
    <tableColumn id="52" name="obj_err_max_m"/>
    <tableColumn id="53" name="notes"/>
    <tableColumn id="54" name="eef_near_3cm_frac"/>
    <tableColumn id="55" name="hand_geom_near_3cm_frac"/>
    <tableColumn id="56" name="eef_near_5cm_frac"/>
    <tableColumn id="57" name="hand_geom_near_5cm_frac"/>
    <tableColumn id="58" name="eef_near_8cm_frac"/>
    <tableColumn id="59" name="hand_geom_near_8cm_frac"/>
    <tableColumn id="60" name="eef_near_10cm_frac"/>
    <tableColumn id="61" name="hand_geom_near_10cm_frac"/>
    <tableColumn id="62" name="track_root_pos_err_mean_m"/>
    <tableColumn id="63" name="track_root_pos_err_terminal_m"/>
    <tableColumn id="64" name="track_root_quat_err_mean"/>
    <tableColumn id="65" name="track_root_quat_err_terminal"/>
    <tableColumn id="66" name="track_joint_err_mean_rad"/>
    <tableColumn id="67" name="track_joint_err_terminal_rad"/>
    <tableColumn id="68" name="track_pelvis_z_err_mean_m"/>
    <tableColumn id="69" name="track_pelvis_z_err_terminal_m"/>
    <tableColumn id="70" name="track_joint_err_deg_mean"/>
    <tableColumn id="71" name="track_eef_pos_err_cm_mean"/>
    <tableColumn id="72" name="track_eef_ori_err_deg_mean"/>
    <tableColumn id="73" name="track_root_pos_err_cm_mean"/>
    <tableColumn id="74" name="track_root_ori_err_deg_mean"/>
    <tableColumn id="75" name="track_obj_pos_err_cm_mean"/>
    <tableColumn id="76" name="track_obj_z_abs_err_cm_mean"/>
    <tableColumn id="77" name="track_obj_ori_err_deg_mean"/>
    <tableColumn id="78" name="ref_contact_frac"/>
    <tableColumn id="79" name="hand_object_physics_contact_in_mask_frac"/>
    <tableColumn id="80" name="hand_object_clean_physics_contact_in_mask_frac"/>
    <tableColumn id="81" name="hand_object_physics_contact_3mm_in_mask_frac"/>
    <tableColumn id="82" name="hand_object_physics_contact_5mm_in_mask_frac"/>
    <tableColumn id="83" name="rl_object_contact_ref_frac"/>
    <tableColumn id="84" name="rl_object_contact_gap_fill_frames"/>
    <tableColumn id="85" name="rl_object_contact_filled_frame_count"/>
    <tableColumn id="86" name="hand_object_physics_contact_in_rl_mask_frac"/>
    <tableColumn id="87" name="hand_object_physics_contact_3mm_in_rl_mask_frac"/>
    <tableColumn id="88" name="hand_object_physics_contact_5mm_in_rl_mask_frac"/>
    <tableColumn id="89" name="hand_object_false_contact_frac"/>
    <tableColumn id="90" name="hand_object_clean_false_contact_frac"/>
    <tableColumn id="91" name="hand_object_false_contact_3mm_frac"/>
    <tableColumn id="92" name="hand_object_false_contact_5mm_frac"/>
    <tableColumn id="93" name="hand_object_approach_false_contact_frac"/>
    <tableColumn id="94" name="hand_object_clean_approach_false_contact_frac"/>
    <tableColumn id="95" name="hand_object_approach_false_contact_3mm_frac"/>
    <tableColumn id="96" name="hand_object_approach_false_contact_5mm_frac"/>
    <tableColumn id="97" name="hand_object_release_false_contact_frac"/>
    <tableColumn id="98" name="hand_object_clean_release_false_contact_frac"/>
    <tableColumn id="99" name="hand_object_release_false_contact_3mm_frac"/>
    <tableColumn id="100" name="hand_object_release_false_contact_5mm_frac"/>
    <tableColumn id="101" name="hand_geom_penetration_2mm_in_mask_frac"/>
    <tableColumn id="102" name="hand_geom_penetration_5mm_in_mask_frac"/>
    <tableColumn id="103" name="track_obj_z_err_m_mean"/>
    <tableColumn id="104" name="track_obj_z_err_m_p10"/>
    <tableColumn id="105" name="track_obj_xy_err_cm_mean"/>
    <tableColumn id="106" name="track_obj_z_err_m_lifted_mean"/>
    <tableColumn id="107" name="track_obj_xy_err_cm_lifted_mean"/>
    <tableColumn id="108" name="track_obj_z_err_share_lifted"/>
    <tableColumn id="109" name="obj_lifted_frame_frac"/>
    <tableColumn id="110" name="obj_side_near_z_err_m"/>
    <tableColumn id="111" name="obj_side_far_z_err_m"/>
    <tableColumn id="112" name="obj_side_z_asym_cm"/>
    <tableColumn id="113" name="object_guidance_force_N_p95"/>
    <tableColumn id="114" name="object_guidance_force_z_N_p95"/>
    <tableColumn id="115" name="object_guidance_torque_Nm_p95"/>
    <tableColumn id="116" name="object_weight_N"/>
    <tableColumn id="117" name="ref_hand_geom_penetration_frac"/>
    <tableColumn id="118" name="ref_hand_geom_penetration_3mm_frac"/>
    <tableColumn id="119" name="ref_hand_geom_min_sdf_m"/>
    <tableColumn id="120" name="hand_gate_floor_saturation_frac"/>
    <tableColumn id="121" name="hand_gate_fixed_depth_8mm_frame_frac"/>
    <tableColumn id="122" name="hand_gate_fixed_depth_10mm_frame_frac"/>
    <tableColumn id="123" name="hand_gate_fixed_depth_12mm_frame_frac"/>
    <tableColumn id="124" name="hand_gate_fixed_depth_15mm_frame_frac"/>
    <tableColumn id="125" name="hand_gate_fixed_depth_20mm_frame_frac"/>
    <tableColumn id="126" name="object_mass_kg"/>
    <tableColumn id="127" name="object_half_extents_m"/>
    <tableColumn id="128" name="object_max_half_extent_m"/>
    <tableColumn id="129" name="grip_near_arm_m"/>
    <tableColumn id="130" name="grip_far_arm_m"/>
    <tableColumn id="131" name="sample_smooth_accel_p95_mean"/>
    <tableColumn id="132" name="sample_smooth_accel_p95_max"/>
    <tableColumn id="133" name="sample_smooth_jerk_p95_mean"/>
    <tableColumn id="134" name="sample_smooth_jerk_p95_max"/>
    <tableColumn id="135" name="sample_smooth_penalty_mean"/>
    <tableColumn id="136" name="sample_smooth_penalty_max"/>
    <tableColumn id="137" name="sample_foot_slip_speed_mean_mean"/>
    <tableColumn id="138" name="sample_foot_slip_speed_peak_mean"/>
    <tableColumn id="139" name="sample_foot_slip_speed_peak_max"/>
    <tableColumn id="140" name="sample_foot_ground_dev_mean_mean"/>
    <tableColumn id="141" name="sample_foot_ground_dev_peak_mean"/>
    <tableColumn id="142" name="sample_foot_ground_dev_peak_max"/>
    <tableColumn id="143" name="sample_foot_penalty_mean"/>
    <tableColumn id="144" name="sample_foot_penalty_max"/>
    <tableColumn id="145" name="qpos_speed_l2_p95"/>
    <tableColumn id="146" name="qpos_accel_l2_p95"/>
    <tableColumn id="147" name="qpos_jerk_l2_p95"/>
    <tableColumn id="148" name="trackbody_speed_max"/>
    <tableColumn id="149" name="ankle_speed_max"/>
    <tableColumn id="150" name="wrist_speed_max"/>
    <tableColumn id="151" name="trackbody_acc_max"/>
    <tableColumn id="152" name="ankle_acc_max"/>
    <tableColumn id="153" name="trackbody_jerk_p95"/>
    <tableColumn id="154" name="ankle_jerk_p95"/>
    <tableColumn id="155" name="obj_speed_max"/>
    <tableColumn id="156" name="foot_slip_max_m"/>
    <tableColumn id="157" name="foot_ground_dev_max_m"/>
    <tableColumn id="158" name="foot_grounded_frame_frac"/>
    <tableColumn id="159" name="has_smooth_health"/>
    <tableColumn id="160" name="has_foot_health"/>
    <tableColumn id="161" name="z_reference_source"/>
    <tableColumn id="162" name="z_reference_path"/>
    <tableColumn id="163" name="z_eval_frames"/>
    <tableColumn id="164" name="monitored_bodies"/>
    <tableColumn id="165" name="body_z_gate_metric"/>
    <tableColumn id="166" name="body_z_gate_threshold_m"/>
    <tableColumn id="167" name="body_z_err_peak_m"/>
    <tableColumn id="168" name="body_z_err_p95_m"/>
    <tableColumn id="169" name="body_z_over_frac"/>
    <tableColumn id="170" name="holosoma_z_gate_pass"/>
    <tableColumn id="171" name="sugar_3d_err_peak_m"/>
    <tableColumn id="172" name="sugar_3d_err_p95_m"/>
    <tableColumn id="173" name="sugar_3d_over_frac"/>
    <tableColumn id="174" name="sugar_3d_gate_pass"/>
    <tableColumn id="175" name="xy_err_peak_m"/>
    <tableColumn id="176" name="xy_err_p95_m"/>
    <tableColumn id="177" name="xy_only_failure"/>
    <tableColumn id="178" name="body_z_accel_p95"/>
    <tableColumn id="179" name="body_z_jerk_p95"/>
    <tableColumn id="180" name="legacy_intra_tick_z_err_peak_m"/>
    <tableColumn id="181" name="legacy_intra_tick_z_gate_pass"/>
    <tableColumn id="182" name="release_window_frame_count"/>
    <tableColumn id="183" name="release_gate_applicable"/>
    <tableColumn id="184" name="release_gate_status"/>
    <tableColumn id="185" name="cem_leg_gate_valid_frac_mean"/>
    <tableColumn id="186" name="cem_leg_gate_valid_frac_last_iter_mean"/>
    <tableColumn id="187" name="cem_leg_gate_selected_valid_frac_mean"/>
    <tableColumn id="188" name="cem_leg_gate_selected_valid_frac_last_iter_mean"/>
    <tableColumn id="189" name="cem_leg_gate_fallback_used_mean"/>
    <tableColumn id="190" name="cem_leg_gate_fallback_used_last_iter_mean"/>
    <tableColumn id="191" name="cem_leg_gate_min_sdf_min_m_mean"/>
    <tableColumn id="192" name="cem_leg_gate_min_sdf_min_m_last_iter_mean"/>
    <tableColumn id="193" name="cem_leg_gate_min_sdf_p05_m_mean"/>
    <tableColumn id="194" name="cem_leg_gate_min_sdf_p05_m_last_iter_mean"/>
    <tableColumn id="195" name="cem_leg_gate_violation_pct_mean_mean"/>
    <tableColumn id="196" name="cem_leg_gate_violation_pct_mean_last_iter_mean"/>
    <tableColumn id="197" name="cem_leg_gate_selected_all_valid_mean"/>
    <tableColumn id="198" name="cem_leg_gate_selected_all_valid_last_iter_mean"/>
    <tableColumn id="199" name="cem_leg_gate_min_sdf_worst_m"/>
    <tableColumn id="200" name="leg_gate_fallback_pass"/>
    <tableColumn id="201" name="leg_gate_valid_frac_pass"/>
    <tableColumn id="202" name="leg_gate_selected_valid_pass"/>
    <tableColumn id="203" name="leg_gate_health_pass"/>
    <tableColumn id="204" name="fall_gate_pass"/>
    <tableColumn id="205" name="body_z_gate_pass"/>
    <tableColumn id="206" name="contact_gate_pass"/>
    <tableColumn id="207" name="release_gate_pass"/>
    <tableColumn id="208" name="hand_penetration_gate_pass"/>
    <tableColumn id="209" name="lower_body_gate_pass"/>
    <tableColumn id="210" name="root_pos_gate_pass"/>
    <tableColumn id="211" name="root_ori_gate_pass"/>
    <tableColumn id="212" name="hand_pos_gate_pass"/>
    <tableColumn id="213" name="hand_ori_gate_pass"/>
    <tableColumn id="214" name="object_pos_gate_pass"/>
    <tableColumn id="215" name="object_ori_gate_pass"/>
    <tableColumn id="216" name="legacy_physics6_pass"/>
    <tableColumn id="217" name="numeric_release_pass_12gate"/>
    <tableColumn id="218" name="numeric_release_pass"/>
    <tableColumn id="219" name="numeric_failure_modes"/>
    <tableColumn id="220" name="scoring_contract_id"/>
    <tableColumn id="221" name="tracking_gates_enabled"/>
    <tableColumn id="222" name="arm"/>
    <tableColumn id="223" name="source_exp"/>
    <tableColumn id="224" name="execution_source"/>
    <tableColumn id="225" name="reused_full"/>
    <tableColumn id="226" name="retarget_variant_id"/>
    <tableColumn id="227" name="worker"/>
    <tableColumn id="228" name="execution_profile"/>
    <tableColumn id="229" name="result_sha256"/>
    <tableColumn id="230" name="outdir_sha256"/>
    <tableColumn id="231" name="scene_sha256"/>
    <tableColumn id="232" name="trajectory_sha256"/>
    <tableColumn id="233" name="metric_standard_id"/>
    <tableColumn id="234" name="result_npz"/>
    <tableColumn id="235" name="outdir_npz"/>
    <tableColumn id="236" name="config_act"/>
    <tableColumn id="237" name="trajectory"/>
    <tableColumn id="238" name="contact_mask"/>
    <tableColumn id="239" name="reference_contract_version"/>
    <tableColumn id="240" name="resolved_euler_convention"/>
    <tableColumn id="241" name="scene_act_meta_sha256"/>
    <tableColumn id="242" name="wave"/>
  </tableColumns>
</table>
</file>

<file path=xl/tables/table3.xml><?xml version="1.0" encoding="utf-8"?>
<table xmlns="http://schemas.openxmlformats.org/spreadsheetml/2006/main" id="3" name="E196Integrity" displayName="E196Integrity" ref="A4:AO33" headerRowCount="1" totalsRowCount="0" totalsRowShown="0">
  <autoFilter ref="A4:AO33"/>
  <tableColumns count="41">
    <tableColumn id="1" name="case_id"/>
    <tableColumn id="2" name="object_key"/>
    <tableColumn id="3" name="retarget_variant_id"/>
    <tableColumn id="4" name="worker"/>
    <tableColumn id="5" name="runtime_euler_convention"/>
    <tableColumn id="6" name="xml_hinge_axis_sequence"/>
    <tableColumn id="7" name="runtime_convention_matches_xml_axes"/>
    <tableColumn id="8" name="current_meta_exists"/>
    <tableColumn id="9" name="current_meta_euler_convention"/>
    <tableColumn id="10" name="current_meta_matches_runtime"/>
    <tableColumn id="11" name="cluster7"/>
    <tableColumn id="12" name="public_prg_to_g1_delta_deg"/>
    <tableColumn id="13" name="public_g1_ori_err_deg_mean"/>
    <tableColumn id="14" name="g1_vs_raw_ori_err_recomputed_deg_mean"/>
    <tableColumn id="15" name="g1_vs_raw_ori_err_reproduction_abs_diff_deg"/>
    <tableColumn id="16" name="runtime_target_vs_raw_pos_err_cm_mean"/>
    <tableColumn id="17" name="runtime_target_vs_raw_pos_err_cm_max"/>
    <tableColumn id="18" name="axis_target_vs_raw_pos_err_cm_max"/>
    <tableColumn id="19" name="g1_raw_minus_runtime_target_err_deg_mean"/>
    <tableColumn id="20" name="frames"/>
    <tableColumn id="21" name="runtime_log"/>
    <tableColumn id="22" name="current_meta_path"/>
    <tableColumn id="23" name="scene_xml"/>
    <tableColumn id="24" name="trajectory"/>
    <tableColumn id="25" name="g1_rollout"/>
    <tableColumn id="26" name="runtime_target_vs_raw_ori_err_deg_mean"/>
    <tableColumn id="27" name="runtime_target_vs_raw_ori_err_deg_median"/>
    <tableColumn id="28" name="runtime_target_vs_raw_ori_err_deg_p95"/>
    <tableColumn id="29" name="runtime_target_vs_raw_ori_err_deg_max"/>
    <tableColumn id="30" name="axis_target_vs_raw_ori_err_deg_mean"/>
    <tableColumn id="31" name="axis_target_vs_raw_ori_err_deg_median"/>
    <tableColumn id="32" name="axis_target_vs_raw_ori_err_deg_p95"/>
    <tableColumn id="33" name="axis_target_vs_raw_ori_err_deg_max"/>
    <tableColumn id="34" name="g1_vs_runtime_target_ori_err_deg_mean"/>
    <tableColumn id="35" name="g1_vs_runtime_target_ori_err_deg_median"/>
    <tableColumn id="36" name="g1_vs_runtime_target_ori_err_deg_p95"/>
    <tableColumn id="37" name="g1_vs_runtime_target_ori_err_deg_max"/>
    <tableColumn id="38" name="expected_meta_sha256"/>
    <tableColumn id="39" name="expected_convention"/>
    <tableColumn id="40" name="reference_contract_version"/>
    <tableColumn id="41" name="integrity_pass"/>
  </tableColumns>
</table>
</file>

<file path=xl/tables/table4.xml><?xml version="1.0" encoding="utf-8"?>
<table xmlns="http://schemas.openxmlformats.org/spreadsheetml/2006/main" id="4" name="E196PairedComparison" displayName="E196PairedComparison" ref="A4:M816" headerRowCount="1" totalsRowCount="0" totalsRowShown="0">
  <autoFilter ref="A4:M816"/>
  <tableColumns count="13">
    <tableColumn id="1" name="Comparison"/>
    <tableColumn id="2" name="Baseline arm"/>
    <tableColumn id="3" name="Candidate arm"/>
    <tableColumn id="4" name="Case"/>
    <tableColumn id="5" name="Object"/>
    <tableColumn id="6" name="Box001 primary"/>
    <tableColumn id="7" name="Metric key"/>
    <tableColumn id="8" name="Metric"/>
    <tableColumn id="9" name="Direction"/>
    <tableColumn id="10" name="Baseline value"/>
    <tableColumn id="11" name="Candidate value"/>
    <tableColumn id="12" name="Raw Delta"/>
    <tableColumn id="13" name="Improvement"/>
  </tableColumns>
</table>
</file>

<file path=xl/tables/table5.xml><?xml version="1.0" encoding="utf-8"?>
<table xmlns="http://schemas.openxmlformats.org/spreadsheetml/2006/main" id="5" name="E196TwelveGate" displayName="E196TwelveGate" ref="A4:I700" headerRowCount="1" totalsRowCount="0" totalsRowShown="0">
  <autoFilter ref="A4:I700"/>
  <tableColumns count="9">
    <tableColumn id="1" name="Comparison"/>
    <tableColumn id="2" name="Baseline arm"/>
    <tableColumn id="3" name="Candidate arm"/>
    <tableColumn id="4" name="Case"/>
    <tableColumn id="5" name="Object"/>
    <tableColumn id="6" name="Gate"/>
    <tableColumn id="7" name="Baseline pass"/>
    <tableColumn id="8" name="Candidate pass"/>
    <tableColumn id="9" name="Migration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/>
      <c r="B3" s="3"/>
      <c r="C3" s="3"/>
      <c r="D3" s="3"/>
    </row>
    <row r="4" customFormat="false" ht="15" hidden="false" customHeight="false" outlineLevel="0" collapsed="false">
      <c r="A4" s="4" t="s">
        <v>2</v>
      </c>
      <c r="B4" s="5" t="s">
        <v>3</v>
      </c>
      <c r="C4" s="5" t="s">
        <v>4</v>
      </c>
      <c r="D4" s="5"/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  <c r="D5" s="5" t="s">
        <v>8</v>
      </c>
    </row>
    <row r="6" customFormat="false" ht="15" hidden="false" customHeight="false" outlineLevel="0" collapsed="false">
      <c r="A6" s="4" t="s">
        <v>9</v>
      </c>
      <c r="B6" s="5" t="s">
        <v>10</v>
      </c>
      <c r="C6" s="5" t="s">
        <v>11</v>
      </c>
      <c r="D6" s="5" t="s">
        <v>12</v>
      </c>
    </row>
    <row r="7" customFormat="false" ht="15" hidden="false" customHeight="false" outlineLevel="0" collapsed="false">
      <c r="A7" s="4" t="s">
        <v>13</v>
      </c>
      <c r="B7" s="5" t="s">
        <v>14</v>
      </c>
      <c r="C7" s="5" t="s">
        <v>15</v>
      </c>
      <c r="D7" s="5" t="s">
        <v>16</v>
      </c>
    </row>
    <row r="8" customFormat="false" ht="15" hidden="false" customHeight="false" outlineLevel="0" collapsed="false">
      <c r="A8" s="4" t="s">
        <v>17</v>
      </c>
      <c r="B8" s="5" t="s">
        <v>18</v>
      </c>
      <c r="C8" s="5" t="s">
        <v>19</v>
      </c>
      <c r="D8" s="5" t="s">
        <v>20</v>
      </c>
    </row>
    <row r="9" customFormat="false" ht="15" hidden="false" customHeight="false" outlineLevel="0" collapsed="false">
      <c r="A9" s="4" t="s">
        <v>21</v>
      </c>
      <c r="B9" s="5" t="s">
        <v>22</v>
      </c>
      <c r="C9" s="5" t="s">
        <v>23</v>
      </c>
      <c r="D9" s="5" t="s">
        <v>24</v>
      </c>
    </row>
    <row r="10" customFormat="false" ht="15" hidden="false" customHeight="false" outlineLevel="0" collapsed="false">
      <c r="A10" s="4" t="s">
        <v>25</v>
      </c>
      <c r="B10" s="5" t="s">
        <v>26</v>
      </c>
      <c r="C10" s="5" t="s">
        <v>27</v>
      </c>
      <c r="D10" s="5" t="s">
        <v>28</v>
      </c>
    </row>
    <row r="11" customFormat="false" ht="15" hidden="false" customHeight="false" outlineLevel="0" collapsed="false">
      <c r="A11" s="4" t="s">
        <v>29</v>
      </c>
      <c r="B11" s="5" t="s">
        <v>30</v>
      </c>
      <c r="C11" s="5" t="s">
        <v>31</v>
      </c>
      <c r="D11" s="5" t="s">
        <v>32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3" min="2" style="0" width="18"/>
    <col collapsed="false" customWidth="true" hidden="false" outlineLevel="0" max="4" min="4" style="0" width="3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42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3" min="10" style="0" width="16"/>
  </cols>
  <sheetData>
    <row r="1" customFormat="false" ht="1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44</v>
      </c>
      <c r="K4" s="6" t="s">
        <v>45</v>
      </c>
      <c r="L4" s="6" t="s">
        <v>46</v>
      </c>
      <c r="M4" s="6" t="s">
        <v>47</v>
      </c>
    </row>
    <row r="5" customFormat="false" ht="15" hidden="false" customHeight="false" outlineLevel="0" collapsed="false">
      <c r="A5" s="7" t="s">
        <v>48</v>
      </c>
      <c r="B5" s="7" t="s">
        <v>10</v>
      </c>
      <c r="C5" s="7" t="s">
        <v>49</v>
      </c>
      <c r="D5" s="7" t="s">
        <v>50</v>
      </c>
      <c r="E5" s="7" t="s">
        <v>51</v>
      </c>
      <c r="F5" s="8" t="b">
        <f aca="false">TRUE()</f>
        <v>1</v>
      </c>
      <c r="G5" s="7" t="s">
        <v>52</v>
      </c>
      <c r="H5" s="7" t="s">
        <v>53</v>
      </c>
      <c r="I5" s="7" t="s">
        <v>54</v>
      </c>
      <c r="J5" s="9" t="n">
        <v>6.73166640448058</v>
      </c>
      <c r="K5" s="9" t="n">
        <v>3.61416294347246</v>
      </c>
      <c r="L5" s="10" t="n">
        <f aca="false">K5-J5</f>
        <v>-3.11750346100811</v>
      </c>
      <c r="M5" s="10" t="n">
        <f aca="false">IF(I5="higher",L5,-L5)</f>
        <v>3.11750346100811</v>
      </c>
    </row>
    <row r="6" customFormat="false" ht="15" hidden="false" customHeight="false" outlineLevel="0" collapsed="false">
      <c r="A6" s="7" t="s">
        <v>48</v>
      </c>
      <c r="B6" s="7" t="s">
        <v>10</v>
      </c>
      <c r="C6" s="7" t="s">
        <v>49</v>
      </c>
      <c r="D6" s="7" t="s">
        <v>50</v>
      </c>
      <c r="E6" s="7" t="s">
        <v>51</v>
      </c>
      <c r="F6" s="8" t="b">
        <f aca="false">TRUE()</f>
        <v>1</v>
      </c>
      <c r="G6" s="7" t="s">
        <v>55</v>
      </c>
      <c r="H6" s="7" t="s">
        <v>56</v>
      </c>
      <c r="I6" s="7" t="s">
        <v>54</v>
      </c>
      <c r="J6" s="9" t="n">
        <v>11.546123440095</v>
      </c>
      <c r="K6" s="9" t="n">
        <v>9.95216368427999</v>
      </c>
      <c r="L6" s="10" t="n">
        <f aca="false">K6-J6</f>
        <v>-1.59395975581503</v>
      </c>
      <c r="M6" s="10" t="n">
        <f aca="false">IF(I6="higher",L6,-L6)</f>
        <v>1.59395975581503</v>
      </c>
    </row>
    <row r="7" customFormat="false" ht="15" hidden="false" customHeight="false" outlineLevel="0" collapsed="false">
      <c r="A7" s="7" t="s">
        <v>48</v>
      </c>
      <c r="B7" s="7" t="s">
        <v>10</v>
      </c>
      <c r="C7" s="7" t="s">
        <v>49</v>
      </c>
      <c r="D7" s="7" t="s">
        <v>50</v>
      </c>
      <c r="E7" s="7" t="s">
        <v>51</v>
      </c>
      <c r="F7" s="8" t="b">
        <f aca="false">TRUE()</f>
        <v>1</v>
      </c>
      <c r="G7" s="7" t="s">
        <v>57</v>
      </c>
      <c r="H7" s="7" t="s">
        <v>58</v>
      </c>
      <c r="I7" s="7" t="s">
        <v>54</v>
      </c>
      <c r="J7" s="9" t="n">
        <v>7.6461315136553</v>
      </c>
      <c r="K7" s="9" t="n">
        <v>6.96665897321458</v>
      </c>
      <c r="L7" s="10" t="n">
        <f aca="false">K7-J7</f>
        <v>-0.679472540440727</v>
      </c>
      <c r="M7" s="10" t="n">
        <f aca="false">IF(I7="higher",L7,-L7)</f>
        <v>0.679472540440727</v>
      </c>
    </row>
    <row r="8" customFormat="false" ht="15" hidden="false" customHeight="false" outlineLevel="0" collapsed="false">
      <c r="A8" s="7" t="s">
        <v>48</v>
      </c>
      <c r="B8" s="7" t="s">
        <v>10</v>
      </c>
      <c r="C8" s="7" t="s">
        <v>49</v>
      </c>
      <c r="D8" s="7" t="s">
        <v>50</v>
      </c>
      <c r="E8" s="7" t="s">
        <v>51</v>
      </c>
      <c r="F8" s="8" t="b">
        <f aca="false">TRUE()</f>
        <v>1</v>
      </c>
      <c r="G8" s="7" t="s">
        <v>59</v>
      </c>
      <c r="H8" s="7" t="s">
        <v>60</v>
      </c>
      <c r="I8" s="7" t="s">
        <v>54</v>
      </c>
      <c r="J8" s="9" t="n">
        <v>0.0900911970631859</v>
      </c>
      <c r="K8" s="9" t="n">
        <v>0.0656107570931524</v>
      </c>
      <c r="L8" s="10" t="n">
        <f aca="false">K8-J8</f>
        <v>-0.0244804399700335</v>
      </c>
      <c r="M8" s="10" t="n">
        <f aca="false">IF(I8="higher",L8,-L8)</f>
        <v>0.0244804399700335</v>
      </c>
    </row>
    <row r="9" customFormat="false" ht="15" hidden="false" customHeight="false" outlineLevel="0" collapsed="false">
      <c r="A9" s="7" t="s">
        <v>48</v>
      </c>
      <c r="B9" s="7" t="s">
        <v>10</v>
      </c>
      <c r="C9" s="7" t="s">
        <v>49</v>
      </c>
      <c r="D9" s="7" t="s">
        <v>50</v>
      </c>
      <c r="E9" s="7" t="s">
        <v>51</v>
      </c>
      <c r="F9" s="8" t="b">
        <f aca="false">TRUE()</f>
        <v>1</v>
      </c>
      <c r="G9" s="7" t="s">
        <v>61</v>
      </c>
      <c r="H9" s="7" t="s">
        <v>62</v>
      </c>
      <c r="I9" s="7" t="s">
        <v>54</v>
      </c>
      <c r="J9" s="9" t="n">
        <v>12.6991914776508</v>
      </c>
      <c r="K9" s="9" t="n">
        <v>11.1964196594515</v>
      </c>
      <c r="L9" s="10" t="n">
        <f aca="false">K9-J9</f>
        <v>-1.50277181819926</v>
      </c>
      <c r="M9" s="10" t="n">
        <f aca="false">IF(I9="higher",L9,-L9)</f>
        <v>1.50277181819926</v>
      </c>
    </row>
    <row r="10" customFormat="false" ht="15" hidden="false" customHeight="false" outlineLevel="0" collapsed="false">
      <c r="A10" s="7" t="s">
        <v>48</v>
      </c>
      <c r="B10" s="7" t="s">
        <v>10</v>
      </c>
      <c r="C10" s="7" t="s">
        <v>49</v>
      </c>
      <c r="D10" s="7" t="s">
        <v>50</v>
      </c>
      <c r="E10" s="7" t="s">
        <v>51</v>
      </c>
      <c r="F10" s="8" t="b">
        <f aca="false">TRUE()</f>
        <v>1</v>
      </c>
      <c r="G10" s="7" t="s">
        <v>63</v>
      </c>
      <c r="H10" s="7" t="s">
        <v>64</v>
      </c>
      <c r="I10" s="7" t="s">
        <v>54</v>
      </c>
      <c r="J10" s="9" t="n">
        <v>5.9036681404031</v>
      </c>
      <c r="K10" s="9" t="n">
        <v>5.66195497782306</v>
      </c>
      <c r="L10" s="10" t="n">
        <f aca="false">K10-J10</f>
        <v>-0.241713162580038</v>
      </c>
      <c r="M10" s="10" t="n">
        <f aca="false">IF(I10="higher",L10,-L10)</f>
        <v>0.241713162580038</v>
      </c>
    </row>
    <row r="11" customFormat="false" ht="15" hidden="false" customHeight="false" outlineLevel="0" collapsed="false">
      <c r="A11" s="7" t="s">
        <v>48</v>
      </c>
      <c r="B11" s="7" t="s">
        <v>10</v>
      </c>
      <c r="C11" s="7" t="s">
        <v>49</v>
      </c>
      <c r="D11" s="7" t="s">
        <v>50</v>
      </c>
      <c r="E11" s="7" t="s">
        <v>51</v>
      </c>
      <c r="F11" s="8" t="b">
        <f aca="false">TRUE()</f>
        <v>1</v>
      </c>
      <c r="G11" s="7" t="s">
        <v>65</v>
      </c>
      <c r="H11" s="7" t="s">
        <v>66</v>
      </c>
      <c r="I11" s="7" t="s">
        <v>54</v>
      </c>
      <c r="J11" s="9" t="n">
        <v>13.6899563035053</v>
      </c>
      <c r="K11" s="9" t="n">
        <v>11.7401029482234</v>
      </c>
      <c r="L11" s="10" t="n">
        <f aca="false">K11-J11</f>
        <v>-1.9498533552819</v>
      </c>
      <c r="M11" s="10" t="n">
        <f aca="false">IF(I11="higher",L11,-L11)</f>
        <v>1.9498533552819</v>
      </c>
    </row>
    <row r="12" customFormat="false" ht="15" hidden="false" customHeight="false" outlineLevel="0" collapsed="false">
      <c r="A12" s="7" t="s">
        <v>48</v>
      </c>
      <c r="B12" s="7" t="s">
        <v>10</v>
      </c>
      <c r="C12" s="7" t="s">
        <v>49</v>
      </c>
      <c r="D12" s="7" t="s">
        <v>50</v>
      </c>
      <c r="E12" s="7" t="s">
        <v>51</v>
      </c>
      <c r="F12" s="8" t="b">
        <f aca="false">TRUE()</f>
        <v>1</v>
      </c>
      <c r="G12" s="7" t="s">
        <v>67</v>
      </c>
      <c r="H12" s="7" t="s">
        <v>68</v>
      </c>
      <c r="I12" s="7" t="s">
        <v>54</v>
      </c>
      <c r="J12" s="9" t="n">
        <v>22.9829837209557</v>
      </c>
      <c r="K12" s="9" t="n">
        <v>17.0847221834779</v>
      </c>
      <c r="L12" s="10" t="n">
        <f aca="false">K12-J12</f>
        <v>-5.89826153747775</v>
      </c>
      <c r="M12" s="10" t="n">
        <f aca="false">IF(I12="higher",L12,-L12)</f>
        <v>5.89826153747775</v>
      </c>
    </row>
    <row r="13" customFormat="false" ht="15" hidden="false" customHeight="false" outlineLevel="0" collapsed="false">
      <c r="A13" s="7" t="s">
        <v>48</v>
      </c>
      <c r="B13" s="7" t="s">
        <v>10</v>
      </c>
      <c r="C13" s="7" t="s">
        <v>49</v>
      </c>
      <c r="D13" s="7" t="s">
        <v>50</v>
      </c>
      <c r="E13" s="7" t="s">
        <v>51</v>
      </c>
      <c r="F13" s="8" t="b">
        <f aca="false">TRUE()</f>
        <v>1</v>
      </c>
      <c r="G13" s="7" t="s">
        <v>69</v>
      </c>
      <c r="H13" s="7" t="s">
        <v>70</v>
      </c>
      <c r="I13" s="7" t="s">
        <v>71</v>
      </c>
      <c r="J13" s="9" t="n">
        <v>0.811023622047244</v>
      </c>
      <c r="K13" s="9" t="n">
        <v>0.669291338582677</v>
      </c>
      <c r="L13" s="10" t="n">
        <f aca="false">K13-J13</f>
        <v>-0.141732283464567</v>
      </c>
      <c r="M13" s="10" t="n">
        <f aca="false">IF(I13="higher",L13,-L13)</f>
        <v>-0.141732283464567</v>
      </c>
    </row>
    <row r="14" customFormat="false" ht="15" hidden="false" customHeight="false" outlineLevel="0" collapsed="false">
      <c r="A14" s="7" t="s">
        <v>48</v>
      </c>
      <c r="B14" s="7" t="s">
        <v>10</v>
      </c>
      <c r="C14" s="7" t="s">
        <v>49</v>
      </c>
      <c r="D14" s="7" t="s">
        <v>50</v>
      </c>
      <c r="E14" s="7" t="s">
        <v>51</v>
      </c>
      <c r="F14" s="8" t="b">
        <f aca="false">TRUE()</f>
        <v>1</v>
      </c>
      <c r="G14" s="7" t="s">
        <v>72</v>
      </c>
      <c r="H14" s="7" t="s">
        <v>73</v>
      </c>
      <c r="I14" s="7" t="s">
        <v>71</v>
      </c>
      <c r="J14" s="9" t="n">
        <v>0.89763779527559</v>
      </c>
      <c r="K14" s="9" t="n">
        <v>0.921259842519685</v>
      </c>
      <c r="L14" s="10" t="n">
        <f aca="false">K14-J14</f>
        <v>0.0236220472440946</v>
      </c>
      <c r="M14" s="10" t="n">
        <f aca="false">IF(I14="higher",L14,-L14)</f>
        <v>0.0236220472440946</v>
      </c>
    </row>
    <row r="15" customFormat="false" ht="15" hidden="false" customHeight="false" outlineLevel="0" collapsed="false">
      <c r="A15" s="7" t="s">
        <v>48</v>
      </c>
      <c r="B15" s="7" t="s">
        <v>10</v>
      </c>
      <c r="C15" s="7" t="s">
        <v>49</v>
      </c>
      <c r="D15" s="7" t="s">
        <v>50</v>
      </c>
      <c r="E15" s="7" t="s">
        <v>51</v>
      </c>
      <c r="F15" s="8" t="b">
        <f aca="false">TRUE()</f>
        <v>1</v>
      </c>
      <c r="G15" s="7" t="s">
        <v>74</v>
      </c>
      <c r="H15" s="7" t="s">
        <v>75</v>
      </c>
      <c r="I15" s="7" t="s">
        <v>54</v>
      </c>
      <c r="J15" s="9" t="n">
        <v>0.1</v>
      </c>
      <c r="K15" s="9" t="n">
        <v>0</v>
      </c>
      <c r="L15" s="10" t="n">
        <f aca="false">K15-J15</f>
        <v>-0.1</v>
      </c>
      <c r="M15" s="10" t="n">
        <f aca="false">IF(I15="higher",L15,-L15)</f>
        <v>0.1</v>
      </c>
    </row>
    <row r="16" customFormat="false" ht="15" hidden="false" customHeight="false" outlineLevel="0" collapsed="false">
      <c r="A16" s="7" t="s">
        <v>48</v>
      </c>
      <c r="B16" s="7" t="s">
        <v>10</v>
      </c>
      <c r="C16" s="7" t="s">
        <v>49</v>
      </c>
      <c r="D16" s="7" t="s">
        <v>50</v>
      </c>
      <c r="E16" s="7" t="s">
        <v>51</v>
      </c>
      <c r="F16" s="8" t="b">
        <f aca="false">TRUE()</f>
        <v>1</v>
      </c>
      <c r="G16" s="7" t="s">
        <v>76</v>
      </c>
      <c r="H16" s="7" t="s">
        <v>77</v>
      </c>
      <c r="I16" s="7" t="s">
        <v>54</v>
      </c>
      <c r="J16" s="9" t="n">
        <v>0.0764331210191083</v>
      </c>
      <c r="K16" s="9" t="n">
        <v>0.203821656050955</v>
      </c>
      <c r="L16" s="10" t="n">
        <f aca="false">K16-J16</f>
        <v>0.127388535031847</v>
      </c>
      <c r="M16" s="10" t="n">
        <f aca="false">IF(I16="higher",L16,-L16)</f>
        <v>-0.127388535031847</v>
      </c>
    </row>
    <row r="17" customFormat="false" ht="15" hidden="false" customHeight="false" outlineLevel="0" collapsed="false">
      <c r="A17" s="7" t="s">
        <v>48</v>
      </c>
      <c r="B17" s="7" t="s">
        <v>10</v>
      </c>
      <c r="C17" s="7" t="s">
        <v>49</v>
      </c>
      <c r="D17" s="7" t="s">
        <v>50</v>
      </c>
      <c r="E17" s="7" t="s">
        <v>51</v>
      </c>
      <c r="F17" s="8" t="b">
        <f aca="false">TRUE()</f>
        <v>1</v>
      </c>
      <c r="G17" s="7" t="s">
        <v>78</v>
      </c>
      <c r="H17" s="7" t="s">
        <v>79</v>
      </c>
      <c r="I17" s="7" t="s">
        <v>54</v>
      </c>
      <c r="J17" s="9" t="n">
        <v>0</v>
      </c>
      <c r="K17" s="9" t="n">
        <v>0</v>
      </c>
      <c r="L17" s="10" t="n">
        <f aca="false">K17-J17</f>
        <v>0</v>
      </c>
      <c r="M17" s="10" t="n">
        <f aca="false">IF(I17="higher",L17,-L17)</f>
        <v>-0</v>
      </c>
    </row>
    <row r="18" customFormat="false" ht="15" hidden="false" customHeight="false" outlineLevel="0" collapsed="false">
      <c r="A18" s="7" t="s">
        <v>48</v>
      </c>
      <c r="B18" s="7" t="s">
        <v>10</v>
      </c>
      <c r="C18" s="7" t="s">
        <v>49</v>
      </c>
      <c r="D18" s="7" t="s">
        <v>50</v>
      </c>
      <c r="E18" s="7" t="s">
        <v>51</v>
      </c>
      <c r="F18" s="8" t="b">
        <f aca="false">TRUE()</f>
        <v>1</v>
      </c>
      <c r="G18" s="7" t="s">
        <v>80</v>
      </c>
      <c r="H18" s="7" t="s">
        <v>81</v>
      </c>
      <c r="I18" s="7" t="s">
        <v>54</v>
      </c>
      <c r="J18" s="9" t="n">
        <v>0</v>
      </c>
      <c r="K18" s="9" t="n">
        <v>0</v>
      </c>
      <c r="L18" s="10" t="n">
        <f aca="false">K18-J18</f>
        <v>0</v>
      </c>
      <c r="M18" s="10" t="n">
        <f aca="false">IF(I18="higher",L18,-L18)</f>
        <v>-0</v>
      </c>
    </row>
    <row r="19" customFormat="false" ht="15" hidden="false" customHeight="false" outlineLevel="0" collapsed="false">
      <c r="A19" s="7" t="s">
        <v>82</v>
      </c>
      <c r="B19" s="7" t="s">
        <v>83</v>
      </c>
      <c r="C19" s="7" t="s">
        <v>49</v>
      </c>
      <c r="D19" s="7" t="s">
        <v>50</v>
      </c>
      <c r="E19" s="7" t="s">
        <v>51</v>
      </c>
      <c r="F19" s="8" t="b">
        <f aca="false">TRUE()</f>
        <v>1</v>
      </c>
      <c r="G19" s="7" t="s">
        <v>52</v>
      </c>
      <c r="H19" s="7" t="s">
        <v>53</v>
      </c>
      <c r="I19" s="7" t="s">
        <v>54</v>
      </c>
      <c r="J19" s="9" t="n">
        <v>4.6607998931466</v>
      </c>
      <c r="K19" s="9" t="n">
        <v>3.61416294347246</v>
      </c>
      <c r="L19" s="10" t="n">
        <f aca="false">K19-J19</f>
        <v>-1.04663694967414</v>
      </c>
      <c r="M19" s="10" t="n">
        <f aca="false">IF(I19="higher",L19,-L19)</f>
        <v>1.04663694967414</v>
      </c>
    </row>
    <row r="20" customFormat="false" ht="15" hidden="false" customHeight="false" outlineLevel="0" collapsed="false">
      <c r="A20" s="7" t="s">
        <v>82</v>
      </c>
      <c r="B20" s="7" t="s">
        <v>83</v>
      </c>
      <c r="C20" s="7" t="s">
        <v>49</v>
      </c>
      <c r="D20" s="7" t="s">
        <v>50</v>
      </c>
      <c r="E20" s="7" t="s">
        <v>51</v>
      </c>
      <c r="F20" s="8" t="b">
        <f aca="false">TRUE()</f>
        <v>1</v>
      </c>
      <c r="G20" s="7" t="s">
        <v>55</v>
      </c>
      <c r="H20" s="7" t="s">
        <v>56</v>
      </c>
      <c r="I20" s="7" t="s">
        <v>54</v>
      </c>
      <c r="J20" s="9" t="n">
        <v>10.9104383291158</v>
      </c>
      <c r="K20" s="9" t="n">
        <v>9.95216368427999</v>
      </c>
      <c r="L20" s="10" t="n">
        <f aca="false">K20-J20</f>
        <v>-0.958274644835786</v>
      </c>
      <c r="M20" s="10" t="n">
        <f aca="false">IF(I20="higher",L20,-L20)</f>
        <v>0.958274644835786</v>
      </c>
    </row>
    <row r="21" customFormat="false" ht="15" hidden="false" customHeight="false" outlineLevel="0" collapsed="false">
      <c r="A21" s="7" t="s">
        <v>82</v>
      </c>
      <c r="B21" s="7" t="s">
        <v>83</v>
      </c>
      <c r="C21" s="7" t="s">
        <v>49</v>
      </c>
      <c r="D21" s="7" t="s">
        <v>50</v>
      </c>
      <c r="E21" s="7" t="s">
        <v>51</v>
      </c>
      <c r="F21" s="8" t="b">
        <f aca="false">TRUE()</f>
        <v>1</v>
      </c>
      <c r="G21" s="7" t="s">
        <v>57</v>
      </c>
      <c r="H21" s="7" t="s">
        <v>58</v>
      </c>
      <c r="I21" s="7" t="s">
        <v>54</v>
      </c>
      <c r="J21" s="9" t="n">
        <v>29.5222459993959</v>
      </c>
      <c r="K21" s="9" t="n">
        <v>6.96665897321458</v>
      </c>
      <c r="L21" s="10" t="n">
        <f aca="false">K21-J21</f>
        <v>-22.5555870261814</v>
      </c>
      <c r="M21" s="10" t="n">
        <f aca="false">IF(I21="higher",L21,-L21)</f>
        <v>22.5555870261814</v>
      </c>
    </row>
    <row r="22" customFormat="false" ht="15" hidden="false" customHeight="false" outlineLevel="0" collapsed="false">
      <c r="A22" s="7" t="s">
        <v>82</v>
      </c>
      <c r="B22" s="7" t="s">
        <v>83</v>
      </c>
      <c r="C22" s="7" t="s">
        <v>49</v>
      </c>
      <c r="D22" s="7" t="s">
        <v>50</v>
      </c>
      <c r="E22" s="7" t="s">
        <v>51</v>
      </c>
      <c r="F22" s="8" t="b">
        <f aca="false">TRUE()</f>
        <v>1</v>
      </c>
      <c r="G22" s="7" t="s">
        <v>59</v>
      </c>
      <c r="H22" s="7" t="s">
        <v>60</v>
      </c>
      <c r="I22" s="7" t="s">
        <v>54</v>
      </c>
      <c r="J22" s="9" t="n">
        <v>0.0957563007974888</v>
      </c>
      <c r="K22" s="9" t="n">
        <v>0.0656107570931524</v>
      </c>
      <c r="L22" s="10" t="n">
        <f aca="false">K22-J22</f>
        <v>-0.0301455437043363</v>
      </c>
      <c r="M22" s="10" t="n">
        <f aca="false">IF(I22="higher",L22,-L22)</f>
        <v>0.0301455437043363</v>
      </c>
    </row>
    <row r="23" customFormat="false" ht="15" hidden="false" customHeight="false" outlineLevel="0" collapsed="false">
      <c r="A23" s="7" t="s">
        <v>82</v>
      </c>
      <c r="B23" s="7" t="s">
        <v>83</v>
      </c>
      <c r="C23" s="7" t="s">
        <v>49</v>
      </c>
      <c r="D23" s="7" t="s">
        <v>50</v>
      </c>
      <c r="E23" s="7" t="s">
        <v>51</v>
      </c>
      <c r="F23" s="8" t="b">
        <f aca="false">TRUE()</f>
        <v>1</v>
      </c>
      <c r="G23" s="7" t="s">
        <v>61</v>
      </c>
      <c r="H23" s="7" t="s">
        <v>62</v>
      </c>
      <c r="I23" s="7" t="s">
        <v>54</v>
      </c>
      <c r="J23" s="9" t="n">
        <v>13.8477438477698</v>
      </c>
      <c r="K23" s="9" t="n">
        <v>11.1964196594515</v>
      </c>
      <c r="L23" s="10" t="n">
        <f aca="false">K23-J23</f>
        <v>-2.65132418831826</v>
      </c>
      <c r="M23" s="10" t="n">
        <f aca="false">IF(I23="higher",L23,-L23)</f>
        <v>2.65132418831826</v>
      </c>
    </row>
    <row r="24" customFormat="false" ht="15" hidden="false" customHeight="false" outlineLevel="0" collapsed="false">
      <c r="A24" s="7" t="s">
        <v>82</v>
      </c>
      <c r="B24" s="7" t="s">
        <v>83</v>
      </c>
      <c r="C24" s="7" t="s">
        <v>49</v>
      </c>
      <c r="D24" s="7" t="s">
        <v>50</v>
      </c>
      <c r="E24" s="7" t="s">
        <v>51</v>
      </c>
      <c r="F24" s="8" t="b">
        <f aca="false">TRUE()</f>
        <v>1</v>
      </c>
      <c r="G24" s="7" t="s">
        <v>63</v>
      </c>
      <c r="H24" s="7" t="s">
        <v>64</v>
      </c>
      <c r="I24" s="7" t="s">
        <v>54</v>
      </c>
      <c r="J24" s="9" t="n">
        <v>11.9009669803369</v>
      </c>
      <c r="K24" s="9" t="n">
        <v>5.66195497782306</v>
      </c>
      <c r="L24" s="10" t="n">
        <f aca="false">K24-J24</f>
        <v>-6.23901200251379</v>
      </c>
      <c r="M24" s="10" t="n">
        <f aca="false">IF(I24="higher",L24,-L24)</f>
        <v>6.23901200251379</v>
      </c>
    </row>
    <row r="25" customFormat="false" ht="15" hidden="false" customHeight="false" outlineLevel="0" collapsed="false">
      <c r="A25" s="7" t="s">
        <v>82</v>
      </c>
      <c r="B25" s="7" t="s">
        <v>83</v>
      </c>
      <c r="C25" s="7" t="s">
        <v>49</v>
      </c>
      <c r="D25" s="7" t="s">
        <v>50</v>
      </c>
      <c r="E25" s="7" t="s">
        <v>51</v>
      </c>
      <c r="F25" s="8" t="b">
        <f aca="false">TRUE()</f>
        <v>1</v>
      </c>
      <c r="G25" s="7" t="s">
        <v>65</v>
      </c>
      <c r="H25" s="7" t="s">
        <v>66</v>
      </c>
      <c r="I25" s="7" t="s">
        <v>54</v>
      </c>
      <c r="J25" s="9" t="n">
        <v>15.0655211427067</v>
      </c>
      <c r="K25" s="9" t="n">
        <v>11.7401029482234</v>
      </c>
      <c r="L25" s="10" t="n">
        <f aca="false">K25-J25</f>
        <v>-3.32541819448333</v>
      </c>
      <c r="M25" s="10" t="n">
        <f aca="false">IF(I25="higher",L25,-L25)</f>
        <v>3.32541819448333</v>
      </c>
    </row>
    <row r="26" customFormat="false" ht="15" hidden="false" customHeight="false" outlineLevel="0" collapsed="false">
      <c r="A26" s="7" t="s">
        <v>82</v>
      </c>
      <c r="B26" s="7" t="s">
        <v>83</v>
      </c>
      <c r="C26" s="7" t="s">
        <v>49</v>
      </c>
      <c r="D26" s="7" t="s">
        <v>50</v>
      </c>
      <c r="E26" s="7" t="s">
        <v>51</v>
      </c>
      <c r="F26" s="8" t="b">
        <f aca="false">TRUE()</f>
        <v>1</v>
      </c>
      <c r="G26" s="7" t="s">
        <v>67</v>
      </c>
      <c r="H26" s="7" t="s">
        <v>68</v>
      </c>
      <c r="I26" s="7" t="s">
        <v>54</v>
      </c>
      <c r="J26" s="9" t="n">
        <v>26.2843566430101</v>
      </c>
      <c r="K26" s="9" t="n">
        <v>17.0847221834779</v>
      </c>
      <c r="L26" s="10" t="n">
        <f aca="false">K26-J26</f>
        <v>-9.19963445953214</v>
      </c>
      <c r="M26" s="10" t="n">
        <f aca="false">IF(I26="higher",L26,-L26)</f>
        <v>9.19963445953214</v>
      </c>
    </row>
    <row r="27" customFormat="false" ht="15" hidden="false" customHeight="false" outlineLevel="0" collapsed="false">
      <c r="A27" s="7" t="s">
        <v>82</v>
      </c>
      <c r="B27" s="7" t="s">
        <v>83</v>
      </c>
      <c r="C27" s="7" t="s">
        <v>49</v>
      </c>
      <c r="D27" s="7" t="s">
        <v>50</v>
      </c>
      <c r="E27" s="7" t="s">
        <v>51</v>
      </c>
      <c r="F27" s="8" t="b">
        <f aca="false">TRUE()</f>
        <v>1</v>
      </c>
      <c r="G27" s="7" t="s">
        <v>69</v>
      </c>
      <c r="H27" s="7" t="s">
        <v>70</v>
      </c>
      <c r="I27" s="7" t="s">
        <v>71</v>
      </c>
      <c r="J27" s="9" t="n">
        <v>0.62992125984252</v>
      </c>
      <c r="K27" s="9" t="n">
        <v>0.669291338582677</v>
      </c>
      <c r="L27" s="10" t="n">
        <f aca="false">K27-J27</f>
        <v>0.0393700787401575</v>
      </c>
      <c r="M27" s="10" t="n">
        <f aca="false">IF(I27="higher",L27,-L27)</f>
        <v>0.0393700787401575</v>
      </c>
    </row>
    <row r="28" customFormat="false" ht="15" hidden="false" customHeight="false" outlineLevel="0" collapsed="false">
      <c r="A28" s="7" t="s">
        <v>82</v>
      </c>
      <c r="B28" s="7" t="s">
        <v>83</v>
      </c>
      <c r="C28" s="7" t="s">
        <v>49</v>
      </c>
      <c r="D28" s="7" t="s">
        <v>50</v>
      </c>
      <c r="E28" s="7" t="s">
        <v>51</v>
      </c>
      <c r="F28" s="8" t="b">
        <f aca="false">TRUE()</f>
        <v>1</v>
      </c>
      <c r="G28" s="7" t="s">
        <v>72</v>
      </c>
      <c r="H28" s="7" t="s">
        <v>73</v>
      </c>
      <c r="I28" s="7" t="s">
        <v>71</v>
      </c>
      <c r="J28" s="9" t="n">
        <v>0.850393700787402</v>
      </c>
      <c r="K28" s="9" t="n">
        <v>0.921259842519685</v>
      </c>
      <c r="L28" s="10" t="n">
        <f aca="false">K28-J28</f>
        <v>0.0708661417322834</v>
      </c>
      <c r="M28" s="10" t="n">
        <f aca="false">IF(I28="higher",L28,-L28)</f>
        <v>0.0708661417322834</v>
      </c>
    </row>
    <row r="29" customFormat="false" ht="15" hidden="false" customHeight="false" outlineLevel="0" collapsed="false">
      <c r="A29" s="7" t="s">
        <v>82</v>
      </c>
      <c r="B29" s="7" t="s">
        <v>83</v>
      </c>
      <c r="C29" s="7" t="s">
        <v>49</v>
      </c>
      <c r="D29" s="7" t="s">
        <v>50</v>
      </c>
      <c r="E29" s="7" t="s">
        <v>51</v>
      </c>
      <c r="F29" s="8" t="b">
        <f aca="false">TRUE()</f>
        <v>1</v>
      </c>
      <c r="G29" s="7" t="s">
        <v>74</v>
      </c>
      <c r="H29" s="7" t="s">
        <v>75</v>
      </c>
      <c r="I29" s="7" t="s">
        <v>54</v>
      </c>
      <c r="J29" s="9" t="n">
        <v>0</v>
      </c>
      <c r="K29" s="9" t="n">
        <v>0</v>
      </c>
      <c r="L29" s="10" t="n">
        <f aca="false">K29-J29</f>
        <v>0</v>
      </c>
      <c r="M29" s="10" t="n">
        <f aca="false">IF(I29="higher",L29,-L29)</f>
        <v>-0</v>
      </c>
    </row>
    <row r="30" customFormat="false" ht="15" hidden="false" customHeight="false" outlineLevel="0" collapsed="false">
      <c r="A30" s="7" t="s">
        <v>82</v>
      </c>
      <c r="B30" s="7" t="s">
        <v>83</v>
      </c>
      <c r="C30" s="7" t="s">
        <v>49</v>
      </c>
      <c r="D30" s="7" t="s">
        <v>50</v>
      </c>
      <c r="E30" s="7" t="s">
        <v>51</v>
      </c>
      <c r="F30" s="8" t="b">
        <f aca="false">TRUE()</f>
        <v>1</v>
      </c>
      <c r="G30" s="7" t="s">
        <v>76</v>
      </c>
      <c r="H30" s="7" t="s">
        <v>77</v>
      </c>
      <c r="I30" s="7" t="s">
        <v>54</v>
      </c>
      <c r="J30" s="9" t="n">
        <v>0.178343949044586</v>
      </c>
      <c r="K30" s="9" t="n">
        <v>0.203821656050955</v>
      </c>
      <c r="L30" s="10" t="n">
        <f aca="false">K30-J30</f>
        <v>0.0254777070063694</v>
      </c>
      <c r="M30" s="10" t="n">
        <f aca="false">IF(I30="higher",L30,-L30)</f>
        <v>-0.0254777070063694</v>
      </c>
    </row>
    <row r="31" customFormat="false" ht="15" hidden="false" customHeight="false" outlineLevel="0" collapsed="false">
      <c r="A31" s="7" t="s">
        <v>82</v>
      </c>
      <c r="B31" s="7" t="s">
        <v>83</v>
      </c>
      <c r="C31" s="7" t="s">
        <v>49</v>
      </c>
      <c r="D31" s="7" t="s">
        <v>50</v>
      </c>
      <c r="E31" s="7" t="s">
        <v>51</v>
      </c>
      <c r="F31" s="8" t="b">
        <f aca="false">TRUE()</f>
        <v>1</v>
      </c>
      <c r="G31" s="7" t="s">
        <v>78</v>
      </c>
      <c r="H31" s="7" t="s">
        <v>79</v>
      </c>
      <c r="I31" s="7" t="s">
        <v>54</v>
      </c>
      <c r="J31" s="9" t="n">
        <v>0</v>
      </c>
      <c r="K31" s="9" t="n">
        <v>0</v>
      </c>
      <c r="L31" s="10" t="n">
        <f aca="false">K31-J31</f>
        <v>0</v>
      </c>
      <c r="M31" s="10" t="n">
        <f aca="false">IF(I31="higher",L31,-L31)</f>
        <v>-0</v>
      </c>
    </row>
    <row r="32" customFormat="false" ht="15" hidden="false" customHeight="false" outlineLevel="0" collapsed="false">
      <c r="A32" s="7" t="s">
        <v>82</v>
      </c>
      <c r="B32" s="7" t="s">
        <v>83</v>
      </c>
      <c r="C32" s="7" t="s">
        <v>49</v>
      </c>
      <c r="D32" s="7" t="s">
        <v>50</v>
      </c>
      <c r="E32" s="7" t="s">
        <v>51</v>
      </c>
      <c r="F32" s="8" t="b">
        <f aca="false">TRUE()</f>
        <v>1</v>
      </c>
      <c r="G32" s="7" t="s">
        <v>80</v>
      </c>
      <c r="H32" s="7" t="s">
        <v>81</v>
      </c>
      <c r="I32" s="7" t="s">
        <v>54</v>
      </c>
      <c r="J32" s="9" t="n">
        <v>0</v>
      </c>
      <c r="K32" s="9" t="n">
        <v>0</v>
      </c>
      <c r="L32" s="10" t="n">
        <f aca="false">K32-J32</f>
        <v>0</v>
      </c>
      <c r="M32" s="10" t="n">
        <f aca="false">IF(I32="higher",L32,-L32)</f>
        <v>-0</v>
      </c>
    </row>
    <row r="33" customFormat="false" ht="15" hidden="false" customHeight="false" outlineLevel="0" collapsed="false">
      <c r="A33" s="7" t="s">
        <v>48</v>
      </c>
      <c r="B33" s="7" t="s">
        <v>10</v>
      </c>
      <c r="C33" s="7" t="s">
        <v>49</v>
      </c>
      <c r="D33" s="7" t="s">
        <v>84</v>
      </c>
      <c r="E33" s="7" t="s">
        <v>51</v>
      </c>
      <c r="F33" s="8" t="b">
        <f aca="false">TRUE()</f>
        <v>1</v>
      </c>
      <c r="G33" s="7" t="s">
        <v>52</v>
      </c>
      <c r="H33" s="7" t="s">
        <v>53</v>
      </c>
      <c r="I33" s="7" t="s">
        <v>54</v>
      </c>
      <c r="J33" s="9" t="n">
        <v>5.36317964087449</v>
      </c>
      <c r="K33" s="9" t="n">
        <v>3.53817455329645</v>
      </c>
      <c r="L33" s="10" t="n">
        <f aca="false">K33-J33</f>
        <v>-1.82500508757803</v>
      </c>
      <c r="M33" s="10" t="n">
        <f aca="false">IF(I33="higher",L33,-L33)</f>
        <v>1.82500508757803</v>
      </c>
    </row>
    <row r="34" customFormat="false" ht="15" hidden="false" customHeight="false" outlineLevel="0" collapsed="false">
      <c r="A34" s="7" t="s">
        <v>48</v>
      </c>
      <c r="B34" s="7" t="s">
        <v>10</v>
      </c>
      <c r="C34" s="7" t="s">
        <v>49</v>
      </c>
      <c r="D34" s="7" t="s">
        <v>84</v>
      </c>
      <c r="E34" s="7" t="s">
        <v>51</v>
      </c>
      <c r="F34" s="8" t="b">
        <f aca="false">TRUE()</f>
        <v>1</v>
      </c>
      <c r="G34" s="7" t="s">
        <v>55</v>
      </c>
      <c r="H34" s="7" t="s">
        <v>56</v>
      </c>
      <c r="I34" s="7" t="s">
        <v>54</v>
      </c>
      <c r="J34" s="9" t="n">
        <v>11.1041811456604</v>
      </c>
      <c r="K34" s="9" t="n">
        <v>12.3630500057378</v>
      </c>
      <c r="L34" s="10" t="n">
        <f aca="false">K34-J34</f>
        <v>1.2588688600774</v>
      </c>
      <c r="M34" s="10" t="n">
        <f aca="false">IF(I34="higher",L34,-L34)</f>
        <v>-1.2588688600774</v>
      </c>
    </row>
    <row r="35" customFormat="false" ht="15" hidden="false" customHeight="false" outlineLevel="0" collapsed="false">
      <c r="A35" s="7" t="s">
        <v>48</v>
      </c>
      <c r="B35" s="7" t="s">
        <v>10</v>
      </c>
      <c r="C35" s="7" t="s">
        <v>49</v>
      </c>
      <c r="D35" s="7" t="s">
        <v>84</v>
      </c>
      <c r="E35" s="7" t="s">
        <v>51</v>
      </c>
      <c r="F35" s="8" t="b">
        <f aca="false">TRUE()</f>
        <v>1</v>
      </c>
      <c r="G35" s="7" t="s">
        <v>57</v>
      </c>
      <c r="H35" s="7" t="s">
        <v>58</v>
      </c>
      <c r="I35" s="7" t="s">
        <v>54</v>
      </c>
      <c r="J35" s="9" t="n">
        <v>8.49036912889545</v>
      </c>
      <c r="K35" s="9" t="n">
        <v>6.90672707826861</v>
      </c>
      <c r="L35" s="10" t="n">
        <f aca="false">K35-J35</f>
        <v>-1.58364205062684</v>
      </c>
      <c r="M35" s="10" t="n">
        <f aca="false">IF(I35="higher",L35,-L35)</f>
        <v>1.58364205062684</v>
      </c>
    </row>
    <row r="36" customFormat="false" ht="15" hidden="false" customHeight="false" outlineLevel="0" collapsed="false">
      <c r="A36" s="7" t="s">
        <v>48</v>
      </c>
      <c r="B36" s="7" t="s">
        <v>10</v>
      </c>
      <c r="C36" s="7" t="s">
        <v>49</v>
      </c>
      <c r="D36" s="7" t="s">
        <v>84</v>
      </c>
      <c r="E36" s="7" t="s">
        <v>51</v>
      </c>
      <c r="F36" s="8" t="b">
        <f aca="false">TRUE()</f>
        <v>1</v>
      </c>
      <c r="G36" s="7" t="s">
        <v>59</v>
      </c>
      <c r="H36" s="7" t="s">
        <v>60</v>
      </c>
      <c r="I36" s="7" t="s">
        <v>54</v>
      </c>
      <c r="J36" s="9" t="n">
        <v>0.0741860158692334</v>
      </c>
      <c r="K36" s="9" t="n">
        <v>0.0769166720121647</v>
      </c>
      <c r="L36" s="10" t="n">
        <f aca="false">K36-J36</f>
        <v>0.00273065614293129</v>
      </c>
      <c r="M36" s="10" t="n">
        <f aca="false">IF(I36="higher",L36,-L36)</f>
        <v>-0.00273065614293129</v>
      </c>
    </row>
    <row r="37" customFormat="false" ht="15" hidden="false" customHeight="false" outlineLevel="0" collapsed="false">
      <c r="A37" s="7" t="s">
        <v>48</v>
      </c>
      <c r="B37" s="7" t="s">
        <v>10</v>
      </c>
      <c r="C37" s="7" t="s">
        <v>49</v>
      </c>
      <c r="D37" s="7" t="s">
        <v>84</v>
      </c>
      <c r="E37" s="7" t="s">
        <v>51</v>
      </c>
      <c r="F37" s="8" t="b">
        <f aca="false">TRUE()</f>
        <v>1</v>
      </c>
      <c r="G37" s="7" t="s">
        <v>61</v>
      </c>
      <c r="H37" s="7" t="s">
        <v>62</v>
      </c>
      <c r="I37" s="7" t="s">
        <v>54</v>
      </c>
      <c r="J37" s="9" t="n">
        <v>19.8063868529659</v>
      </c>
      <c r="K37" s="9" t="n">
        <v>19.2285644453251</v>
      </c>
      <c r="L37" s="10" t="n">
        <f aca="false">K37-J37</f>
        <v>-0.57782240764076</v>
      </c>
      <c r="M37" s="10" t="n">
        <f aca="false">IF(I37="higher",L37,-L37)</f>
        <v>0.57782240764076</v>
      </c>
    </row>
    <row r="38" customFormat="false" ht="15" hidden="false" customHeight="false" outlineLevel="0" collapsed="false">
      <c r="A38" s="7" t="s">
        <v>48</v>
      </c>
      <c r="B38" s="7" t="s">
        <v>10</v>
      </c>
      <c r="C38" s="7" t="s">
        <v>49</v>
      </c>
      <c r="D38" s="7" t="s">
        <v>84</v>
      </c>
      <c r="E38" s="7" t="s">
        <v>51</v>
      </c>
      <c r="F38" s="8" t="b">
        <f aca="false">TRUE()</f>
        <v>1</v>
      </c>
      <c r="G38" s="7" t="s">
        <v>63</v>
      </c>
      <c r="H38" s="7" t="s">
        <v>64</v>
      </c>
      <c r="I38" s="7" t="s">
        <v>54</v>
      </c>
      <c r="J38" s="9" t="n">
        <v>11.7786533860086</v>
      </c>
      <c r="K38" s="9" t="n">
        <v>7.52931332440241</v>
      </c>
      <c r="L38" s="10" t="n">
        <f aca="false">K38-J38</f>
        <v>-4.24934006160621</v>
      </c>
      <c r="M38" s="10" t="n">
        <f aca="false">IF(I38="higher",L38,-L38)</f>
        <v>4.24934006160621</v>
      </c>
    </row>
    <row r="39" customFormat="false" ht="15" hidden="false" customHeight="false" outlineLevel="0" collapsed="false">
      <c r="A39" s="7" t="s">
        <v>48</v>
      </c>
      <c r="B39" s="7" t="s">
        <v>10</v>
      </c>
      <c r="C39" s="7" t="s">
        <v>49</v>
      </c>
      <c r="D39" s="7" t="s">
        <v>84</v>
      </c>
      <c r="E39" s="7" t="s">
        <v>51</v>
      </c>
      <c r="F39" s="8" t="b">
        <f aca="false">TRUE()</f>
        <v>1</v>
      </c>
      <c r="G39" s="7" t="s">
        <v>65</v>
      </c>
      <c r="H39" s="7" t="s">
        <v>66</v>
      </c>
      <c r="I39" s="7" t="s">
        <v>54</v>
      </c>
      <c r="J39" s="9" t="n">
        <v>17.9161359234684</v>
      </c>
      <c r="K39" s="9" t="n">
        <v>17.3535515394764</v>
      </c>
      <c r="L39" s="10" t="n">
        <f aca="false">K39-J39</f>
        <v>-0.562584383992043</v>
      </c>
      <c r="M39" s="10" t="n">
        <f aca="false">IF(I39="higher",L39,-L39)</f>
        <v>0.562584383992043</v>
      </c>
    </row>
    <row r="40" customFormat="false" ht="15" hidden="false" customHeight="false" outlineLevel="0" collapsed="false">
      <c r="A40" s="7" t="s">
        <v>48</v>
      </c>
      <c r="B40" s="7" t="s">
        <v>10</v>
      </c>
      <c r="C40" s="7" t="s">
        <v>49</v>
      </c>
      <c r="D40" s="7" t="s">
        <v>84</v>
      </c>
      <c r="E40" s="7" t="s">
        <v>51</v>
      </c>
      <c r="F40" s="8" t="b">
        <f aca="false">TRUE()</f>
        <v>1</v>
      </c>
      <c r="G40" s="7" t="s">
        <v>67</v>
      </c>
      <c r="H40" s="7" t="s">
        <v>68</v>
      </c>
      <c r="I40" s="7" t="s">
        <v>54</v>
      </c>
      <c r="J40" s="9" t="n">
        <v>16.7132408287647</v>
      </c>
      <c r="K40" s="9" t="n">
        <v>16.6758576735218</v>
      </c>
      <c r="L40" s="10" t="n">
        <f aca="false">K40-J40</f>
        <v>-0.0373831552428712</v>
      </c>
      <c r="M40" s="10" t="n">
        <f aca="false">IF(I40="higher",L40,-L40)</f>
        <v>0.0373831552428712</v>
      </c>
    </row>
    <row r="41" customFormat="false" ht="15" hidden="false" customHeight="false" outlineLevel="0" collapsed="false">
      <c r="A41" s="7" t="s">
        <v>48</v>
      </c>
      <c r="B41" s="7" t="s">
        <v>10</v>
      </c>
      <c r="C41" s="7" t="s">
        <v>49</v>
      </c>
      <c r="D41" s="7" t="s">
        <v>84</v>
      </c>
      <c r="E41" s="7" t="s">
        <v>51</v>
      </c>
      <c r="F41" s="8" t="b">
        <f aca="false">TRUE()</f>
        <v>1</v>
      </c>
      <c r="G41" s="7" t="s">
        <v>69</v>
      </c>
      <c r="H41" s="7" t="s">
        <v>70</v>
      </c>
      <c r="I41" s="7" t="s">
        <v>71</v>
      </c>
      <c r="J41" s="9" t="n">
        <v>0.613636363636364</v>
      </c>
      <c r="K41" s="9" t="n">
        <v>0.715909090909091</v>
      </c>
      <c r="L41" s="10" t="n">
        <f aca="false">K41-J41</f>
        <v>0.102272727272727</v>
      </c>
      <c r="M41" s="10" t="n">
        <f aca="false">IF(I41="higher",L41,-L41)</f>
        <v>0.102272727272727</v>
      </c>
    </row>
    <row r="42" customFormat="false" ht="15" hidden="false" customHeight="false" outlineLevel="0" collapsed="false">
      <c r="A42" s="7" t="s">
        <v>48</v>
      </c>
      <c r="B42" s="7" t="s">
        <v>10</v>
      </c>
      <c r="C42" s="7" t="s">
        <v>49</v>
      </c>
      <c r="D42" s="7" t="s">
        <v>84</v>
      </c>
      <c r="E42" s="7" t="s">
        <v>51</v>
      </c>
      <c r="F42" s="8" t="b">
        <f aca="false">TRUE()</f>
        <v>1</v>
      </c>
      <c r="G42" s="7" t="s">
        <v>72</v>
      </c>
      <c r="H42" s="7" t="s">
        <v>73</v>
      </c>
      <c r="I42" s="7" t="s">
        <v>71</v>
      </c>
      <c r="J42" s="9" t="n">
        <v>0.897727272727273</v>
      </c>
      <c r="K42" s="9" t="n">
        <v>0.931818181818182</v>
      </c>
      <c r="L42" s="10" t="n">
        <f aca="false">K42-J42</f>
        <v>0.0340909090909091</v>
      </c>
      <c r="M42" s="10" t="n">
        <f aca="false">IF(I42="higher",L42,-L42)</f>
        <v>0.0340909090909091</v>
      </c>
    </row>
    <row r="43" customFormat="false" ht="15" hidden="false" customHeight="false" outlineLevel="0" collapsed="false">
      <c r="A43" s="7" t="s">
        <v>48</v>
      </c>
      <c r="B43" s="7" t="s">
        <v>10</v>
      </c>
      <c r="C43" s="7" t="s">
        <v>49</v>
      </c>
      <c r="D43" s="7" t="s">
        <v>84</v>
      </c>
      <c r="E43" s="7" t="s">
        <v>51</v>
      </c>
      <c r="F43" s="8" t="b">
        <f aca="false">TRUE()</f>
        <v>1</v>
      </c>
      <c r="G43" s="7" t="s">
        <v>74</v>
      </c>
      <c r="H43" s="7" t="s">
        <v>75</v>
      </c>
      <c r="I43" s="7" t="s">
        <v>54</v>
      </c>
      <c r="J43" s="9" t="n">
        <v>0.142857142857143</v>
      </c>
      <c r="K43" s="9" t="n">
        <v>0</v>
      </c>
      <c r="L43" s="10" t="n">
        <f aca="false">K43-J43</f>
        <v>-0.142857142857143</v>
      </c>
      <c r="M43" s="10" t="n">
        <f aca="false">IF(I43="higher",L43,-L43)</f>
        <v>0.142857142857143</v>
      </c>
    </row>
    <row r="44" customFormat="false" ht="15" hidden="false" customHeight="false" outlineLevel="0" collapsed="false">
      <c r="A44" s="7" t="s">
        <v>48</v>
      </c>
      <c r="B44" s="7" t="s">
        <v>10</v>
      </c>
      <c r="C44" s="7" t="s">
        <v>49</v>
      </c>
      <c r="D44" s="7" t="s">
        <v>84</v>
      </c>
      <c r="E44" s="7" t="s">
        <v>51</v>
      </c>
      <c r="F44" s="8" t="b">
        <f aca="false">TRUE()</f>
        <v>1</v>
      </c>
      <c r="G44" s="7" t="s">
        <v>76</v>
      </c>
      <c r="H44" s="7" t="s">
        <v>77</v>
      </c>
      <c r="I44" s="7" t="s">
        <v>54</v>
      </c>
      <c r="J44" s="9" t="n">
        <v>0.198412698412698</v>
      </c>
      <c r="K44" s="9" t="n">
        <v>0.150793650793651</v>
      </c>
      <c r="L44" s="10" t="n">
        <f aca="false">K44-J44</f>
        <v>-0.0476190476190476</v>
      </c>
      <c r="M44" s="10" t="n">
        <f aca="false">IF(I44="higher",L44,-L44)</f>
        <v>0.0476190476190476</v>
      </c>
    </row>
    <row r="45" customFormat="false" ht="15" hidden="false" customHeight="false" outlineLevel="0" collapsed="false">
      <c r="A45" s="7" t="s">
        <v>48</v>
      </c>
      <c r="B45" s="7" t="s">
        <v>10</v>
      </c>
      <c r="C45" s="7" t="s">
        <v>49</v>
      </c>
      <c r="D45" s="7" t="s">
        <v>84</v>
      </c>
      <c r="E45" s="7" t="s">
        <v>51</v>
      </c>
      <c r="F45" s="8" t="b">
        <f aca="false">TRUE()</f>
        <v>1</v>
      </c>
      <c r="G45" s="7" t="s">
        <v>78</v>
      </c>
      <c r="H45" s="7" t="s">
        <v>79</v>
      </c>
      <c r="I45" s="7" t="s">
        <v>54</v>
      </c>
      <c r="J45" s="9" t="n">
        <v>0</v>
      </c>
      <c r="K45" s="9" t="n">
        <v>0</v>
      </c>
      <c r="L45" s="10" t="n">
        <f aca="false">K45-J45</f>
        <v>0</v>
      </c>
      <c r="M45" s="10" t="n">
        <f aca="false">IF(I45="higher",L45,-L45)</f>
        <v>-0</v>
      </c>
    </row>
    <row r="46" customFormat="false" ht="15" hidden="false" customHeight="false" outlineLevel="0" collapsed="false">
      <c r="A46" s="7" t="s">
        <v>48</v>
      </c>
      <c r="B46" s="7" t="s">
        <v>10</v>
      </c>
      <c r="C46" s="7" t="s">
        <v>49</v>
      </c>
      <c r="D46" s="7" t="s">
        <v>84</v>
      </c>
      <c r="E46" s="7" t="s">
        <v>51</v>
      </c>
      <c r="F46" s="8" t="b">
        <f aca="false">TRUE()</f>
        <v>1</v>
      </c>
      <c r="G46" s="7" t="s">
        <v>80</v>
      </c>
      <c r="H46" s="7" t="s">
        <v>81</v>
      </c>
      <c r="I46" s="7" t="s">
        <v>54</v>
      </c>
      <c r="J46" s="9" t="n">
        <v>0</v>
      </c>
      <c r="K46" s="9" t="n">
        <v>0</v>
      </c>
      <c r="L46" s="10" t="n">
        <f aca="false">K46-J46</f>
        <v>0</v>
      </c>
      <c r="M46" s="10" t="n">
        <f aca="false">IF(I46="higher",L46,-L46)</f>
        <v>-0</v>
      </c>
    </row>
    <row r="47" customFormat="false" ht="15" hidden="false" customHeight="false" outlineLevel="0" collapsed="false">
      <c r="A47" s="7" t="s">
        <v>82</v>
      </c>
      <c r="B47" s="7" t="s">
        <v>83</v>
      </c>
      <c r="C47" s="7" t="s">
        <v>49</v>
      </c>
      <c r="D47" s="7" t="s">
        <v>84</v>
      </c>
      <c r="E47" s="7" t="s">
        <v>51</v>
      </c>
      <c r="F47" s="8" t="b">
        <f aca="false">TRUE()</f>
        <v>1</v>
      </c>
      <c r="G47" s="7" t="s">
        <v>52</v>
      </c>
      <c r="H47" s="7" t="s">
        <v>53</v>
      </c>
      <c r="I47" s="7" t="s">
        <v>54</v>
      </c>
      <c r="J47" s="9" t="n">
        <v>3.27606774906579</v>
      </c>
      <c r="K47" s="9" t="n">
        <v>3.53817455329645</v>
      </c>
      <c r="L47" s="10" t="n">
        <f aca="false">K47-J47</f>
        <v>0.26210680423066</v>
      </c>
      <c r="M47" s="10" t="n">
        <f aca="false">IF(I47="higher",L47,-L47)</f>
        <v>-0.26210680423066</v>
      </c>
    </row>
    <row r="48" customFormat="false" ht="15" hidden="false" customHeight="false" outlineLevel="0" collapsed="false">
      <c r="A48" s="7" t="s">
        <v>82</v>
      </c>
      <c r="B48" s="7" t="s">
        <v>83</v>
      </c>
      <c r="C48" s="7" t="s">
        <v>49</v>
      </c>
      <c r="D48" s="7" t="s">
        <v>84</v>
      </c>
      <c r="E48" s="7" t="s">
        <v>51</v>
      </c>
      <c r="F48" s="8" t="b">
        <f aca="false">TRUE()</f>
        <v>1</v>
      </c>
      <c r="G48" s="7" t="s">
        <v>55</v>
      </c>
      <c r="H48" s="7" t="s">
        <v>56</v>
      </c>
      <c r="I48" s="7" t="s">
        <v>54</v>
      </c>
      <c r="J48" s="9" t="n">
        <v>10.6620125325848</v>
      </c>
      <c r="K48" s="9" t="n">
        <v>12.3630500057378</v>
      </c>
      <c r="L48" s="10" t="n">
        <f aca="false">K48-J48</f>
        <v>1.70103747315298</v>
      </c>
      <c r="M48" s="10" t="n">
        <f aca="false">IF(I48="higher",L48,-L48)</f>
        <v>-1.70103747315298</v>
      </c>
    </row>
    <row r="49" customFormat="false" ht="15" hidden="false" customHeight="false" outlineLevel="0" collapsed="false">
      <c r="A49" s="7" t="s">
        <v>82</v>
      </c>
      <c r="B49" s="7" t="s">
        <v>83</v>
      </c>
      <c r="C49" s="7" t="s">
        <v>49</v>
      </c>
      <c r="D49" s="7" t="s">
        <v>84</v>
      </c>
      <c r="E49" s="7" t="s">
        <v>51</v>
      </c>
      <c r="F49" s="8" t="b">
        <f aca="false">TRUE()</f>
        <v>1</v>
      </c>
      <c r="G49" s="7" t="s">
        <v>57</v>
      </c>
      <c r="H49" s="7" t="s">
        <v>58</v>
      </c>
      <c r="I49" s="7" t="s">
        <v>54</v>
      </c>
      <c r="J49" s="9" t="n">
        <v>8.36759790237574</v>
      </c>
      <c r="K49" s="9" t="n">
        <v>6.90672707826861</v>
      </c>
      <c r="L49" s="10" t="n">
        <f aca="false">K49-J49</f>
        <v>-1.46087082410713</v>
      </c>
      <c r="M49" s="10" t="n">
        <f aca="false">IF(I49="higher",L49,-L49)</f>
        <v>1.46087082410713</v>
      </c>
    </row>
    <row r="50" customFormat="false" ht="15" hidden="false" customHeight="false" outlineLevel="0" collapsed="false">
      <c r="A50" s="7" t="s">
        <v>82</v>
      </c>
      <c r="B50" s="7" t="s">
        <v>83</v>
      </c>
      <c r="C50" s="7" t="s">
        <v>49</v>
      </c>
      <c r="D50" s="7" t="s">
        <v>84</v>
      </c>
      <c r="E50" s="7" t="s">
        <v>51</v>
      </c>
      <c r="F50" s="8" t="b">
        <f aca="false">TRUE()</f>
        <v>1</v>
      </c>
      <c r="G50" s="7" t="s">
        <v>59</v>
      </c>
      <c r="H50" s="7" t="s">
        <v>60</v>
      </c>
      <c r="I50" s="7" t="s">
        <v>54</v>
      </c>
      <c r="J50" s="9" t="n">
        <v>0.0757992363792183</v>
      </c>
      <c r="K50" s="9" t="n">
        <v>0.0769166720121647</v>
      </c>
      <c r="L50" s="10" t="n">
        <f aca="false">K50-J50</f>
        <v>0.00111743563294638</v>
      </c>
      <c r="M50" s="10" t="n">
        <f aca="false">IF(I50="higher",L50,-L50)</f>
        <v>-0.00111743563294638</v>
      </c>
    </row>
    <row r="51" customFormat="false" ht="15" hidden="false" customHeight="false" outlineLevel="0" collapsed="false">
      <c r="A51" s="7" t="s">
        <v>82</v>
      </c>
      <c r="B51" s="7" t="s">
        <v>83</v>
      </c>
      <c r="C51" s="7" t="s">
        <v>49</v>
      </c>
      <c r="D51" s="7" t="s">
        <v>84</v>
      </c>
      <c r="E51" s="7" t="s">
        <v>51</v>
      </c>
      <c r="F51" s="8" t="b">
        <f aca="false">TRUE()</f>
        <v>1</v>
      </c>
      <c r="G51" s="7" t="s">
        <v>61</v>
      </c>
      <c r="H51" s="7" t="s">
        <v>62</v>
      </c>
      <c r="I51" s="7" t="s">
        <v>54</v>
      </c>
      <c r="J51" s="9" t="n">
        <v>14.1989149014663</v>
      </c>
      <c r="K51" s="9" t="n">
        <v>19.2285644453251</v>
      </c>
      <c r="L51" s="10" t="n">
        <f aca="false">K51-J51</f>
        <v>5.02964954385883</v>
      </c>
      <c r="M51" s="10" t="n">
        <f aca="false">IF(I51="higher",L51,-L51)</f>
        <v>-5.02964954385883</v>
      </c>
    </row>
    <row r="52" customFormat="false" ht="15" hidden="false" customHeight="false" outlineLevel="0" collapsed="false">
      <c r="A52" s="7" t="s">
        <v>82</v>
      </c>
      <c r="B52" s="7" t="s">
        <v>83</v>
      </c>
      <c r="C52" s="7" t="s">
        <v>49</v>
      </c>
      <c r="D52" s="7" t="s">
        <v>84</v>
      </c>
      <c r="E52" s="7" t="s">
        <v>51</v>
      </c>
      <c r="F52" s="8" t="b">
        <f aca="false">TRUE()</f>
        <v>1</v>
      </c>
      <c r="G52" s="7" t="s">
        <v>63</v>
      </c>
      <c r="H52" s="7" t="s">
        <v>64</v>
      </c>
      <c r="I52" s="7" t="s">
        <v>54</v>
      </c>
      <c r="J52" s="9" t="n">
        <v>6.79801278129693</v>
      </c>
      <c r="K52" s="9" t="n">
        <v>7.52931332440241</v>
      </c>
      <c r="L52" s="10" t="n">
        <f aca="false">K52-J52</f>
        <v>0.731300543105479</v>
      </c>
      <c r="M52" s="10" t="n">
        <f aca="false">IF(I52="higher",L52,-L52)</f>
        <v>-0.731300543105479</v>
      </c>
    </row>
    <row r="53" customFormat="false" ht="15" hidden="false" customHeight="false" outlineLevel="0" collapsed="false">
      <c r="A53" s="7" t="s">
        <v>82</v>
      </c>
      <c r="B53" s="7" t="s">
        <v>83</v>
      </c>
      <c r="C53" s="7" t="s">
        <v>49</v>
      </c>
      <c r="D53" s="7" t="s">
        <v>84</v>
      </c>
      <c r="E53" s="7" t="s">
        <v>51</v>
      </c>
      <c r="F53" s="8" t="b">
        <f aca="false">TRUE()</f>
        <v>1</v>
      </c>
      <c r="G53" s="7" t="s">
        <v>65</v>
      </c>
      <c r="H53" s="7" t="s">
        <v>66</v>
      </c>
      <c r="I53" s="7" t="s">
        <v>54</v>
      </c>
      <c r="J53" s="9" t="n">
        <v>13.7381779755928</v>
      </c>
      <c r="K53" s="9" t="n">
        <v>17.3535515394764</v>
      </c>
      <c r="L53" s="10" t="n">
        <f aca="false">K53-J53</f>
        <v>3.61537356388358</v>
      </c>
      <c r="M53" s="10" t="n">
        <f aca="false">IF(I53="higher",L53,-L53)</f>
        <v>-3.61537356388358</v>
      </c>
    </row>
    <row r="54" customFormat="false" ht="15" hidden="false" customHeight="false" outlineLevel="0" collapsed="false">
      <c r="A54" s="7" t="s">
        <v>82</v>
      </c>
      <c r="B54" s="7" t="s">
        <v>83</v>
      </c>
      <c r="C54" s="7" t="s">
        <v>49</v>
      </c>
      <c r="D54" s="7" t="s">
        <v>84</v>
      </c>
      <c r="E54" s="7" t="s">
        <v>51</v>
      </c>
      <c r="F54" s="8" t="b">
        <f aca="false">TRUE()</f>
        <v>1</v>
      </c>
      <c r="G54" s="7" t="s">
        <v>67</v>
      </c>
      <c r="H54" s="7" t="s">
        <v>68</v>
      </c>
      <c r="I54" s="7" t="s">
        <v>54</v>
      </c>
      <c r="J54" s="9" t="n">
        <v>14.9526316337109</v>
      </c>
      <c r="K54" s="9" t="n">
        <v>16.6758576735218</v>
      </c>
      <c r="L54" s="10" t="n">
        <f aca="false">K54-J54</f>
        <v>1.72322603981097</v>
      </c>
      <c r="M54" s="10" t="n">
        <f aca="false">IF(I54="higher",L54,-L54)</f>
        <v>-1.72322603981097</v>
      </c>
    </row>
    <row r="55" customFormat="false" ht="15" hidden="false" customHeight="false" outlineLevel="0" collapsed="false">
      <c r="A55" s="7" t="s">
        <v>82</v>
      </c>
      <c r="B55" s="7" t="s">
        <v>83</v>
      </c>
      <c r="C55" s="7" t="s">
        <v>49</v>
      </c>
      <c r="D55" s="7" t="s">
        <v>84</v>
      </c>
      <c r="E55" s="7" t="s">
        <v>51</v>
      </c>
      <c r="F55" s="8" t="b">
        <f aca="false">TRUE()</f>
        <v>1</v>
      </c>
      <c r="G55" s="7" t="s">
        <v>69</v>
      </c>
      <c r="H55" s="7" t="s">
        <v>70</v>
      </c>
      <c r="I55" s="7" t="s">
        <v>71</v>
      </c>
      <c r="J55" s="9" t="n">
        <v>0.534090909090909</v>
      </c>
      <c r="K55" s="9" t="n">
        <v>0.715909090909091</v>
      </c>
      <c r="L55" s="10" t="n">
        <f aca="false">K55-J55</f>
        <v>0.181818181818182</v>
      </c>
      <c r="M55" s="10" t="n">
        <f aca="false">IF(I55="higher",L55,-L55)</f>
        <v>0.181818181818182</v>
      </c>
    </row>
    <row r="56" customFormat="false" ht="15" hidden="false" customHeight="false" outlineLevel="0" collapsed="false">
      <c r="A56" s="7" t="s">
        <v>82</v>
      </c>
      <c r="B56" s="7" t="s">
        <v>83</v>
      </c>
      <c r="C56" s="7" t="s">
        <v>49</v>
      </c>
      <c r="D56" s="7" t="s">
        <v>84</v>
      </c>
      <c r="E56" s="7" t="s">
        <v>51</v>
      </c>
      <c r="F56" s="8" t="b">
        <f aca="false">TRUE()</f>
        <v>1</v>
      </c>
      <c r="G56" s="7" t="s">
        <v>72</v>
      </c>
      <c r="H56" s="7" t="s">
        <v>73</v>
      </c>
      <c r="I56" s="7" t="s">
        <v>71</v>
      </c>
      <c r="J56" s="9" t="n">
        <v>0.568181818181818</v>
      </c>
      <c r="K56" s="9" t="n">
        <v>0.931818181818182</v>
      </c>
      <c r="L56" s="10" t="n">
        <f aca="false">K56-J56</f>
        <v>0.363636363636364</v>
      </c>
      <c r="M56" s="10" t="n">
        <f aca="false">IF(I56="higher",L56,-L56)</f>
        <v>0.363636363636364</v>
      </c>
    </row>
    <row r="57" customFormat="false" ht="15" hidden="false" customHeight="false" outlineLevel="0" collapsed="false">
      <c r="A57" s="7" t="s">
        <v>82</v>
      </c>
      <c r="B57" s="7" t="s">
        <v>83</v>
      </c>
      <c r="C57" s="7" t="s">
        <v>49</v>
      </c>
      <c r="D57" s="7" t="s">
        <v>84</v>
      </c>
      <c r="E57" s="7" t="s">
        <v>51</v>
      </c>
      <c r="F57" s="8" t="b">
        <f aca="false">TRUE()</f>
        <v>1</v>
      </c>
      <c r="G57" s="7" t="s">
        <v>74</v>
      </c>
      <c r="H57" s="7" t="s">
        <v>75</v>
      </c>
      <c r="I57" s="7" t="s">
        <v>54</v>
      </c>
      <c r="J57" s="9" t="n">
        <v>0.428571428571429</v>
      </c>
      <c r="K57" s="9" t="n">
        <v>0</v>
      </c>
      <c r="L57" s="10" t="n">
        <f aca="false">K57-J57</f>
        <v>-0.428571428571429</v>
      </c>
      <c r="M57" s="10" t="n">
        <f aca="false">IF(I57="higher",L57,-L57)</f>
        <v>0.428571428571429</v>
      </c>
    </row>
    <row r="58" customFormat="false" ht="15" hidden="false" customHeight="false" outlineLevel="0" collapsed="false">
      <c r="A58" s="7" t="s">
        <v>82</v>
      </c>
      <c r="B58" s="7" t="s">
        <v>83</v>
      </c>
      <c r="C58" s="7" t="s">
        <v>49</v>
      </c>
      <c r="D58" s="7" t="s">
        <v>84</v>
      </c>
      <c r="E58" s="7" t="s">
        <v>51</v>
      </c>
      <c r="F58" s="8" t="b">
        <f aca="false">TRUE()</f>
        <v>1</v>
      </c>
      <c r="G58" s="7" t="s">
        <v>76</v>
      </c>
      <c r="H58" s="7" t="s">
        <v>77</v>
      </c>
      <c r="I58" s="7" t="s">
        <v>54</v>
      </c>
      <c r="J58" s="9" t="n">
        <v>0.0238095238095238</v>
      </c>
      <c r="K58" s="9" t="n">
        <v>0.150793650793651</v>
      </c>
      <c r="L58" s="10" t="n">
        <f aca="false">K58-J58</f>
        <v>0.126984126984127</v>
      </c>
      <c r="M58" s="10" t="n">
        <f aca="false">IF(I58="higher",L58,-L58)</f>
        <v>-0.126984126984127</v>
      </c>
    </row>
    <row r="59" customFormat="false" ht="15" hidden="false" customHeight="false" outlineLevel="0" collapsed="false">
      <c r="A59" s="7" t="s">
        <v>82</v>
      </c>
      <c r="B59" s="7" t="s">
        <v>83</v>
      </c>
      <c r="C59" s="7" t="s">
        <v>49</v>
      </c>
      <c r="D59" s="7" t="s">
        <v>84</v>
      </c>
      <c r="E59" s="7" t="s">
        <v>51</v>
      </c>
      <c r="F59" s="8" t="b">
        <f aca="false">TRUE()</f>
        <v>1</v>
      </c>
      <c r="G59" s="7" t="s">
        <v>78</v>
      </c>
      <c r="H59" s="7" t="s">
        <v>79</v>
      </c>
      <c r="I59" s="7" t="s">
        <v>54</v>
      </c>
      <c r="J59" s="9" t="n">
        <v>0</v>
      </c>
      <c r="K59" s="9" t="n">
        <v>0</v>
      </c>
      <c r="L59" s="10" t="n">
        <f aca="false">K59-J59</f>
        <v>0</v>
      </c>
      <c r="M59" s="10" t="n">
        <f aca="false">IF(I59="higher",L59,-L59)</f>
        <v>-0</v>
      </c>
    </row>
    <row r="60" customFormat="false" ht="15" hidden="false" customHeight="false" outlineLevel="0" collapsed="false">
      <c r="A60" s="7" t="s">
        <v>82</v>
      </c>
      <c r="B60" s="7" t="s">
        <v>83</v>
      </c>
      <c r="C60" s="7" t="s">
        <v>49</v>
      </c>
      <c r="D60" s="7" t="s">
        <v>84</v>
      </c>
      <c r="E60" s="7" t="s">
        <v>51</v>
      </c>
      <c r="F60" s="8" t="b">
        <f aca="false">TRUE()</f>
        <v>1</v>
      </c>
      <c r="G60" s="7" t="s">
        <v>80</v>
      </c>
      <c r="H60" s="7" t="s">
        <v>81</v>
      </c>
      <c r="I60" s="7" t="s">
        <v>54</v>
      </c>
      <c r="J60" s="9" t="n">
        <v>0</v>
      </c>
      <c r="K60" s="9" t="n">
        <v>0</v>
      </c>
      <c r="L60" s="10" t="n">
        <f aca="false">K60-J60</f>
        <v>0</v>
      </c>
      <c r="M60" s="10" t="n">
        <f aca="false">IF(I60="higher",L60,-L60)</f>
        <v>-0</v>
      </c>
    </row>
    <row r="61" customFormat="false" ht="15" hidden="false" customHeight="false" outlineLevel="0" collapsed="false">
      <c r="A61" s="7" t="s">
        <v>48</v>
      </c>
      <c r="B61" s="7" t="s">
        <v>10</v>
      </c>
      <c r="C61" s="7" t="s">
        <v>49</v>
      </c>
      <c r="D61" s="7" t="s">
        <v>85</v>
      </c>
      <c r="E61" s="7" t="s">
        <v>51</v>
      </c>
      <c r="F61" s="8" t="b">
        <f aca="false">TRUE()</f>
        <v>1</v>
      </c>
      <c r="G61" s="7" t="s">
        <v>52</v>
      </c>
      <c r="H61" s="7" t="s">
        <v>53</v>
      </c>
      <c r="I61" s="7" t="s">
        <v>54</v>
      </c>
      <c r="J61" s="9" t="n">
        <v>7.3001273282133</v>
      </c>
      <c r="K61" s="9" t="n">
        <v>5.79353534680794</v>
      </c>
      <c r="L61" s="10" t="n">
        <f aca="false">K61-J61</f>
        <v>-1.50659198140536</v>
      </c>
      <c r="M61" s="10" t="n">
        <f aca="false">IF(I61="higher",L61,-L61)</f>
        <v>1.50659198140536</v>
      </c>
    </row>
    <row r="62" customFormat="false" ht="15" hidden="false" customHeight="false" outlineLevel="0" collapsed="false">
      <c r="A62" s="7" t="s">
        <v>48</v>
      </c>
      <c r="B62" s="7" t="s">
        <v>10</v>
      </c>
      <c r="C62" s="7" t="s">
        <v>49</v>
      </c>
      <c r="D62" s="7" t="s">
        <v>85</v>
      </c>
      <c r="E62" s="7" t="s">
        <v>51</v>
      </c>
      <c r="F62" s="8" t="b">
        <f aca="false">TRUE()</f>
        <v>1</v>
      </c>
      <c r="G62" s="7" t="s">
        <v>55</v>
      </c>
      <c r="H62" s="7" t="s">
        <v>56</v>
      </c>
      <c r="I62" s="7" t="s">
        <v>54</v>
      </c>
      <c r="J62" s="9" t="n">
        <v>13.8052890896506</v>
      </c>
      <c r="K62" s="9" t="n">
        <v>12.4471952480457</v>
      </c>
      <c r="L62" s="10" t="n">
        <f aca="false">K62-J62</f>
        <v>-1.3580938416049</v>
      </c>
      <c r="M62" s="10" t="n">
        <f aca="false">IF(I62="higher",L62,-L62)</f>
        <v>1.3580938416049</v>
      </c>
    </row>
    <row r="63" customFormat="false" ht="15" hidden="false" customHeight="false" outlineLevel="0" collapsed="false">
      <c r="A63" s="7" t="s">
        <v>48</v>
      </c>
      <c r="B63" s="7" t="s">
        <v>10</v>
      </c>
      <c r="C63" s="7" t="s">
        <v>49</v>
      </c>
      <c r="D63" s="7" t="s">
        <v>85</v>
      </c>
      <c r="E63" s="7" t="s">
        <v>51</v>
      </c>
      <c r="F63" s="8" t="b">
        <f aca="false">TRUE()</f>
        <v>1</v>
      </c>
      <c r="G63" s="7" t="s">
        <v>57</v>
      </c>
      <c r="H63" s="7" t="s">
        <v>58</v>
      </c>
      <c r="I63" s="7" t="s">
        <v>54</v>
      </c>
      <c r="J63" s="9" t="n">
        <v>9.82876247924443</v>
      </c>
      <c r="K63" s="9" t="n">
        <v>9.56374373068242</v>
      </c>
      <c r="L63" s="10" t="n">
        <f aca="false">K63-J63</f>
        <v>-0.265018748562017</v>
      </c>
      <c r="M63" s="10" t="n">
        <f aca="false">IF(I63="higher",L63,-L63)</f>
        <v>0.265018748562017</v>
      </c>
    </row>
    <row r="64" customFormat="false" ht="15" hidden="false" customHeight="false" outlineLevel="0" collapsed="false">
      <c r="A64" s="7" t="s">
        <v>48</v>
      </c>
      <c r="B64" s="7" t="s">
        <v>10</v>
      </c>
      <c r="C64" s="7" t="s">
        <v>49</v>
      </c>
      <c r="D64" s="7" t="s">
        <v>85</v>
      </c>
      <c r="E64" s="7" t="s">
        <v>51</v>
      </c>
      <c r="F64" s="8" t="b">
        <f aca="false">TRUE()</f>
        <v>1</v>
      </c>
      <c r="G64" s="7" t="s">
        <v>59</v>
      </c>
      <c r="H64" s="7" t="s">
        <v>60</v>
      </c>
      <c r="I64" s="7" t="s">
        <v>54</v>
      </c>
      <c r="J64" s="9" t="n">
        <v>0.0894471411230278</v>
      </c>
      <c r="K64" s="9" t="n">
        <v>0.0850061740937786</v>
      </c>
      <c r="L64" s="10" t="n">
        <f aca="false">K64-J64</f>
        <v>-0.00444096702924922</v>
      </c>
      <c r="M64" s="10" t="n">
        <f aca="false">IF(I64="higher",L64,-L64)</f>
        <v>0.00444096702924922</v>
      </c>
    </row>
    <row r="65" customFormat="false" ht="15" hidden="false" customHeight="false" outlineLevel="0" collapsed="false">
      <c r="A65" s="7" t="s">
        <v>48</v>
      </c>
      <c r="B65" s="7" t="s">
        <v>10</v>
      </c>
      <c r="C65" s="7" t="s">
        <v>49</v>
      </c>
      <c r="D65" s="7" t="s">
        <v>85</v>
      </c>
      <c r="E65" s="7" t="s">
        <v>51</v>
      </c>
      <c r="F65" s="8" t="b">
        <f aca="false">TRUE()</f>
        <v>1</v>
      </c>
      <c r="G65" s="7" t="s">
        <v>61</v>
      </c>
      <c r="H65" s="7" t="s">
        <v>62</v>
      </c>
      <c r="I65" s="7" t="s">
        <v>54</v>
      </c>
      <c r="J65" s="9" t="n">
        <v>19.9186230423335</v>
      </c>
      <c r="K65" s="9" t="n">
        <v>20.8503489556087</v>
      </c>
      <c r="L65" s="10" t="n">
        <f aca="false">K65-J65</f>
        <v>0.93172591327523</v>
      </c>
      <c r="M65" s="10" t="n">
        <f aca="false">IF(I65="higher",L65,-L65)</f>
        <v>-0.93172591327523</v>
      </c>
    </row>
    <row r="66" customFormat="false" ht="15" hidden="false" customHeight="false" outlineLevel="0" collapsed="false">
      <c r="A66" s="7" t="s">
        <v>48</v>
      </c>
      <c r="B66" s="7" t="s">
        <v>10</v>
      </c>
      <c r="C66" s="7" t="s">
        <v>49</v>
      </c>
      <c r="D66" s="7" t="s">
        <v>85</v>
      </c>
      <c r="E66" s="7" t="s">
        <v>51</v>
      </c>
      <c r="F66" s="8" t="b">
        <f aca="false">TRUE()</f>
        <v>1</v>
      </c>
      <c r="G66" s="7" t="s">
        <v>63</v>
      </c>
      <c r="H66" s="7" t="s">
        <v>64</v>
      </c>
      <c r="I66" s="7" t="s">
        <v>54</v>
      </c>
      <c r="J66" s="9" t="n">
        <v>9.05637804822797</v>
      </c>
      <c r="K66" s="9" t="n">
        <v>9.39306368135618</v>
      </c>
      <c r="L66" s="10" t="n">
        <f aca="false">K66-J66</f>
        <v>0.33668563312821</v>
      </c>
      <c r="M66" s="10" t="n">
        <f aca="false">IF(I66="higher",L66,-L66)</f>
        <v>-0.33668563312821</v>
      </c>
    </row>
    <row r="67" customFormat="false" ht="15" hidden="false" customHeight="false" outlineLevel="0" collapsed="false">
      <c r="A67" s="7" t="s">
        <v>48</v>
      </c>
      <c r="B67" s="7" t="s">
        <v>10</v>
      </c>
      <c r="C67" s="7" t="s">
        <v>49</v>
      </c>
      <c r="D67" s="7" t="s">
        <v>85</v>
      </c>
      <c r="E67" s="7" t="s">
        <v>51</v>
      </c>
      <c r="F67" s="8" t="b">
        <f aca="false">TRUE()</f>
        <v>1</v>
      </c>
      <c r="G67" s="7" t="s">
        <v>65</v>
      </c>
      <c r="H67" s="7" t="s">
        <v>66</v>
      </c>
      <c r="I67" s="7" t="s">
        <v>54</v>
      </c>
      <c r="J67" s="9" t="n">
        <v>18.5560641514647</v>
      </c>
      <c r="K67" s="9" t="n">
        <v>19.6199481971568</v>
      </c>
      <c r="L67" s="10" t="n">
        <f aca="false">K67-J67</f>
        <v>1.06388404569205</v>
      </c>
      <c r="M67" s="10" t="n">
        <f aca="false">IF(I67="higher",L67,-L67)</f>
        <v>-1.06388404569205</v>
      </c>
    </row>
    <row r="68" customFormat="false" ht="15" hidden="false" customHeight="false" outlineLevel="0" collapsed="false">
      <c r="A68" s="7" t="s">
        <v>48</v>
      </c>
      <c r="B68" s="7" t="s">
        <v>10</v>
      </c>
      <c r="C68" s="7" t="s">
        <v>49</v>
      </c>
      <c r="D68" s="7" t="s">
        <v>85</v>
      </c>
      <c r="E68" s="7" t="s">
        <v>51</v>
      </c>
      <c r="F68" s="8" t="b">
        <f aca="false">TRUE()</f>
        <v>1</v>
      </c>
      <c r="G68" s="7" t="s">
        <v>67</v>
      </c>
      <c r="H68" s="7" t="s">
        <v>68</v>
      </c>
      <c r="I68" s="7" t="s">
        <v>54</v>
      </c>
      <c r="J68" s="9" t="n">
        <v>18.9353915906597</v>
      </c>
      <c r="K68" s="9" t="n">
        <v>18.8382491487654</v>
      </c>
      <c r="L68" s="10" t="n">
        <f aca="false">K68-J68</f>
        <v>-0.0971424418942704</v>
      </c>
      <c r="M68" s="10" t="n">
        <f aca="false">IF(I68="higher",L68,-L68)</f>
        <v>0.0971424418942704</v>
      </c>
    </row>
    <row r="69" customFormat="false" ht="15" hidden="false" customHeight="false" outlineLevel="0" collapsed="false">
      <c r="A69" s="7" t="s">
        <v>48</v>
      </c>
      <c r="B69" s="7" t="s">
        <v>10</v>
      </c>
      <c r="C69" s="7" t="s">
        <v>49</v>
      </c>
      <c r="D69" s="7" t="s">
        <v>85</v>
      </c>
      <c r="E69" s="7" t="s">
        <v>51</v>
      </c>
      <c r="F69" s="8" t="b">
        <f aca="false">TRUE()</f>
        <v>1</v>
      </c>
      <c r="G69" s="7" t="s">
        <v>69</v>
      </c>
      <c r="H69" s="7" t="s">
        <v>70</v>
      </c>
      <c r="I69" s="7" t="s">
        <v>71</v>
      </c>
      <c r="J69" s="9" t="n">
        <v>0.344827586206897</v>
      </c>
      <c r="K69" s="9" t="n">
        <v>0.370689655172414</v>
      </c>
      <c r="L69" s="10" t="n">
        <f aca="false">K69-J69</f>
        <v>0.0258620689655172</v>
      </c>
      <c r="M69" s="10" t="n">
        <f aca="false">IF(I69="higher",L69,-L69)</f>
        <v>0.0258620689655172</v>
      </c>
    </row>
    <row r="70" customFormat="false" ht="15" hidden="false" customHeight="false" outlineLevel="0" collapsed="false">
      <c r="A70" s="7" t="s">
        <v>48</v>
      </c>
      <c r="B70" s="7" t="s">
        <v>10</v>
      </c>
      <c r="C70" s="7" t="s">
        <v>49</v>
      </c>
      <c r="D70" s="7" t="s">
        <v>85</v>
      </c>
      <c r="E70" s="7" t="s">
        <v>51</v>
      </c>
      <c r="F70" s="8" t="b">
        <f aca="false">TRUE()</f>
        <v>1</v>
      </c>
      <c r="G70" s="7" t="s">
        <v>72</v>
      </c>
      <c r="H70" s="7" t="s">
        <v>73</v>
      </c>
      <c r="I70" s="7" t="s">
        <v>71</v>
      </c>
      <c r="J70" s="9" t="n">
        <v>0.896551724137931</v>
      </c>
      <c r="K70" s="9" t="n">
        <v>0.844827586206896</v>
      </c>
      <c r="L70" s="10" t="n">
        <f aca="false">K70-J70</f>
        <v>-0.0517241379310345</v>
      </c>
      <c r="M70" s="10" t="n">
        <f aca="false">IF(I70="higher",L70,-L70)</f>
        <v>-0.0517241379310345</v>
      </c>
    </row>
    <row r="71" customFormat="false" ht="15" hidden="false" customHeight="false" outlineLevel="0" collapsed="false">
      <c r="A71" s="7" t="s">
        <v>48</v>
      </c>
      <c r="B71" s="7" t="s">
        <v>10</v>
      </c>
      <c r="C71" s="7" t="s">
        <v>49</v>
      </c>
      <c r="D71" s="7" t="s">
        <v>85</v>
      </c>
      <c r="E71" s="7" t="s">
        <v>51</v>
      </c>
      <c r="F71" s="8" t="b">
        <f aca="false">TRUE()</f>
        <v>1</v>
      </c>
      <c r="G71" s="7" t="s">
        <v>74</v>
      </c>
      <c r="H71" s="7" t="s">
        <v>75</v>
      </c>
      <c r="I71" s="7" t="s">
        <v>54</v>
      </c>
      <c r="J71" s="9" t="n">
        <v>0</v>
      </c>
      <c r="K71" s="9" t="n">
        <v>0.0666666666666667</v>
      </c>
      <c r="L71" s="10" t="n">
        <f aca="false">K71-J71</f>
        <v>0.0666666666666667</v>
      </c>
      <c r="M71" s="10" t="n">
        <f aca="false">IF(I71="higher",L71,-L71)</f>
        <v>-0.0666666666666667</v>
      </c>
    </row>
    <row r="72" customFormat="false" ht="15" hidden="false" customHeight="false" outlineLevel="0" collapsed="false">
      <c r="A72" s="7" t="s">
        <v>48</v>
      </c>
      <c r="B72" s="7" t="s">
        <v>10</v>
      </c>
      <c r="C72" s="7" t="s">
        <v>49</v>
      </c>
      <c r="D72" s="7" t="s">
        <v>85</v>
      </c>
      <c r="E72" s="7" t="s">
        <v>51</v>
      </c>
      <c r="F72" s="8" t="b">
        <f aca="false">TRUE()</f>
        <v>1</v>
      </c>
      <c r="G72" s="7" t="s">
        <v>76</v>
      </c>
      <c r="H72" s="7" t="s">
        <v>77</v>
      </c>
      <c r="I72" s="7" t="s">
        <v>54</v>
      </c>
      <c r="J72" s="9" t="n">
        <v>0.469387755102041</v>
      </c>
      <c r="K72" s="9" t="n">
        <v>0.394557823129252</v>
      </c>
      <c r="L72" s="10" t="n">
        <f aca="false">K72-J72</f>
        <v>-0.0748299319727891</v>
      </c>
      <c r="M72" s="10" t="n">
        <f aca="false">IF(I72="higher",L72,-L72)</f>
        <v>0.0748299319727891</v>
      </c>
    </row>
    <row r="73" customFormat="false" ht="15" hidden="false" customHeight="false" outlineLevel="0" collapsed="false">
      <c r="A73" s="7" t="s">
        <v>48</v>
      </c>
      <c r="B73" s="7" t="s">
        <v>10</v>
      </c>
      <c r="C73" s="7" t="s">
        <v>49</v>
      </c>
      <c r="D73" s="7" t="s">
        <v>85</v>
      </c>
      <c r="E73" s="7" t="s">
        <v>51</v>
      </c>
      <c r="F73" s="8" t="b">
        <f aca="false">TRUE()</f>
        <v>1</v>
      </c>
      <c r="G73" s="7" t="s">
        <v>78</v>
      </c>
      <c r="H73" s="7" t="s">
        <v>79</v>
      </c>
      <c r="I73" s="7" t="s">
        <v>54</v>
      </c>
      <c r="J73" s="9" t="n">
        <v>0</v>
      </c>
      <c r="K73" s="9" t="n">
        <v>0</v>
      </c>
      <c r="L73" s="10" t="n">
        <f aca="false">K73-J73</f>
        <v>0</v>
      </c>
      <c r="M73" s="10" t="n">
        <f aca="false">IF(I73="higher",L73,-L73)</f>
        <v>-0</v>
      </c>
    </row>
    <row r="74" customFormat="false" ht="15" hidden="false" customHeight="false" outlineLevel="0" collapsed="false">
      <c r="A74" s="7" t="s">
        <v>48</v>
      </c>
      <c r="B74" s="7" t="s">
        <v>10</v>
      </c>
      <c r="C74" s="7" t="s">
        <v>49</v>
      </c>
      <c r="D74" s="7" t="s">
        <v>85</v>
      </c>
      <c r="E74" s="7" t="s">
        <v>51</v>
      </c>
      <c r="F74" s="8" t="b">
        <f aca="false">TRUE()</f>
        <v>1</v>
      </c>
      <c r="G74" s="7" t="s">
        <v>80</v>
      </c>
      <c r="H74" s="7" t="s">
        <v>81</v>
      </c>
      <c r="I74" s="7" t="s">
        <v>54</v>
      </c>
      <c r="J74" s="9" t="n">
        <v>0</v>
      </c>
      <c r="K74" s="9" t="n">
        <v>0</v>
      </c>
      <c r="L74" s="10" t="n">
        <f aca="false">K74-J74</f>
        <v>0</v>
      </c>
      <c r="M74" s="10" t="n">
        <f aca="false">IF(I74="higher",L74,-L74)</f>
        <v>-0</v>
      </c>
    </row>
    <row r="75" customFormat="false" ht="15" hidden="false" customHeight="false" outlineLevel="0" collapsed="false">
      <c r="A75" s="7" t="s">
        <v>82</v>
      </c>
      <c r="B75" s="7" t="s">
        <v>83</v>
      </c>
      <c r="C75" s="7" t="s">
        <v>49</v>
      </c>
      <c r="D75" s="7" t="s">
        <v>85</v>
      </c>
      <c r="E75" s="7" t="s">
        <v>51</v>
      </c>
      <c r="F75" s="8" t="b">
        <f aca="false">TRUE()</f>
        <v>1</v>
      </c>
      <c r="G75" s="7" t="s">
        <v>52</v>
      </c>
      <c r="H75" s="7" t="s">
        <v>53</v>
      </c>
      <c r="I75" s="7" t="s">
        <v>54</v>
      </c>
      <c r="J75" s="9" t="n">
        <v>5.39476106905146</v>
      </c>
      <c r="K75" s="9" t="n">
        <v>5.79353534680794</v>
      </c>
      <c r="L75" s="10" t="n">
        <f aca="false">K75-J75</f>
        <v>0.39877427775648</v>
      </c>
      <c r="M75" s="10" t="n">
        <f aca="false">IF(I75="higher",L75,-L75)</f>
        <v>-0.39877427775648</v>
      </c>
    </row>
    <row r="76" customFormat="false" ht="15" hidden="false" customHeight="false" outlineLevel="0" collapsed="false">
      <c r="A76" s="7" t="s">
        <v>82</v>
      </c>
      <c r="B76" s="7" t="s">
        <v>83</v>
      </c>
      <c r="C76" s="7" t="s">
        <v>49</v>
      </c>
      <c r="D76" s="7" t="s">
        <v>85</v>
      </c>
      <c r="E76" s="7" t="s">
        <v>51</v>
      </c>
      <c r="F76" s="8" t="b">
        <f aca="false">TRUE()</f>
        <v>1</v>
      </c>
      <c r="G76" s="7" t="s">
        <v>55</v>
      </c>
      <c r="H76" s="7" t="s">
        <v>56</v>
      </c>
      <c r="I76" s="7" t="s">
        <v>54</v>
      </c>
      <c r="J76" s="9" t="n">
        <v>11.5126181104171</v>
      </c>
      <c r="K76" s="9" t="n">
        <v>12.4471952480457</v>
      </c>
      <c r="L76" s="10" t="n">
        <f aca="false">K76-J76</f>
        <v>0.934577137628649</v>
      </c>
      <c r="M76" s="10" t="n">
        <f aca="false">IF(I76="higher",L76,-L76)</f>
        <v>-0.934577137628649</v>
      </c>
    </row>
    <row r="77" customFormat="false" ht="15" hidden="false" customHeight="false" outlineLevel="0" collapsed="false">
      <c r="A77" s="7" t="s">
        <v>82</v>
      </c>
      <c r="B77" s="7" t="s">
        <v>83</v>
      </c>
      <c r="C77" s="7" t="s">
        <v>49</v>
      </c>
      <c r="D77" s="7" t="s">
        <v>85</v>
      </c>
      <c r="E77" s="7" t="s">
        <v>51</v>
      </c>
      <c r="F77" s="8" t="b">
        <f aca="false">TRUE()</f>
        <v>1</v>
      </c>
      <c r="G77" s="7" t="s">
        <v>57</v>
      </c>
      <c r="H77" s="7" t="s">
        <v>58</v>
      </c>
      <c r="I77" s="7" t="s">
        <v>54</v>
      </c>
      <c r="J77" s="9" t="n">
        <v>9.67799654569369</v>
      </c>
      <c r="K77" s="9" t="n">
        <v>9.56374373068242</v>
      </c>
      <c r="L77" s="10" t="n">
        <f aca="false">K77-J77</f>
        <v>-0.11425281501127</v>
      </c>
      <c r="M77" s="10" t="n">
        <f aca="false">IF(I77="higher",L77,-L77)</f>
        <v>0.11425281501127</v>
      </c>
    </row>
    <row r="78" customFormat="false" ht="15" hidden="false" customHeight="false" outlineLevel="0" collapsed="false">
      <c r="A78" s="7" t="s">
        <v>82</v>
      </c>
      <c r="B78" s="7" t="s">
        <v>83</v>
      </c>
      <c r="C78" s="7" t="s">
        <v>49</v>
      </c>
      <c r="D78" s="7" t="s">
        <v>85</v>
      </c>
      <c r="E78" s="7" t="s">
        <v>51</v>
      </c>
      <c r="F78" s="8" t="b">
        <f aca="false">TRUE()</f>
        <v>1</v>
      </c>
      <c r="G78" s="7" t="s">
        <v>59</v>
      </c>
      <c r="H78" s="7" t="s">
        <v>60</v>
      </c>
      <c r="I78" s="7" t="s">
        <v>54</v>
      </c>
      <c r="J78" s="9" t="n">
        <v>0.0714709832080573</v>
      </c>
      <c r="K78" s="9" t="n">
        <v>0.0850061740937786</v>
      </c>
      <c r="L78" s="10" t="n">
        <f aca="false">K78-J78</f>
        <v>0.0135351908857213</v>
      </c>
      <c r="M78" s="10" t="n">
        <f aca="false">IF(I78="higher",L78,-L78)</f>
        <v>-0.0135351908857213</v>
      </c>
    </row>
    <row r="79" customFormat="false" ht="15" hidden="false" customHeight="false" outlineLevel="0" collapsed="false">
      <c r="A79" s="7" t="s">
        <v>82</v>
      </c>
      <c r="B79" s="7" t="s">
        <v>83</v>
      </c>
      <c r="C79" s="7" t="s">
        <v>49</v>
      </c>
      <c r="D79" s="7" t="s">
        <v>85</v>
      </c>
      <c r="E79" s="7" t="s">
        <v>51</v>
      </c>
      <c r="F79" s="8" t="b">
        <f aca="false">TRUE()</f>
        <v>1</v>
      </c>
      <c r="G79" s="7" t="s">
        <v>61</v>
      </c>
      <c r="H79" s="7" t="s">
        <v>62</v>
      </c>
      <c r="I79" s="7" t="s">
        <v>54</v>
      </c>
      <c r="J79" s="9" t="n">
        <v>19.8545064506839</v>
      </c>
      <c r="K79" s="9" t="n">
        <v>20.8503489556087</v>
      </c>
      <c r="L79" s="10" t="n">
        <f aca="false">K79-J79</f>
        <v>0.995842504924802</v>
      </c>
      <c r="M79" s="10" t="n">
        <f aca="false">IF(I79="higher",L79,-L79)</f>
        <v>-0.995842504924802</v>
      </c>
    </row>
    <row r="80" customFormat="false" ht="15" hidden="false" customHeight="false" outlineLevel="0" collapsed="false">
      <c r="A80" s="7" t="s">
        <v>82</v>
      </c>
      <c r="B80" s="7" t="s">
        <v>83</v>
      </c>
      <c r="C80" s="7" t="s">
        <v>49</v>
      </c>
      <c r="D80" s="7" t="s">
        <v>85</v>
      </c>
      <c r="E80" s="7" t="s">
        <v>51</v>
      </c>
      <c r="F80" s="8" t="b">
        <f aca="false">TRUE()</f>
        <v>1</v>
      </c>
      <c r="G80" s="7" t="s">
        <v>63</v>
      </c>
      <c r="H80" s="7" t="s">
        <v>64</v>
      </c>
      <c r="I80" s="7" t="s">
        <v>54</v>
      </c>
      <c r="J80" s="9" t="n">
        <v>8.9610725172915</v>
      </c>
      <c r="K80" s="9" t="n">
        <v>9.39306368135618</v>
      </c>
      <c r="L80" s="10" t="n">
        <f aca="false">K80-J80</f>
        <v>0.431991164064682</v>
      </c>
      <c r="M80" s="10" t="n">
        <f aca="false">IF(I80="higher",L80,-L80)</f>
        <v>-0.431991164064682</v>
      </c>
    </row>
    <row r="81" customFormat="false" ht="15" hidden="false" customHeight="false" outlineLevel="0" collapsed="false">
      <c r="A81" s="7" t="s">
        <v>82</v>
      </c>
      <c r="B81" s="7" t="s">
        <v>83</v>
      </c>
      <c r="C81" s="7" t="s">
        <v>49</v>
      </c>
      <c r="D81" s="7" t="s">
        <v>85</v>
      </c>
      <c r="E81" s="7" t="s">
        <v>51</v>
      </c>
      <c r="F81" s="8" t="b">
        <f aca="false">TRUE()</f>
        <v>1</v>
      </c>
      <c r="G81" s="7" t="s">
        <v>65</v>
      </c>
      <c r="H81" s="7" t="s">
        <v>66</v>
      </c>
      <c r="I81" s="7" t="s">
        <v>54</v>
      </c>
      <c r="J81" s="9" t="n">
        <v>17.2873325261618</v>
      </c>
      <c r="K81" s="9" t="n">
        <v>19.6199481971568</v>
      </c>
      <c r="L81" s="10" t="n">
        <f aca="false">K81-J81</f>
        <v>2.33261567099498</v>
      </c>
      <c r="M81" s="10" t="n">
        <f aca="false">IF(I81="higher",L81,-L81)</f>
        <v>-2.33261567099498</v>
      </c>
    </row>
    <row r="82" customFormat="false" ht="15" hidden="false" customHeight="false" outlineLevel="0" collapsed="false">
      <c r="A82" s="7" t="s">
        <v>82</v>
      </c>
      <c r="B82" s="7" t="s">
        <v>83</v>
      </c>
      <c r="C82" s="7" t="s">
        <v>49</v>
      </c>
      <c r="D82" s="7" t="s">
        <v>85</v>
      </c>
      <c r="E82" s="7" t="s">
        <v>51</v>
      </c>
      <c r="F82" s="8" t="b">
        <f aca="false">TRUE()</f>
        <v>1</v>
      </c>
      <c r="G82" s="7" t="s">
        <v>67</v>
      </c>
      <c r="H82" s="7" t="s">
        <v>68</v>
      </c>
      <c r="I82" s="7" t="s">
        <v>54</v>
      </c>
      <c r="J82" s="9" t="n">
        <v>19.2024614452594</v>
      </c>
      <c r="K82" s="9" t="n">
        <v>18.8382491487654</v>
      </c>
      <c r="L82" s="10" t="n">
        <f aca="false">K82-J82</f>
        <v>-0.364212296494042</v>
      </c>
      <c r="M82" s="10" t="n">
        <f aca="false">IF(I82="higher",L82,-L82)</f>
        <v>0.364212296494042</v>
      </c>
    </row>
    <row r="83" customFormat="false" ht="15" hidden="false" customHeight="false" outlineLevel="0" collapsed="false">
      <c r="A83" s="7" t="s">
        <v>82</v>
      </c>
      <c r="B83" s="7" t="s">
        <v>83</v>
      </c>
      <c r="C83" s="7" t="s">
        <v>49</v>
      </c>
      <c r="D83" s="7" t="s">
        <v>85</v>
      </c>
      <c r="E83" s="7" t="s">
        <v>51</v>
      </c>
      <c r="F83" s="8" t="b">
        <f aca="false">TRUE()</f>
        <v>1</v>
      </c>
      <c r="G83" s="7" t="s">
        <v>69</v>
      </c>
      <c r="H83" s="7" t="s">
        <v>70</v>
      </c>
      <c r="I83" s="7" t="s">
        <v>71</v>
      </c>
      <c r="J83" s="9" t="n">
        <v>0.482758620689655</v>
      </c>
      <c r="K83" s="9" t="n">
        <v>0.370689655172414</v>
      </c>
      <c r="L83" s="10" t="n">
        <f aca="false">K83-J83</f>
        <v>-0.112068965517241</v>
      </c>
      <c r="M83" s="10" t="n">
        <f aca="false">IF(I83="higher",L83,-L83)</f>
        <v>-0.112068965517241</v>
      </c>
    </row>
    <row r="84" customFormat="false" ht="15" hidden="false" customHeight="false" outlineLevel="0" collapsed="false">
      <c r="A84" s="7" t="s">
        <v>82</v>
      </c>
      <c r="B84" s="7" t="s">
        <v>83</v>
      </c>
      <c r="C84" s="7" t="s">
        <v>49</v>
      </c>
      <c r="D84" s="7" t="s">
        <v>85</v>
      </c>
      <c r="E84" s="7" t="s">
        <v>51</v>
      </c>
      <c r="F84" s="8" t="b">
        <f aca="false">TRUE()</f>
        <v>1</v>
      </c>
      <c r="G84" s="7" t="s">
        <v>72</v>
      </c>
      <c r="H84" s="7" t="s">
        <v>73</v>
      </c>
      <c r="I84" s="7" t="s">
        <v>71</v>
      </c>
      <c r="J84" s="9" t="n">
        <v>0.71551724137931</v>
      </c>
      <c r="K84" s="9" t="n">
        <v>0.844827586206896</v>
      </c>
      <c r="L84" s="10" t="n">
        <f aca="false">K84-J84</f>
        <v>0.129310344827586</v>
      </c>
      <c r="M84" s="10" t="n">
        <f aca="false">IF(I84="higher",L84,-L84)</f>
        <v>0.129310344827586</v>
      </c>
    </row>
    <row r="85" customFormat="false" ht="15" hidden="false" customHeight="false" outlineLevel="0" collapsed="false">
      <c r="A85" s="7" t="s">
        <v>82</v>
      </c>
      <c r="B85" s="7" t="s">
        <v>83</v>
      </c>
      <c r="C85" s="7" t="s">
        <v>49</v>
      </c>
      <c r="D85" s="7" t="s">
        <v>85</v>
      </c>
      <c r="E85" s="7" t="s">
        <v>51</v>
      </c>
      <c r="F85" s="8" t="b">
        <f aca="false">TRUE()</f>
        <v>1</v>
      </c>
      <c r="G85" s="7" t="s">
        <v>74</v>
      </c>
      <c r="H85" s="7" t="s">
        <v>75</v>
      </c>
      <c r="I85" s="7" t="s">
        <v>54</v>
      </c>
      <c r="J85" s="9" t="n">
        <v>0</v>
      </c>
      <c r="K85" s="9" t="n">
        <v>0.0666666666666667</v>
      </c>
      <c r="L85" s="10" t="n">
        <f aca="false">K85-J85</f>
        <v>0.0666666666666667</v>
      </c>
      <c r="M85" s="10" t="n">
        <f aca="false">IF(I85="higher",L85,-L85)</f>
        <v>-0.0666666666666667</v>
      </c>
    </row>
    <row r="86" customFormat="false" ht="15" hidden="false" customHeight="false" outlineLevel="0" collapsed="false">
      <c r="A86" s="7" t="s">
        <v>82</v>
      </c>
      <c r="B86" s="7" t="s">
        <v>83</v>
      </c>
      <c r="C86" s="7" t="s">
        <v>49</v>
      </c>
      <c r="D86" s="7" t="s">
        <v>85</v>
      </c>
      <c r="E86" s="7" t="s">
        <v>51</v>
      </c>
      <c r="F86" s="8" t="b">
        <f aca="false">TRUE()</f>
        <v>1</v>
      </c>
      <c r="G86" s="7" t="s">
        <v>76</v>
      </c>
      <c r="H86" s="7" t="s">
        <v>77</v>
      </c>
      <c r="I86" s="7" t="s">
        <v>54</v>
      </c>
      <c r="J86" s="9" t="n">
        <v>0.204081632653061</v>
      </c>
      <c r="K86" s="9" t="n">
        <v>0.394557823129252</v>
      </c>
      <c r="L86" s="10" t="n">
        <f aca="false">K86-J86</f>
        <v>0.190476190476191</v>
      </c>
      <c r="M86" s="10" t="n">
        <f aca="false">IF(I86="higher",L86,-L86)</f>
        <v>-0.190476190476191</v>
      </c>
    </row>
    <row r="87" customFormat="false" ht="15" hidden="false" customHeight="false" outlineLevel="0" collapsed="false">
      <c r="A87" s="7" t="s">
        <v>82</v>
      </c>
      <c r="B87" s="7" t="s">
        <v>83</v>
      </c>
      <c r="C87" s="7" t="s">
        <v>49</v>
      </c>
      <c r="D87" s="7" t="s">
        <v>85</v>
      </c>
      <c r="E87" s="7" t="s">
        <v>51</v>
      </c>
      <c r="F87" s="8" t="b">
        <f aca="false">TRUE()</f>
        <v>1</v>
      </c>
      <c r="G87" s="7" t="s">
        <v>78</v>
      </c>
      <c r="H87" s="7" t="s">
        <v>79</v>
      </c>
      <c r="I87" s="7" t="s">
        <v>54</v>
      </c>
      <c r="J87" s="9" t="n">
        <v>0</v>
      </c>
      <c r="K87" s="9" t="n">
        <v>0</v>
      </c>
      <c r="L87" s="10" t="n">
        <f aca="false">K87-J87</f>
        <v>0</v>
      </c>
      <c r="M87" s="10" t="n">
        <f aca="false">IF(I87="higher",L87,-L87)</f>
        <v>-0</v>
      </c>
    </row>
    <row r="88" customFormat="false" ht="15" hidden="false" customHeight="false" outlineLevel="0" collapsed="false">
      <c r="A88" s="7" t="s">
        <v>82</v>
      </c>
      <c r="B88" s="7" t="s">
        <v>83</v>
      </c>
      <c r="C88" s="7" t="s">
        <v>49</v>
      </c>
      <c r="D88" s="7" t="s">
        <v>85</v>
      </c>
      <c r="E88" s="7" t="s">
        <v>51</v>
      </c>
      <c r="F88" s="8" t="b">
        <f aca="false">TRUE()</f>
        <v>1</v>
      </c>
      <c r="G88" s="7" t="s">
        <v>80</v>
      </c>
      <c r="H88" s="7" t="s">
        <v>81</v>
      </c>
      <c r="I88" s="7" t="s">
        <v>54</v>
      </c>
      <c r="J88" s="9" t="n">
        <v>0</v>
      </c>
      <c r="K88" s="9" t="n">
        <v>0</v>
      </c>
      <c r="L88" s="10" t="n">
        <f aca="false">K88-J88</f>
        <v>0</v>
      </c>
      <c r="M88" s="10" t="n">
        <f aca="false">IF(I88="higher",L88,-L88)</f>
        <v>-0</v>
      </c>
    </row>
    <row r="89" customFormat="false" ht="15" hidden="false" customHeight="false" outlineLevel="0" collapsed="false">
      <c r="A89" s="7" t="s">
        <v>48</v>
      </c>
      <c r="B89" s="7" t="s">
        <v>10</v>
      </c>
      <c r="C89" s="7" t="s">
        <v>49</v>
      </c>
      <c r="D89" s="7" t="s">
        <v>86</v>
      </c>
      <c r="E89" s="7" t="s">
        <v>51</v>
      </c>
      <c r="F89" s="8" t="b">
        <f aca="false">TRUE()</f>
        <v>1</v>
      </c>
      <c r="G89" s="7" t="s">
        <v>52</v>
      </c>
      <c r="H89" s="7" t="s">
        <v>53</v>
      </c>
      <c r="I89" s="7" t="s">
        <v>54</v>
      </c>
      <c r="J89" s="9" t="n">
        <v>4.86832225307164</v>
      </c>
      <c r="K89" s="9" t="n">
        <v>2.84908771401716</v>
      </c>
      <c r="L89" s="10" t="n">
        <f aca="false">K89-J89</f>
        <v>-2.01923453905448</v>
      </c>
      <c r="M89" s="10" t="n">
        <f aca="false">IF(I89="higher",L89,-L89)</f>
        <v>2.01923453905448</v>
      </c>
    </row>
    <row r="90" customFormat="false" ht="15" hidden="false" customHeight="false" outlineLevel="0" collapsed="false">
      <c r="A90" s="7" t="s">
        <v>48</v>
      </c>
      <c r="B90" s="7" t="s">
        <v>10</v>
      </c>
      <c r="C90" s="7" t="s">
        <v>49</v>
      </c>
      <c r="D90" s="7" t="s">
        <v>86</v>
      </c>
      <c r="E90" s="7" t="s">
        <v>51</v>
      </c>
      <c r="F90" s="8" t="b">
        <f aca="false">TRUE()</f>
        <v>1</v>
      </c>
      <c r="G90" s="7" t="s">
        <v>55</v>
      </c>
      <c r="H90" s="7" t="s">
        <v>56</v>
      </c>
      <c r="I90" s="7" t="s">
        <v>54</v>
      </c>
      <c r="J90" s="9" t="n">
        <v>10.4502258293931</v>
      </c>
      <c r="K90" s="9" t="n">
        <v>10.2051472058464</v>
      </c>
      <c r="L90" s="10" t="n">
        <f aca="false">K90-J90</f>
        <v>-0.245078623546689</v>
      </c>
      <c r="M90" s="10" t="n">
        <f aca="false">IF(I90="higher",L90,-L90)</f>
        <v>0.245078623546689</v>
      </c>
    </row>
    <row r="91" customFormat="false" ht="15" hidden="false" customHeight="false" outlineLevel="0" collapsed="false">
      <c r="A91" s="7" t="s">
        <v>48</v>
      </c>
      <c r="B91" s="7" t="s">
        <v>10</v>
      </c>
      <c r="C91" s="7" t="s">
        <v>49</v>
      </c>
      <c r="D91" s="7" t="s">
        <v>86</v>
      </c>
      <c r="E91" s="7" t="s">
        <v>51</v>
      </c>
      <c r="F91" s="8" t="b">
        <f aca="false">TRUE()</f>
        <v>1</v>
      </c>
      <c r="G91" s="7" t="s">
        <v>57</v>
      </c>
      <c r="H91" s="7" t="s">
        <v>58</v>
      </c>
      <c r="I91" s="7" t="s">
        <v>54</v>
      </c>
      <c r="J91" s="9" t="n">
        <v>6.69239077309183</v>
      </c>
      <c r="K91" s="9" t="n">
        <v>4.50192889073157</v>
      </c>
      <c r="L91" s="10" t="n">
        <f aca="false">K91-J91</f>
        <v>-2.19046188236025</v>
      </c>
      <c r="M91" s="10" t="n">
        <f aca="false">IF(I91="higher",L91,-L91)</f>
        <v>2.19046188236025</v>
      </c>
    </row>
    <row r="92" customFormat="false" ht="15" hidden="false" customHeight="false" outlineLevel="0" collapsed="false">
      <c r="A92" s="7" t="s">
        <v>48</v>
      </c>
      <c r="B92" s="7" t="s">
        <v>10</v>
      </c>
      <c r="C92" s="7" t="s">
        <v>49</v>
      </c>
      <c r="D92" s="7" t="s">
        <v>86</v>
      </c>
      <c r="E92" s="7" t="s">
        <v>51</v>
      </c>
      <c r="F92" s="8" t="b">
        <f aca="false">TRUE()</f>
        <v>1</v>
      </c>
      <c r="G92" s="7" t="s">
        <v>59</v>
      </c>
      <c r="H92" s="7" t="s">
        <v>60</v>
      </c>
      <c r="I92" s="7" t="s">
        <v>54</v>
      </c>
      <c r="J92" s="9" t="n">
        <v>0.0896090289124859</v>
      </c>
      <c r="K92" s="9" t="n">
        <v>0.0663327311680867</v>
      </c>
      <c r="L92" s="10" t="n">
        <f aca="false">K92-J92</f>
        <v>-0.0232762977443992</v>
      </c>
      <c r="M92" s="10" t="n">
        <f aca="false">IF(I92="higher",L92,-L92)</f>
        <v>0.0232762977443992</v>
      </c>
    </row>
    <row r="93" customFormat="false" ht="15" hidden="false" customHeight="false" outlineLevel="0" collapsed="false">
      <c r="A93" s="7" t="s">
        <v>48</v>
      </c>
      <c r="B93" s="7" t="s">
        <v>10</v>
      </c>
      <c r="C93" s="7" t="s">
        <v>49</v>
      </c>
      <c r="D93" s="7" t="s">
        <v>86</v>
      </c>
      <c r="E93" s="7" t="s">
        <v>51</v>
      </c>
      <c r="F93" s="8" t="b">
        <f aca="false">TRUE()</f>
        <v>1</v>
      </c>
      <c r="G93" s="7" t="s">
        <v>61</v>
      </c>
      <c r="H93" s="7" t="s">
        <v>62</v>
      </c>
      <c r="I93" s="7" t="s">
        <v>54</v>
      </c>
      <c r="J93" s="9" t="n">
        <v>11.6432866470978</v>
      </c>
      <c r="K93" s="9" t="n">
        <v>14.0301509135268</v>
      </c>
      <c r="L93" s="10" t="n">
        <f aca="false">K93-J93</f>
        <v>2.386864266429</v>
      </c>
      <c r="M93" s="10" t="n">
        <f aca="false">IF(I93="higher",L93,-L93)</f>
        <v>-2.386864266429</v>
      </c>
    </row>
    <row r="94" customFormat="false" ht="15" hidden="false" customHeight="false" outlineLevel="0" collapsed="false">
      <c r="A94" s="7" t="s">
        <v>48</v>
      </c>
      <c r="B94" s="7" t="s">
        <v>10</v>
      </c>
      <c r="C94" s="7" t="s">
        <v>49</v>
      </c>
      <c r="D94" s="7" t="s">
        <v>86</v>
      </c>
      <c r="E94" s="7" t="s">
        <v>51</v>
      </c>
      <c r="F94" s="8" t="b">
        <f aca="false">TRUE()</f>
        <v>1</v>
      </c>
      <c r="G94" s="7" t="s">
        <v>63</v>
      </c>
      <c r="H94" s="7" t="s">
        <v>64</v>
      </c>
      <c r="I94" s="7" t="s">
        <v>54</v>
      </c>
      <c r="J94" s="9" t="n">
        <v>7.60811540432581</v>
      </c>
      <c r="K94" s="9" t="n">
        <v>6.45332897211201</v>
      </c>
      <c r="L94" s="10" t="n">
        <f aca="false">K94-J94</f>
        <v>-1.1547864322138</v>
      </c>
      <c r="M94" s="10" t="n">
        <f aca="false">IF(I94="higher",L94,-L94)</f>
        <v>1.1547864322138</v>
      </c>
    </row>
    <row r="95" customFormat="false" ht="15" hidden="false" customHeight="false" outlineLevel="0" collapsed="false">
      <c r="A95" s="7" t="s">
        <v>48</v>
      </c>
      <c r="B95" s="7" t="s">
        <v>10</v>
      </c>
      <c r="C95" s="7" t="s">
        <v>49</v>
      </c>
      <c r="D95" s="7" t="s">
        <v>86</v>
      </c>
      <c r="E95" s="7" t="s">
        <v>51</v>
      </c>
      <c r="F95" s="8" t="b">
        <f aca="false">TRUE()</f>
        <v>1</v>
      </c>
      <c r="G95" s="7" t="s">
        <v>65</v>
      </c>
      <c r="H95" s="7" t="s">
        <v>66</v>
      </c>
      <c r="I95" s="7" t="s">
        <v>54</v>
      </c>
      <c r="J95" s="9" t="n">
        <v>12.2740070854567</v>
      </c>
      <c r="K95" s="9" t="n">
        <v>14.0442994709192</v>
      </c>
      <c r="L95" s="10" t="n">
        <f aca="false">K95-J95</f>
        <v>1.77029238546249</v>
      </c>
      <c r="M95" s="10" t="n">
        <f aca="false">IF(I95="higher",L95,-L95)</f>
        <v>-1.77029238546249</v>
      </c>
    </row>
    <row r="96" customFormat="false" ht="15" hidden="false" customHeight="false" outlineLevel="0" collapsed="false">
      <c r="A96" s="7" t="s">
        <v>48</v>
      </c>
      <c r="B96" s="7" t="s">
        <v>10</v>
      </c>
      <c r="C96" s="7" t="s">
        <v>49</v>
      </c>
      <c r="D96" s="7" t="s">
        <v>86</v>
      </c>
      <c r="E96" s="7" t="s">
        <v>51</v>
      </c>
      <c r="F96" s="8" t="b">
        <f aca="false">TRUE()</f>
        <v>1</v>
      </c>
      <c r="G96" s="7" t="s">
        <v>67</v>
      </c>
      <c r="H96" s="7" t="s">
        <v>68</v>
      </c>
      <c r="I96" s="7" t="s">
        <v>54</v>
      </c>
      <c r="J96" s="9" t="n">
        <v>15.6704113365364</v>
      </c>
      <c r="K96" s="9" t="n">
        <v>12.9291732333735</v>
      </c>
      <c r="L96" s="10" t="n">
        <f aca="false">K96-J96</f>
        <v>-2.74123810316283</v>
      </c>
      <c r="M96" s="10" t="n">
        <f aca="false">IF(I96="higher",L96,-L96)</f>
        <v>2.74123810316283</v>
      </c>
    </row>
    <row r="97" customFormat="false" ht="15" hidden="false" customHeight="false" outlineLevel="0" collapsed="false">
      <c r="A97" s="7" t="s">
        <v>48</v>
      </c>
      <c r="B97" s="7" t="s">
        <v>10</v>
      </c>
      <c r="C97" s="7" t="s">
        <v>49</v>
      </c>
      <c r="D97" s="7" t="s">
        <v>86</v>
      </c>
      <c r="E97" s="7" t="s">
        <v>51</v>
      </c>
      <c r="F97" s="8" t="b">
        <f aca="false">TRUE()</f>
        <v>1</v>
      </c>
      <c r="G97" s="7" t="s">
        <v>69</v>
      </c>
      <c r="H97" s="7" t="s">
        <v>70</v>
      </c>
      <c r="I97" s="7" t="s">
        <v>71</v>
      </c>
      <c r="J97" s="9" t="n">
        <v>0.3875</v>
      </c>
      <c r="K97" s="9" t="n">
        <v>0.4</v>
      </c>
      <c r="L97" s="10" t="n">
        <f aca="false">K97-J97</f>
        <v>0.0125</v>
      </c>
      <c r="M97" s="10" t="n">
        <f aca="false">IF(I97="higher",L97,-L97)</f>
        <v>0.0125</v>
      </c>
    </row>
    <row r="98" customFormat="false" ht="15" hidden="false" customHeight="false" outlineLevel="0" collapsed="false">
      <c r="A98" s="7" t="s">
        <v>48</v>
      </c>
      <c r="B98" s="7" t="s">
        <v>10</v>
      </c>
      <c r="C98" s="7" t="s">
        <v>49</v>
      </c>
      <c r="D98" s="7" t="s">
        <v>86</v>
      </c>
      <c r="E98" s="7" t="s">
        <v>51</v>
      </c>
      <c r="F98" s="8" t="b">
        <f aca="false">TRUE()</f>
        <v>1</v>
      </c>
      <c r="G98" s="7" t="s">
        <v>72</v>
      </c>
      <c r="H98" s="7" t="s">
        <v>73</v>
      </c>
      <c r="I98" s="7" t="s">
        <v>71</v>
      </c>
      <c r="J98" s="9" t="n">
        <v>0.95</v>
      </c>
      <c r="K98" s="9" t="n">
        <v>0.925</v>
      </c>
      <c r="L98" s="10" t="n">
        <f aca="false">K98-J98</f>
        <v>-0.0249999999999999</v>
      </c>
      <c r="M98" s="10" t="n">
        <f aca="false">IF(I98="higher",L98,-L98)</f>
        <v>-0.0249999999999999</v>
      </c>
    </row>
    <row r="99" customFormat="false" ht="15" hidden="false" customHeight="false" outlineLevel="0" collapsed="false">
      <c r="A99" s="7" t="s">
        <v>48</v>
      </c>
      <c r="B99" s="7" t="s">
        <v>10</v>
      </c>
      <c r="C99" s="7" t="s">
        <v>49</v>
      </c>
      <c r="D99" s="7" t="s">
        <v>86</v>
      </c>
      <c r="E99" s="7" t="s">
        <v>51</v>
      </c>
      <c r="F99" s="8" t="b">
        <f aca="false">TRUE()</f>
        <v>1</v>
      </c>
      <c r="G99" s="7" t="s">
        <v>74</v>
      </c>
      <c r="H99" s="7" t="s">
        <v>75</v>
      </c>
      <c r="I99" s="7" t="s">
        <v>54</v>
      </c>
      <c r="J99" s="9" t="n">
        <v>0.230769230769231</v>
      </c>
      <c r="K99" s="9" t="n">
        <v>0.0769230769230769</v>
      </c>
      <c r="L99" s="10" t="n">
        <f aca="false">K99-J99</f>
        <v>-0.153846153846154</v>
      </c>
      <c r="M99" s="10" t="n">
        <f aca="false">IF(I99="higher",L99,-L99)</f>
        <v>0.153846153846154</v>
      </c>
    </row>
    <row r="100" customFormat="false" ht="15" hidden="false" customHeight="false" outlineLevel="0" collapsed="false">
      <c r="A100" s="7" t="s">
        <v>48</v>
      </c>
      <c r="B100" s="7" t="s">
        <v>10</v>
      </c>
      <c r="C100" s="7" t="s">
        <v>49</v>
      </c>
      <c r="D100" s="7" t="s">
        <v>86</v>
      </c>
      <c r="E100" s="7" t="s">
        <v>51</v>
      </c>
      <c r="F100" s="8" t="b">
        <f aca="false">TRUE()</f>
        <v>1</v>
      </c>
      <c r="G100" s="7" t="s">
        <v>76</v>
      </c>
      <c r="H100" s="7" t="s">
        <v>77</v>
      </c>
      <c r="I100" s="7" t="s">
        <v>54</v>
      </c>
      <c r="J100" s="9" t="n">
        <v>0.409090909090909</v>
      </c>
      <c r="K100" s="9" t="n">
        <v>0.381818181818182</v>
      </c>
      <c r="L100" s="10" t="n">
        <f aca="false">K100-J100</f>
        <v>-0.0272727272727273</v>
      </c>
      <c r="M100" s="10" t="n">
        <f aca="false">IF(I100="higher",L100,-L100)</f>
        <v>0.0272727272727273</v>
      </c>
    </row>
    <row r="101" customFormat="false" ht="15" hidden="false" customHeight="false" outlineLevel="0" collapsed="false">
      <c r="A101" s="7" t="s">
        <v>48</v>
      </c>
      <c r="B101" s="7" t="s">
        <v>10</v>
      </c>
      <c r="C101" s="7" t="s">
        <v>49</v>
      </c>
      <c r="D101" s="7" t="s">
        <v>86</v>
      </c>
      <c r="E101" s="7" t="s">
        <v>51</v>
      </c>
      <c r="F101" s="8" t="b">
        <f aca="false">TRUE()</f>
        <v>1</v>
      </c>
      <c r="G101" s="7" t="s">
        <v>78</v>
      </c>
      <c r="H101" s="7" t="s">
        <v>79</v>
      </c>
      <c r="I101" s="7" t="s">
        <v>54</v>
      </c>
      <c r="J101" s="9" t="n">
        <v>0</v>
      </c>
      <c r="K101" s="9" t="n">
        <v>0</v>
      </c>
      <c r="L101" s="10" t="n">
        <f aca="false">K101-J101</f>
        <v>0</v>
      </c>
      <c r="M101" s="10" t="n">
        <f aca="false">IF(I101="higher",L101,-L101)</f>
        <v>-0</v>
      </c>
    </row>
    <row r="102" customFormat="false" ht="15" hidden="false" customHeight="false" outlineLevel="0" collapsed="false">
      <c r="A102" s="7" t="s">
        <v>48</v>
      </c>
      <c r="B102" s="7" t="s">
        <v>10</v>
      </c>
      <c r="C102" s="7" t="s">
        <v>49</v>
      </c>
      <c r="D102" s="7" t="s">
        <v>86</v>
      </c>
      <c r="E102" s="7" t="s">
        <v>51</v>
      </c>
      <c r="F102" s="8" t="b">
        <f aca="false">TRUE()</f>
        <v>1</v>
      </c>
      <c r="G102" s="7" t="s">
        <v>80</v>
      </c>
      <c r="H102" s="7" t="s">
        <v>81</v>
      </c>
      <c r="I102" s="7" t="s">
        <v>54</v>
      </c>
      <c r="J102" s="9" t="n">
        <v>0</v>
      </c>
      <c r="K102" s="9" t="n">
        <v>0</v>
      </c>
      <c r="L102" s="10" t="n">
        <f aca="false">K102-J102</f>
        <v>0</v>
      </c>
      <c r="M102" s="10" t="n">
        <f aca="false">IF(I102="higher",L102,-L102)</f>
        <v>-0</v>
      </c>
    </row>
    <row r="103" customFormat="false" ht="15" hidden="false" customHeight="false" outlineLevel="0" collapsed="false">
      <c r="A103" s="7" t="s">
        <v>82</v>
      </c>
      <c r="B103" s="7" t="s">
        <v>83</v>
      </c>
      <c r="C103" s="7" t="s">
        <v>49</v>
      </c>
      <c r="D103" s="7" t="s">
        <v>86</v>
      </c>
      <c r="E103" s="7" t="s">
        <v>51</v>
      </c>
      <c r="F103" s="8" t="b">
        <f aca="false">TRUE()</f>
        <v>1</v>
      </c>
      <c r="G103" s="7" t="s">
        <v>52</v>
      </c>
      <c r="H103" s="7" t="s">
        <v>53</v>
      </c>
      <c r="I103" s="7" t="s">
        <v>54</v>
      </c>
      <c r="J103" s="9" t="n">
        <v>3.31752693716426</v>
      </c>
      <c r="K103" s="9" t="n">
        <v>2.84908771401716</v>
      </c>
      <c r="L103" s="10" t="n">
        <f aca="false">K103-J103</f>
        <v>-0.468439223147105</v>
      </c>
      <c r="M103" s="10" t="n">
        <f aca="false">IF(I103="higher",L103,-L103)</f>
        <v>0.468439223147105</v>
      </c>
    </row>
    <row r="104" customFormat="false" ht="15" hidden="false" customHeight="false" outlineLevel="0" collapsed="false">
      <c r="A104" s="7" t="s">
        <v>82</v>
      </c>
      <c r="B104" s="7" t="s">
        <v>83</v>
      </c>
      <c r="C104" s="7" t="s">
        <v>49</v>
      </c>
      <c r="D104" s="7" t="s">
        <v>86</v>
      </c>
      <c r="E104" s="7" t="s">
        <v>51</v>
      </c>
      <c r="F104" s="8" t="b">
        <f aca="false">TRUE()</f>
        <v>1</v>
      </c>
      <c r="G104" s="7" t="s">
        <v>55</v>
      </c>
      <c r="H104" s="7" t="s">
        <v>56</v>
      </c>
      <c r="I104" s="7" t="s">
        <v>54</v>
      </c>
      <c r="J104" s="9" t="n">
        <v>9.43237871028085</v>
      </c>
      <c r="K104" s="9" t="n">
        <v>10.2051472058464</v>
      </c>
      <c r="L104" s="10" t="n">
        <f aca="false">K104-J104</f>
        <v>0.772768495565556</v>
      </c>
      <c r="M104" s="10" t="n">
        <f aca="false">IF(I104="higher",L104,-L104)</f>
        <v>-0.772768495565556</v>
      </c>
    </row>
    <row r="105" customFormat="false" ht="15" hidden="false" customHeight="false" outlineLevel="0" collapsed="false">
      <c r="A105" s="7" t="s">
        <v>82</v>
      </c>
      <c r="B105" s="7" t="s">
        <v>83</v>
      </c>
      <c r="C105" s="7" t="s">
        <v>49</v>
      </c>
      <c r="D105" s="7" t="s">
        <v>86</v>
      </c>
      <c r="E105" s="7" t="s">
        <v>51</v>
      </c>
      <c r="F105" s="8" t="b">
        <f aca="false">TRUE()</f>
        <v>1</v>
      </c>
      <c r="G105" s="7" t="s">
        <v>57</v>
      </c>
      <c r="H105" s="7" t="s">
        <v>58</v>
      </c>
      <c r="I105" s="7" t="s">
        <v>54</v>
      </c>
      <c r="J105" s="9" t="n">
        <v>5.78535677808721</v>
      </c>
      <c r="K105" s="9" t="n">
        <v>4.50192889073157</v>
      </c>
      <c r="L105" s="10" t="n">
        <f aca="false">K105-J105</f>
        <v>-1.28342788735564</v>
      </c>
      <c r="M105" s="10" t="n">
        <f aca="false">IF(I105="higher",L105,-L105)</f>
        <v>1.28342788735564</v>
      </c>
    </row>
    <row r="106" customFormat="false" ht="15" hidden="false" customHeight="false" outlineLevel="0" collapsed="false">
      <c r="A106" s="7" t="s">
        <v>82</v>
      </c>
      <c r="B106" s="7" t="s">
        <v>83</v>
      </c>
      <c r="C106" s="7" t="s">
        <v>49</v>
      </c>
      <c r="D106" s="7" t="s">
        <v>86</v>
      </c>
      <c r="E106" s="7" t="s">
        <v>51</v>
      </c>
      <c r="F106" s="8" t="b">
        <f aca="false">TRUE()</f>
        <v>1</v>
      </c>
      <c r="G106" s="7" t="s">
        <v>59</v>
      </c>
      <c r="H106" s="7" t="s">
        <v>60</v>
      </c>
      <c r="I106" s="7" t="s">
        <v>54</v>
      </c>
      <c r="J106" s="9" t="n">
        <v>0.0632626044829842</v>
      </c>
      <c r="K106" s="9" t="n">
        <v>0.0663327311680867</v>
      </c>
      <c r="L106" s="10" t="n">
        <f aca="false">K106-J106</f>
        <v>0.00307012668510248</v>
      </c>
      <c r="M106" s="10" t="n">
        <f aca="false">IF(I106="higher",L106,-L106)</f>
        <v>-0.00307012668510248</v>
      </c>
    </row>
    <row r="107" customFormat="false" ht="15" hidden="false" customHeight="false" outlineLevel="0" collapsed="false">
      <c r="A107" s="7" t="s">
        <v>82</v>
      </c>
      <c r="B107" s="7" t="s">
        <v>83</v>
      </c>
      <c r="C107" s="7" t="s">
        <v>49</v>
      </c>
      <c r="D107" s="7" t="s">
        <v>86</v>
      </c>
      <c r="E107" s="7" t="s">
        <v>51</v>
      </c>
      <c r="F107" s="8" t="b">
        <f aca="false">TRUE()</f>
        <v>1</v>
      </c>
      <c r="G107" s="7" t="s">
        <v>61</v>
      </c>
      <c r="H107" s="7" t="s">
        <v>62</v>
      </c>
      <c r="I107" s="7" t="s">
        <v>54</v>
      </c>
      <c r="J107" s="9" t="n">
        <v>15.2868331051795</v>
      </c>
      <c r="K107" s="9" t="n">
        <v>14.0301509135268</v>
      </c>
      <c r="L107" s="10" t="n">
        <f aca="false">K107-J107</f>
        <v>-1.25668219165273</v>
      </c>
      <c r="M107" s="10" t="n">
        <f aca="false">IF(I107="higher",L107,-L107)</f>
        <v>1.25668219165273</v>
      </c>
    </row>
    <row r="108" customFormat="false" ht="15" hidden="false" customHeight="false" outlineLevel="0" collapsed="false">
      <c r="A108" s="7" t="s">
        <v>82</v>
      </c>
      <c r="B108" s="7" t="s">
        <v>83</v>
      </c>
      <c r="C108" s="7" t="s">
        <v>49</v>
      </c>
      <c r="D108" s="7" t="s">
        <v>86</v>
      </c>
      <c r="E108" s="7" t="s">
        <v>51</v>
      </c>
      <c r="F108" s="8" t="b">
        <f aca="false">TRUE()</f>
        <v>1</v>
      </c>
      <c r="G108" s="7" t="s">
        <v>63</v>
      </c>
      <c r="H108" s="7" t="s">
        <v>64</v>
      </c>
      <c r="I108" s="7" t="s">
        <v>54</v>
      </c>
      <c r="J108" s="9" t="n">
        <v>6.60634650345371</v>
      </c>
      <c r="K108" s="9" t="n">
        <v>6.45332897211201</v>
      </c>
      <c r="L108" s="10" t="n">
        <f aca="false">K108-J108</f>
        <v>-0.153017531341698</v>
      </c>
      <c r="M108" s="10" t="n">
        <f aca="false">IF(I108="higher",L108,-L108)</f>
        <v>0.153017531341698</v>
      </c>
    </row>
    <row r="109" customFormat="false" ht="15" hidden="false" customHeight="false" outlineLevel="0" collapsed="false">
      <c r="A109" s="7" t="s">
        <v>82</v>
      </c>
      <c r="B109" s="7" t="s">
        <v>83</v>
      </c>
      <c r="C109" s="7" t="s">
        <v>49</v>
      </c>
      <c r="D109" s="7" t="s">
        <v>86</v>
      </c>
      <c r="E109" s="7" t="s">
        <v>51</v>
      </c>
      <c r="F109" s="8" t="b">
        <f aca="false">TRUE()</f>
        <v>1</v>
      </c>
      <c r="G109" s="7" t="s">
        <v>65</v>
      </c>
      <c r="H109" s="7" t="s">
        <v>66</v>
      </c>
      <c r="I109" s="7" t="s">
        <v>54</v>
      </c>
      <c r="J109" s="9" t="n">
        <v>14.0044263957123</v>
      </c>
      <c r="K109" s="9" t="n">
        <v>14.0442994709192</v>
      </c>
      <c r="L109" s="10" t="n">
        <f aca="false">K109-J109</f>
        <v>0.0398730752068701</v>
      </c>
      <c r="M109" s="10" t="n">
        <f aca="false">IF(I109="higher",L109,-L109)</f>
        <v>-0.0398730752068701</v>
      </c>
    </row>
    <row r="110" customFormat="false" ht="15" hidden="false" customHeight="false" outlineLevel="0" collapsed="false">
      <c r="A110" s="7" t="s">
        <v>82</v>
      </c>
      <c r="B110" s="7" t="s">
        <v>83</v>
      </c>
      <c r="C110" s="7" t="s">
        <v>49</v>
      </c>
      <c r="D110" s="7" t="s">
        <v>86</v>
      </c>
      <c r="E110" s="7" t="s">
        <v>51</v>
      </c>
      <c r="F110" s="8" t="b">
        <f aca="false">TRUE()</f>
        <v>1</v>
      </c>
      <c r="G110" s="7" t="s">
        <v>67</v>
      </c>
      <c r="H110" s="7" t="s">
        <v>68</v>
      </c>
      <c r="I110" s="7" t="s">
        <v>54</v>
      </c>
      <c r="J110" s="9" t="n">
        <v>18.3466165183425</v>
      </c>
      <c r="K110" s="9" t="n">
        <v>12.9291732333735</v>
      </c>
      <c r="L110" s="10" t="n">
        <f aca="false">K110-J110</f>
        <v>-5.41744328496896</v>
      </c>
      <c r="M110" s="10" t="n">
        <f aca="false">IF(I110="higher",L110,-L110)</f>
        <v>5.41744328496896</v>
      </c>
    </row>
    <row r="111" customFormat="false" ht="15" hidden="false" customHeight="false" outlineLevel="0" collapsed="false">
      <c r="A111" s="7" t="s">
        <v>82</v>
      </c>
      <c r="B111" s="7" t="s">
        <v>83</v>
      </c>
      <c r="C111" s="7" t="s">
        <v>49</v>
      </c>
      <c r="D111" s="7" t="s">
        <v>86</v>
      </c>
      <c r="E111" s="7" t="s">
        <v>51</v>
      </c>
      <c r="F111" s="8" t="b">
        <f aca="false">TRUE()</f>
        <v>1</v>
      </c>
      <c r="G111" s="7" t="s">
        <v>69</v>
      </c>
      <c r="H111" s="7" t="s">
        <v>70</v>
      </c>
      <c r="I111" s="7" t="s">
        <v>71</v>
      </c>
      <c r="J111" s="9" t="n">
        <v>0.45</v>
      </c>
      <c r="K111" s="9" t="n">
        <v>0.4</v>
      </c>
      <c r="L111" s="10" t="n">
        <f aca="false">K111-J111</f>
        <v>-0.05</v>
      </c>
      <c r="M111" s="10" t="n">
        <f aca="false">IF(I111="higher",L111,-L111)</f>
        <v>-0.05</v>
      </c>
    </row>
    <row r="112" customFormat="false" ht="15" hidden="false" customHeight="false" outlineLevel="0" collapsed="false">
      <c r="A112" s="7" t="s">
        <v>82</v>
      </c>
      <c r="B112" s="7" t="s">
        <v>83</v>
      </c>
      <c r="C112" s="7" t="s">
        <v>49</v>
      </c>
      <c r="D112" s="7" t="s">
        <v>86</v>
      </c>
      <c r="E112" s="7" t="s">
        <v>51</v>
      </c>
      <c r="F112" s="8" t="b">
        <f aca="false">TRUE()</f>
        <v>1</v>
      </c>
      <c r="G112" s="7" t="s">
        <v>72</v>
      </c>
      <c r="H112" s="7" t="s">
        <v>73</v>
      </c>
      <c r="I112" s="7" t="s">
        <v>71</v>
      </c>
      <c r="J112" s="9" t="n">
        <v>0.75</v>
      </c>
      <c r="K112" s="9" t="n">
        <v>0.925</v>
      </c>
      <c r="L112" s="10" t="n">
        <f aca="false">K112-J112</f>
        <v>0.175</v>
      </c>
      <c r="M112" s="10" t="n">
        <f aca="false">IF(I112="higher",L112,-L112)</f>
        <v>0.175</v>
      </c>
    </row>
    <row r="113" customFormat="false" ht="15" hidden="false" customHeight="false" outlineLevel="0" collapsed="false">
      <c r="A113" s="7" t="s">
        <v>82</v>
      </c>
      <c r="B113" s="7" t="s">
        <v>83</v>
      </c>
      <c r="C113" s="7" t="s">
        <v>49</v>
      </c>
      <c r="D113" s="7" t="s">
        <v>86</v>
      </c>
      <c r="E113" s="7" t="s">
        <v>51</v>
      </c>
      <c r="F113" s="8" t="b">
        <f aca="false">TRUE()</f>
        <v>1</v>
      </c>
      <c r="G113" s="7" t="s">
        <v>74</v>
      </c>
      <c r="H113" s="7" t="s">
        <v>75</v>
      </c>
      <c r="I113" s="7" t="s">
        <v>54</v>
      </c>
      <c r="J113" s="9" t="n">
        <v>0.153846153846154</v>
      </c>
      <c r="K113" s="9" t="n">
        <v>0.0769230769230769</v>
      </c>
      <c r="L113" s="10" t="n">
        <f aca="false">K113-J113</f>
        <v>-0.076923076923077</v>
      </c>
      <c r="M113" s="10" t="n">
        <f aca="false">IF(I113="higher",L113,-L113)</f>
        <v>0.076923076923077</v>
      </c>
    </row>
    <row r="114" customFormat="false" ht="15" hidden="false" customHeight="false" outlineLevel="0" collapsed="false">
      <c r="A114" s="7" t="s">
        <v>82</v>
      </c>
      <c r="B114" s="7" t="s">
        <v>83</v>
      </c>
      <c r="C114" s="7" t="s">
        <v>49</v>
      </c>
      <c r="D114" s="7" t="s">
        <v>86</v>
      </c>
      <c r="E114" s="7" t="s">
        <v>51</v>
      </c>
      <c r="F114" s="8" t="b">
        <f aca="false">TRUE()</f>
        <v>1</v>
      </c>
      <c r="G114" s="7" t="s">
        <v>76</v>
      </c>
      <c r="H114" s="7" t="s">
        <v>77</v>
      </c>
      <c r="I114" s="7" t="s">
        <v>54</v>
      </c>
      <c r="J114" s="9" t="n">
        <v>0.218181818181818</v>
      </c>
      <c r="K114" s="9" t="n">
        <v>0.381818181818182</v>
      </c>
      <c r="L114" s="10" t="n">
        <f aca="false">K114-J114</f>
        <v>0.163636363636364</v>
      </c>
      <c r="M114" s="10" t="n">
        <f aca="false">IF(I114="higher",L114,-L114)</f>
        <v>-0.163636363636364</v>
      </c>
    </row>
    <row r="115" customFormat="false" ht="15" hidden="false" customHeight="false" outlineLevel="0" collapsed="false">
      <c r="A115" s="7" t="s">
        <v>82</v>
      </c>
      <c r="B115" s="7" t="s">
        <v>83</v>
      </c>
      <c r="C115" s="7" t="s">
        <v>49</v>
      </c>
      <c r="D115" s="7" t="s">
        <v>86</v>
      </c>
      <c r="E115" s="7" t="s">
        <v>51</v>
      </c>
      <c r="F115" s="8" t="b">
        <f aca="false">TRUE()</f>
        <v>1</v>
      </c>
      <c r="G115" s="7" t="s">
        <v>78</v>
      </c>
      <c r="H115" s="7" t="s">
        <v>79</v>
      </c>
      <c r="I115" s="7" t="s">
        <v>54</v>
      </c>
      <c r="J115" s="9" t="n">
        <v>0</v>
      </c>
      <c r="K115" s="9" t="n">
        <v>0</v>
      </c>
      <c r="L115" s="10" t="n">
        <f aca="false">K115-J115</f>
        <v>0</v>
      </c>
      <c r="M115" s="10" t="n">
        <f aca="false">IF(I115="higher",L115,-L115)</f>
        <v>-0</v>
      </c>
    </row>
    <row r="116" customFormat="false" ht="15" hidden="false" customHeight="false" outlineLevel="0" collapsed="false">
      <c r="A116" s="7" t="s">
        <v>82</v>
      </c>
      <c r="B116" s="7" t="s">
        <v>83</v>
      </c>
      <c r="C116" s="7" t="s">
        <v>49</v>
      </c>
      <c r="D116" s="7" t="s">
        <v>86</v>
      </c>
      <c r="E116" s="7" t="s">
        <v>51</v>
      </c>
      <c r="F116" s="8" t="b">
        <f aca="false">TRUE()</f>
        <v>1</v>
      </c>
      <c r="G116" s="7" t="s">
        <v>80</v>
      </c>
      <c r="H116" s="7" t="s">
        <v>81</v>
      </c>
      <c r="I116" s="7" t="s">
        <v>54</v>
      </c>
      <c r="J116" s="9" t="n">
        <v>0</v>
      </c>
      <c r="K116" s="9" t="n">
        <v>0</v>
      </c>
      <c r="L116" s="10" t="n">
        <f aca="false">K116-J116</f>
        <v>0</v>
      </c>
      <c r="M116" s="10" t="n">
        <f aca="false">IF(I116="higher",L116,-L116)</f>
        <v>-0</v>
      </c>
    </row>
    <row r="117" customFormat="false" ht="15" hidden="false" customHeight="false" outlineLevel="0" collapsed="false">
      <c r="A117" s="7" t="s">
        <v>48</v>
      </c>
      <c r="B117" s="7" t="s">
        <v>10</v>
      </c>
      <c r="C117" s="7" t="s">
        <v>49</v>
      </c>
      <c r="D117" s="7" t="s">
        <v>87</v>
      </c>
      <c r="E117" s="7" t="s">
        <v>51</v>
      </c>
      <c r="F117" s="8" t="b">
        <f aca="false">TRUE()</f>
        <v>1</v>
      </c>
      <c r="G117" s="7" t="s">
        <v>52</v>
      </c>
      <c r="H117" s="7" t="s">
        <v>53</v>
      </c>
      <c r="I117" s="7" t="s">
        <v>54</v>
      </c>
      <c r="J117" s="9" t="n">
        <v>3.63167349674189</v>
      </c>
      <c r="K117" s="9" t="n">
        <v>3.14024583772467</v>
      </c>
      <c r="L117" s="10" t="n">
        <f aca="false">K117-J117</f>
        <v>-0.491427659017219</v>
      </c>
      <c r="M117" s="10" t="n">
        <f aca="false">IF(I117="higher",L117,-L117)</f>
        <v>0.491427659017219</v>
      </c>
    </row>
    <row r="118" customFormat="false" ht="15" hidden="false" customHeight="false" outlineLevel="0" collapsed="false">
      <c r="A118" s="7" t="s">
        <v>48</v>
      </c>
      <c r="B118" s="7" t="s">
        <v>10</v>
      </c>
      <c r="C118" s="7" t="s">
        <v>49</v>
      </c>
      <c r="D118" s="7" t="s">
        <v>87</v>
      </c>
      <c r="E118" s="7" t="s">
        <v>51</v>
      </c>
      <c r="F118" s="8" t="b">
        <f aca="false">TRUE()</f>
        <v>1</v>
      </c>
      <c r="G118" s="7" t="s">
        <v>55</v>
      </c>
      <c r="H118" s="7" t="s">
        <v>56</v>
      </c>
      <c r="I118" s="7" t="s">
        <v>54</v>
      </c>
      <c r="J118" s="9" t="n">
        <v>8.11116277870584</v>
      </c>
      <c r="K118" s="9" t="n">
        <v>6.30933408679101</v>
      </c>
      <c r="L118" s="10" t="n">
        <f aca="false">K118-J118</f>
        <v>-1.80182869191482</v>
      </c>
      <c r="M118" s="10" t="n">
        <f aca="false">IF(I118="higher",L118,-L118)</f>
        <v>1.80182869191482</v>
      </c>
    </row>
    <row r="119" customFormat="false" ht="15" hidden="false" customHeight="false" outlineLevel="0" collapsed="false">
      <c r="A119" s="7" t="s">
        <v>48</v>
      </c>
      <c r="B119" s="7" t="s">
        <v>10</v>
      </c>
      <c r="C119" s="7" t="s">
        <v>49</v>
      </c>
      <c r="D119" s="7" t="s">
        <v>87</v>
      </c>
      <c r="E119" s="7" t="s">
        <v>51</v>
      </c>
      <c r="F119" s="8" t="b">
        <f aca="false">TRUE()</f>
        <v>1</v>
      </c>
      <c r="G119" s="7" t="s">
        <v>57</v>
      </c>
      <c r="H119" s="7" t="s">
        <v>58</v>
      </c>
      <c r="I119" s="7" t="s">
        <v>54</v>
      </c>
      <c r="J119" s="9" t="n">
        <v>5.75213897282259</v>
      </c>
      <c r="K119" s="9" t="n">
        <v>4.99641548995724</v>
      </c>
      <c r="L119" s="10" t="n">
        <f aca="false">K119-J119</f>
        <v>-0.75572348286535</v>
      </c>
      <c r="M119" s="10" t="n">
        <f aca="false">IF(I119="higher",L119,-L119)</f>
        <v>0.75572348286535</v>
      </c>
    </row>
    <row r="120" customFormat="false" ht="15" hidden="false" customHeight="false" outlineLevel="0" collapsed="false">
      <c r="A120" s="7" t="s">
        <v>48</v>
      </c>
      <c r="B120" s="7" t="s">
        <v>10</v>
      </c>
      <c r="C120" s="7" t="s">
        <v>49</v>
      </c>
      <c r="D120" s="7" t="s">
        <v>87</v>
      </c>
      <c r="E120" s="7" t="s">
        <v>51</v>
      </c>
      <c r="F120" s="8" t="b">
        <f aca="false">TRUE()</f>
        <v>1</v>
      </c>
      <c r="G120" s="7" t="s">
        <v>59</v>
      </c>
      <c r="H120" s="7" t="s">
        <v>60</v>
      </c>
      <c r="I120" s="7" t="s">
        <v>54</v>
      </c>
      <c r="J120" s="9" t="n">
        <v>0.0751180707762042</v>
      </c>
      <c r="K120" s="9" t="n">
        <v>0.0594420715533116</v>
      </c>
      <c r="L120" s="10" t="n">
        <f aca="false">K120-J120</f>
        <v>-0.0156759992228927</v>
      </c>
      <c r="M120" s="10" t="n">
        <f aca="false">IF(I120="higher",L120,-L120)</f>
        <v>0.0156759992228927</v>
      </c>
    </row>
    <row r="121" customFormat="false" ht="15" hidden="false" customHeight="false" outlineLevel="0" collapsed="false">
      <c r="A121" s="7" t="s">
        <v>48</v>
      </c>
      <c r="B121" s="7" t="s">
        <v>10</v>
      </c>
      <c r="C121" s="7" t="s">
        <v>49</v>
      </c>
      <c r="D121" s="7" t="s">
        <v>87</v>
      </c>
      <c r="E121" s="7" t="s">
        <v>51</v>
      </c>
      <c r="F121" s="8" t="b">
        <f aca="false">TRUE()</f>
        <v>1</v>
      </c>
      <c r="G121" s="7" t="s">
        <v>61</v>
      </c>
      <c r="H121" s="7" t="s">
        <v>62</v>
      </c>
      <c r="I121" s="7" t="s">
        <v>54</v>
      </c>
      <c r="J121" s="9" t="n">
        <v>10.3982598204072</v>
      </c>
      <c r="K121" s="9" t="n">
        <v>8.40169741501524</v>
      </c>
      <c r="L121" s="10" t="n">
        <f aca="false">K121-J121</f>
        <v>-1.99656240539198</v>
      </c>
      <c r="M121" s="10" t="n">
        <f aca="false">IF(I121="higher",L121,-L121)</f>
        <v>1.99656240539198</v>
      </c>
    </row>
    <row r="122" customFormat="false" ht="15" hidden="false" customHeight="false" outlineLevel="0" collapsed="false">
      <c r="A122" s="7" t="s">
        <v>48</v>
      </c>
      <c r="B122" s="7" t="s">
        <v>10</v>
      </c>
      <c r="C122" s="7" t="s">
        <v>49</v>
      </c>
      <c r="D122" s="7" t="s">
        <v>87</v>
      </c>
      <c r="E122" s="7" t="s">
        <v>51</v>
      </c>
      <c r="F122" s="8" t="b">
        <f aca="false">TRUE()</f>
        <v>1</v>
      </c>
      <c r="G122" s="7" t="s">
        <v>63</v>
      </c>
      <c r="H122" s="7" t="s">
        <v>64</v>
      </c>
      <c r="I122" s="7" t="s">
        <v>54</v>
      </c>
      <c r="J122" s="9" t="n">
        <v>6.3752064930865</v>
      </c>
      <c r="K122" s="9" t="n">
        <v>4.6446510104739</v>
      </c>
      <c r="L122" s="10" t="n">
        <f aca="false">K122-J122</f>
        <v>-1.7305554826126</v>
      </c>
      <c r="M122" s="10" t="n">
        <f aca="false">IF(I122="higher",L122,-L122)</f>
        <v>1.7305554826126</v>
      </c>
    </row>
    <row r="123" customFormat="false" ht="15" hidden="false" customHeight="false" outlineLevel="0" collapsed="false">
      <c r="A123" s="7" t="s">
        <v>48</v>
      </c>
      <c r="B123" s="7" t="s">
        <v>10</v>
      </c>
      <c r="C123" s="7" t="s">
        <v>49</v>
      </c>
      <c r="D123" s="7" t="s">
        <v>87</v>
      </c>
      <c r="E123" s="7" t="s">
        <v>51</v>
      </c>
      <c r="F123" s="8" t="b">
        <f aca="false">TRUE()</f>
        <v>1</v>
      </c>
      <c r="G123" s="7" t="s">
        <v>65</v>
      </c>
      <c r="H123" s="7" t="s">
        <v>66</v>
      </c>
      <c r="I123" s="7" t="s">
        <v>54</v>
      </c>
      <c r="J123" s="9" t="n">
        <v>10.5406501218211</v>
      </c>
      <c r="K123" s="9" t="n">
        <v>9.17095432310895</v>
      </c>
      <c r="L123" s="10" t="n">
        <f aca="false">K123-J123</f>
        <v>-1.36969579871211</v>
      </c>
      <c r="M123" s="10" t="n">
        <f aca="false">IF(I123="higher",L123,-L123)</f>
        <v>1.36969579871211</v>
      </c>
    </row>
    <row r="124" customFormat="false" ht="15" hidden="false" customHeight="false" outlineLevel="0" collapsed="false">
      <c r="A124" s="7" t="s">
        <v>48</v>
      </c>
      <c r="B124" s="7" t="s">
        <v>10</v>
      </c>
      <c r="C124" s="7" t="s">
        <v>49</v>
      </c>
      <c r="D124" s="7" t="s">
        <v>87</v>
      </c>
      <c r="E124" s="7" t="s">
        <v>51</v>
      </c>
      <c r="F124" s="8" t="b">
        <f aca="false">TRUE()</f>
        <v>1</v>
      </c>
      <c r="G124" s="7" t="s">
        <v>67</v>
      </c>
      <c r="H124" s="7" t="s">
        <v>68</v>
      </c>
      <c r="I124" s="7" t="s">
        <v>54</v>
      </c>
      <c r="J124" s="9" t="n">
        <v>16.8626531534387</v>
      </c>
      <c r="K124" s="9" t="n">
        <v>14.4136588252987</v>
      </c>
      <c r="L124" s="10" t="n">
        <f aca="false">K124-J124</f>
        <v>-2.44899432813998</v>
      </c>
      <c r="M124" s="10" t="n">
        <f aca="false">IF(I124="higher",L124,-L124)</f>
        <v>2.44899432813998</v>
      </c>
    </row>
    <row r="125" customFormat="false" ht="15" hidden="false" customHeight="false" outlineLevel="0" collapsed="false">
      <c r="A125" s="7" t="s">
        <v>48</v>
      </c>
      <c r="B125" s="7" t="s">
        <v>10</v>
      </c>
      <c r="C125" s="7" t="s">
        <v>49</v>
      </c>
      <c r="D125" s="7" t="s">
        <v>87</v>
      </c>
      <c r="E125" s="7" t="s">
        <v>51</v>
      </c>
      <c r="F125" s="8" t="b">
        <f aca="false">TRUE()</f>
        <v>1</v>
      </c>
      <c r="G125" s="7" t="s">
        <v>69</v>
      </c>
      <c r="H125" s="7" t="s">
        <v>70</v>
      </c>
      <c r="I125" s="7" t="s">
        <v>71</v>
      </c>
      <c r="J125" s="9" t="n">
        <v>0.619047619047619</v>
      </c>
      <c r="K125" s="9" t="n">
        <v>0.777777777777778</v>
      </c>
      <c r="L125" s="10" t="n">
        <f aca="false">K125-J125</f>
        <v>0.158730158730159</v>
      </c>
      <c r="M125" s="10" t="n">
        <f aca="false">IF(I125="higher",L125,-L125)</f>
        <v>0.158730158730159</v>
      </c>
    </row>
    <row r="126" customFormat="false" ht="15" hidden="false" customHeight="false" outlineLevel="0" collapsed="false">
      <c r="A126" s="7" t="s">
        <v>48</v>
      </c>
      <c r="B126" s="7" t="s">
        <v>10</v>
      </c>
      <c r="C126" s="7" t="s">
        <v>49</v>
      </c>
      <c r="D126" s="7" t="s">
        <v>87</v>
      </c>
      <c r="E126" s="7" t="s">
        <v>51</v>
      </c>
      <c r="F126" s="8" t="b">
        <f aca="false">TRUE()</f>
        <v>1</v>
      </c>
      <c r="G126" s="7" t="s">
        <v>72</v>
      </c>
      <c r="H126" s="7" t="s">
        <v>73</v>
      </c>
      <c r="I126" s="7" t="s">
        <v>71</v>
      </c>
      <c r="J126" s="9" t="n">
        <v>0.984126984126984</v>
      </c>
      <c r="K126" s="9" t="n">
        <v>0.952380952380952</v>
      </c>
      <c r="L126" s="10" t="n">
        <f aca="false">K126-J126</f>
        <v>-0.0317460317460317</v>
      </c>
      <c r="M126" s="10" t="n">
        <f aca="false">IF(I126="higher",L126,-L126)</f>
        <v>-0.0317460317460317</v>
      </c>
    </row>
    <row r="127" customFormat="false" ht="15" hidden="false" customHeight="false" outlineLevel="0" collapsed="false">
      <c r="A127" s="7" t="s">
        <v>48</v>
      </c>
      <c r="B127" s="7" t="s">
        <v>10</v>
      </c>
      <c r="C127" s="7" t="s">
        <v>49</v>
      </c>
      <c r="D127" s="7" t="s">
        <v>87</v>
      </c>
      <c r="E127" s="7" t="s">
        <v>51</v>
      </c>
      <c r="F127" s="8" t="b">
        <f aca="false">TRUE()</f>
        <v>1</v>
      </c>
      <c r="G127" s="7" t="s">
        <v>74</v>
      </c>
      <c r="H127" s="7" t="s">
        <v>75</v>
      </c>
      <c r="I127" s="7" t="s">
        <v>54</v>
      </c>
      <c r="J127" s="9" t="n">
        <v>0.142857142857143</v>
      </c>
      <c r="K127" s="9" t="n">
        <v>0.619047619047619</v>
      </c>
      <c r="L127" s="10" t="n">
        <f aca="false">K127-J127</f>
        <v>0.476190476190476</v>
      </c>
      <c r="M127" s="10" t="n">
        <f aca="false">IF(I127="higher",L127,-L127)</f>
        <v>-0.476190476190476</v>
      </c>
    </row>
    <row r="128" customFormat="false" ht="15" hidden="false" customHeight="false" outlineLevel="0" collapsed="false">
      <c r="A128" s="7" t="s">
        <v>48</v>
      </c>
      <c r="B128" s="7" t="s">
        <v>10</v>
      </c>
      <c r="C128" s="7" t="s">
        <v>49</v>
      </c>
      <c r="D128" s="7" t="s">
        <v>87</v>
      </c>
      <c r="E128" s="7" t="s">
        <v>51</v>
      </c>
      <c r="F128" s="8" t="b">
        <f aca="false">TRUE()</f>
        <v>1</v>
      </c>
      <c r="G128" s="7" t="s">
        <v>76</v>
      </c>
      <c r="H128" s="7" t="s">
        <v>77</v>
      </c>
      <c r="I128" s="7" t="s">
        <v>54</v>
      </c>
      <c r="J128" s="9" t="n">
        <v>0.26</v>
      </c>
      <c r="K128" s="9" t="n">
        <v>0.14</v>
      </c>
      <c r="L128" s="10" t="n">
        <f aca="false">K128-J128</f>
        <v>-0.12</v>
      </c>
      <c r="M128" s="10" t="n">
        <f aca="false">IF(I128="higher",L128,-L128)</f>
        <v>0.12</v>
      </c>
    </row>
    <row r="129" customFormat="false" ht="15" hidden="false" customHeight="false" outlineLevel="0" collapsed="false">
      <c r="A129" s="7" t="s">
        <v>48</v>
      </c>
      <c r="B129" s="7" t="s">
        <v>10</v>
      </c>
      <c r="C129" s="7" t="s">
        <v>49</v>
      </c>
      <c r="D129" s="7" t="s">
        <v>87</v>
      </c>
      <c r="E129" s="7" t="s">
        <v>51</v>
      </c>
      <c r="F129" s="8" t="b">
        <f aca="false">TRUE()</f>
        <v>1</v>
      </c>
      <c r="G129" s="7" t="s">
        <v>78</v>
      </c>
      <c r="H129" s="7" t="s">
        <v>79</v>
      </c>
      <c r="I129" s="7" t="s">
        <v>54</v>
      </c>
      <c r="J129" s="9" t="n">
        <v>0</v>
      </c>
      <c r="K129" s="9" t="n">
        <v>0</v>
      </c>
      <c r="L129" s="10" t="n">
        <f aca="false">K129-J129</f>
        <v>0</v>
      </c>
      <c r="M129" s="10" t="n">
        <f aca="false">IF(I129="higher",L129,-L129)</f>
        <v>-0</v>
      </c>
    </row>
    <row r="130" customFormat="false" ht="15" hidden="false" customHeight="false" outlineLevel="0" collapsed="false">
      <c r="A130" s="7" t="s">
        <v>48</v>
      </c>
      <c r="B130" s="7" t="s">
        <v>10</v>
      </c>
      <c r="C130" s="7" t="s">
        <v>49</v>
      </c>
      <c r="D130" s="7" t="s">
        <v>87</v>
      </c>
      <c r="E130" s="7" t="s">
        <v>51</v>
      </c>
      <c r="F130" s="8" t="b">
        <f aca="false">TRUE()</f>
        <v>1</v>
      </c>
      <c r="G130" s="7" t="s">
        <v>80</v>
      </c>
      <c r="H130" s="7" t="s">
        <v>81</v>
      </c>
      <c r="I130" s="7" t="s">
        <v>54</v>
      </c>
      <c r="J130" s="9" t="n">
        <v>0</v>
      </c>
      <c r="K130" s="9" t="n">
        <v>0</v>
      </c>
      <c r="L130" s="10" t="n">
        <f aca="false">K130-J130</f>
        <v>0</v>
      </c>
      <c r="M130" s="10" t="n">
        <f aca="false">IF(I130="higher",L130,-L130)</f>
        <v>-0</v>
      </c>
    </row>
    <row r="131" customFormat="false" ht="15" hidden="false" customHeight="false" outlineLevel="0" collapsed="false">
      <c r="A131" s="7" t="s">
        <v>82</v>
      </c>
      <c r="B131" s="7" t="s">
        <v>83</v>
      </c>
      <c r="C131" s="7" t="s">
        <v>49</v>
      </c>
      <c r="D131" s="7" t="s">
        <v>87</v>
      </c>
      <c r="E131" s="7" t="s">
        <v>51</v>
      </c>
      <c r="F131" s="8" t="b">
        <f aca="false">TRUE()</f>
        <v>1</v>
      </c>
      <c r="G131" s="7" t="s">
        <v>52</v>
      </c>
      <c r="H131" s="7" t="s">
        <v>53</v>
      </c>
      <c r="I131" s="7" t="s">
        <v>54</v>
      </c>
      <c r="J131" s="9" t="n">
        <v>3.15174778228048</v>
      </c>
      <c r="K131" s="9" t="n">
        <v>3.14024583772467</v>
      </c>
      <c r="L131" s="10" t="n">
        <f aca="false">K131-J131</f>
        <v>-0.011501944555814</v>
      </c>
      <c r="M131" s="10" t="n">
        <f aca="false">IF(I131="higher",L131,-L131)</f>
        <v>0.011501944555814</v>
      </c>
    </row>
    <row r="132" customFormat="false" ht="15" hidden="false" customHeight="false" outlineLevel="0" collapsed="false">
      <c r="A132" s="7" t="s">
        <v>82</v>
      </c>
      <c r="B132" s="7" t="s">
        <v>83</v>
      </c>
      <c r="C132" s="7" t="s">
        <v>49</v>
      </c>
      <c r="D132" s="7" t="s">
        <v>87</v>
      </c>
      <c r="E132" s="7" t="s">
        <v>51</v>
      </c>
      <c r="F132" s="8" t="b">
        <f aca="false">TRUE()</f>
        <v>1</v>
      </c>
      <c r="G132" s="7" t="s">
        <v>55</v>
      </c>
      <c r="H132" s="7" t="s">
        <v>56</v>
      </c>
      <c r="I132" s="7" t="s">
        <v>54</v>
      </c>
      <c r="J132" s="9" t="n">
        <v>5.96125454325065</v>
      </c>
      <c r="K132" s="9" t="n">
        <v>6.30933408679101</v>
      </c>
      <c r="L132" s="10" t="n">
        <f aca="false">K132-J132</f>
        <v>0.348079543540363</v>
      </c>
      <c r="M132" s="10" t="n">
        <f aca="false">IF(I132="higher",L132,-L132)</f>
        <v>-0.348079543540363</v>
      </c>
    </row>
    <row r="133" customFormat="false" ht="15" hidden="false" customHeight="false" outlineLevel="0" collapsed="false">
      <c r="A133" s="7" t="s">
        <v>82</v>
      </c>
      <c r="B133" s="7" t="s">
        <v>83</v>
      </c>
      <c r="C133" s="7" t="s">
        <v>49</v>
      </c>
      <c r="D133" s="7" t="s">
        <v>87</v>
      </c>
      <c r="E133" s="7" t="s">
        <v>51</v>
      </c>
      <c r="F133" s="8" t="b">
        <f aca="false">TRUE()</f>
        <v>1</v>
      </c>
      <c r="G133" s="7" t="s">
        <v>57</v>
      </c>
      <c r="H133" s="7" t="s">
        <v>58</v>
      </c>
      <c r="I133" s="7" t="s">
        <v>54</v>
      </c>
      <c r="J133" s="9" t="n">
        <v>4.37988202533032</v>
      </c>
      <c r="K133" s="9" t="n">
        <v>4.99641548995724</v>
      </c>
      <c r="L133" s="10" t="n">
        <f aca="false">K133-J133</f>
        <v>0.616533464626925</v>
      </c>
      <c r="M133" s="10" t="n">
        <f aca="false">IF(I133="higher",L133,-L133)</f>
        <v>-0.616533464626925</v>
      </c>
    </row>
    <row r="134" customFormat="false" ht="15" hidden="false" customHeight="false" outlineLevel="0" collapsed="false">
      <c r="A134" s="7" t="s">
        <v>82</v>
      </c>
      <c r="B134" s="7" t="s">
        <v>83</v>
      </c>
      <c r="C134" s="7" t="s">
        <v>49</v>
      </c>
      <c r="D134" s="7" t="s">
        <v>87</v>
      </c>
      <c r="E134" s="7" t="s">
        <v>51</v>
      </c>
      <c r="F134" s="8" t="b">
        <f aca="false">TRUE()</f>
        <v>1</v>
      </c>
      <c r="G134" s="7" t="s">
        <v>59</v>
      </c>
      <c r="H134" s="7" t="s">
        <v>60</v>
      </c>
      <c r="I134" s="7" t="s">
        <v>54</v>
      </c>
      <c r="J134" s="9" t="n">
        <v>0.0657705712924398</v>
      </c>
      <c r="K134" s="9" t="n">
        <v>0.0594420715533116</v>
      </c>
      <c r="L134" s="10" t="n">
        <f aca="false">K134-J134</f>
        <v>-0.00632849973912826</v>
      </c>
      <c r="M134" s="10" t="n">
        <f aca="false">IF(I134="higher",L134,-L134)</f>
        <v>0.00632849973912826</v>
      </c>
    </row>
    <row r="135" customFormat="false" ht="15" hidden="false" customHeight="false" outlineLevel="0" collapsed="false">
      <c r="A135" s="7" t="s">
        <v>82</v>
      </c>
      <c r="B135" s="7" t="s">
        <v>83</v>
      </c>
      <c r="C135" s="7" t="s">
        <v>49</v>
      </c>
      <c r="D135" s="7" t="s">
        <v>87</v>
      </c>
      <c r="E135" s="7" t="s">
        <v>51</v>
      </c>
      <c r="F135" s="8" t="b">
        <f aca="false">TRUE()</f>
        <v>1</v>
      </c>
      <c r="G135" s="7" t="s">
        <v>61</v>
      </c>
      <c r="H135" s="7" t="s">
        <v>62</v>
      </c>
      <c r="I135" s="7" t="s">
        <v>54</v>
      </c>
      <c r="J135" s="9" t="n">
        <v>7.68103973968462</v>
      </c>
      <c r="K135" s="9" t="n">
        <v>8.40169741501524</v>
      </c>
      <c r="L135" s="10" t="n">
        <f aca="false">K135-J135</f>
        <v>0.720657675330616</v>
      </c>
      <c r="M135" s="10" t="n">
        <f aca="false">IF(I135="higher",L135,-L135)</f>
        <v>-0.720657675330616</v>
      </c>
    </row>
    <row r="136" customFormat="false" ht="15" hidden="false" customHeight="false" outlineLevel="0" collapsed="false">
      <c r="A136" s="7" t="s">
        <v>82</v>
      </c>
      <c r="B136" s="7" t="s">
        <v>83</v>
      </c>
      <c r="C136" s="7" t="s">
        <v>49</v>
      </c>
      <c r="D136" s="7" t="s">
        <v>87</v>
      </c>
      <c r="E136" s="7" t="s">
        <v>51</v>
      </c>
      <c r="F136" s="8" t="b">
        <f aca="false">TRUE()</f>
        <v>1</v>
      </c>
      <c r="G136" s="7" t="s">
        <v>63</v>
      </c>
      <c r="H136" s="7" t="s">
        <v>64</v>
      </c>
      <c r="I136" s="7" t="s">
        <v>54</v>
      </c>
      <c r="J136" s="9" t="n">
        <v>4.76557463354005</v>
      </c>
      <c r="K136" s="9" t="n">
        <v>4.6446510104739</v>
      </c>
      <c r="L136" s="10" t="n">
        <f aca="false">K136-J136</f>
        <v>-0.120923623066144</v>
      </c>
      <c r="M136" s="10" t="n">
        <f aca="false">IF(I136="higher",L136,-L136)</f>
        <v>0.120923623066144</v>
      </c>
    </row>
    <row r="137" customFormat="false" ht="15" hidden="false" customHeight="false" outlineLevel="0" collapsed="false">
      <c r="A137" s="7" t="s">
        <v>82</v>
      </c>
      <c r="B137" s="7" t="s">
        <v>83</v>
      </c>
      <c r="C137" s="7" t="s">
        <v>49</v>
      </c>
      <c r="D137" s="7" t="s">
        <v>87</v>
      </c>
      <c r="E137" s="7" t="s">
        <v>51</v>
      </c>
      <c r="F137" s="8" t="b">
        <f aca="false">TRUE()</f>
        <v>1</v>
      </c>
      <c r="G137" s="7" t="s">
        <v>65</v>
      </c>
      <c r="H137" s="7" t="s">
        <v>66</v>
      </c>
      <c r="I137" s="7" t="s">
        <v>54</v>
      </c>
      <c r="J137" s="9" t="n">
        <v>7.83236195953802</v>
      </c>
      <c r="K137" s="9" t="n">
        <v>9.17095432310895</v>
      </c>
      <c r="L137" s="10" t="n">
        <f aca="false">K137-J137</f>
        <v>1.33859236357094</v>
      </c>
      <c r="M137" s="10" t="n">
        <f aca="false">IF(I137="higher",L137,-L137)</f>
        <v>-1.33859236357094</v>
      </c>
    </row>
    <row r="138" customFormat="false" ht="15" hidden="false" customHeight="false" outlineLevel="0" collapsed="false">
      <c r="A138" s="7" t="s">
        <v>82</v>
      </c>
      <c r="B138" s="7" t="s">
        <v>83</v>
      </c>
      <c r="C138" s="7" t="s">
        <v>49</v>
      </c>
      <c r="D138" s="7" t="s">
        <v>87</v>
      </c>
      <c r="E138" s="7" t="s">
        <v>51</v>
      </c>
      <c r="F138" s="8" t="b">
        <f aca="false">TRUE()</f>
        <v>1</v>
      </c>
      <c r="G138" s="7" t="s">
        <v>67</v>
      </c>
      <c r="H138" s="7" t="s">
        <v>68</v>
      </c>
      <c r="I138" s="7" t="s">
        <v>54</v>
      </c>
      <c r="J138" s="9" t="n">
        <v>16.0951215109753</v>
      </c>
      <c r="K138" s="9" t="n">
        <v>14.4136588252987</v>
      </c>
      <c r="L138" s="10" t="n">
        <f aca="false">K138-J138</f>
        <v>-1.6814626856766</v>
      </c>
      <c r="M138" s="10" t="n">
        <f aca="false">IF(I138="higher",L138,-L138)</f>
        <v>1.6814626856766</v>
      </c>
    </row>
    <row r="139" customFormat="false" ht="15" hidden="false" customHeight="false" outlineLevel="0" collapsed="false">
      <c r="A139" s="7" t="s">
        <v>82</v>
      </c>
      <c r="B139" s="7" t="s">
        <v>83</v>
      </c>
      <c r="C139" s="7" t="s">
        <v>49</v>
      </c>
      <c r="D139" s="7" t="s">
        <v>87</v>
      </c>
      <c r="E139" s="7" t="s">
        <v>51</v>
      </c>
      <c r="F139" s="8" t="b">
        <f aca="false">TRUE()</f>
        <v>1</v>
      </c>
      <c r="G139" s="7" t="s">
        <v>69</v>
      </c>
      <c r="H139" s="7" t="s">
        <v>70</v>
      </c>
      <c r="I139" s="7" t="s">
        <v>71</v>
      </c>
      <c r="J139" s="9" t="n">
        <v>0.825396825396825</v>
      </c>
      <c r="K139" s="9" t="n">
        <v>0.777777777777778</v>
      </c>
      <c r="L139" s="10" t="n">
        <f aca="false">K139-J139</f>
        <v>-0.0476190476190476</v>
      </c>
      <c r="M139" s="10" t="n">
        <f aca="false">IF(I139="higher",L139,-L139)</f>
        <v>-0.0476190476190476</v>
      </c>
    </row>
    <row r="140" customFormat="false" ht="15" hidden="false" customHeight="false" outlineLevel="0" collapsed="false">
      <c r="A140" s="7" t="s">
        <v>82</v>
      </c>
      <c r="B140" s="7" t="s">
        <v>83</v>
      </c>
      <c r="C140" s="7" t="s">
        <v>49</v>
      </c>
      <c r="D140" s="7" t="s">
        <v>87</v>
      </c>
      <c r="E140" s="7" t="s">
        <v>51</v>
      </c>
      <c r="F140" s="8" t="b">
        <f aca="false">TRUE()</f>
        <v>1</v>
      </c>
      <c r="G140" s="7" t="s">
        <v>72</v>
      </c>
      <c r="H140" s="7" t="s">
        <v>73</v>
      </c>
      <c r="I140" s="7" t="s">
        <v>71</v>
      </c>
      <c r="J140" s="9" t="n">
        <v>0.936507936507936</v>
      </c>
      <c r="K140" s="9" t="n">
        <v>0.952380952380952</v>
      </c>
      <c r="L140" s="10" t="n">
        <f aca="false">K140-J140</f>
        <v>0.0158730158730158</v>
      </c>
      <c r="M140" s="10" t="n">
        <f aca="false">IF(I140="higher",L140,-L140)</f>
        <v>0.0158730158730158</v>
      </c>
    </row>
    <row r="141" customFormat="false" ht="15" hidden="false" customHeight="false" outlineLevel="0" collapsed="false">
      <c r="A141" s="7" t="s">
        <v>82</v>
      </c>
      <c r="B141" s="7" t="s">
        <v>83</v>
      </c>
      <c r="C141" s="7" t="s">
        <v>49</v>
      </c>
      <c r="D141" s="7" t="s">
        <v>87</v>
      </c>
      <c r="E141" s="7" t="s">
        <v>51</v>
      </c>
      <c r="F141" s="8" t="b">
        <f aca="false">TRUE()</f>
        <v>1</v>
      </c>
      <c r="G141" s="7" t="s">
        <v>74</v>
      </c>
      <c r="H141" s="7" t="s">
        <v>75</v>
      </c>
      <c r="I141" s="7" t="s">
        <v>54</v>
      </c>
      <c r="J141" s="9" t="n">
        <v>0.190476190476191</v>
      </c>
      <c r="K141" s="9" t="n">
        <v>0.619047619047619</v>
      </c>
      <c r="L141" s="10" t="n">
        <f aca="false">K141-J141</f>
        <v>0.428571428571429</v>
      </c>
      <c r="M141" s="10" t="n">
        <f aca="false">IF(I141="higher",L141,-L141)</f>
        <v>-0.428571428571429</v>
      </c>
    </row>
    <row r="142" customFormat="false" ht="15" hidden="false" customHeight="false" outlineLevel="0" collapsed="false">
      <c r="A142" s="7" t="s">
        <v>82</v>
      </c>
      <c r="B142" s="7" t="s">
        <v>83</v>
      </c>
      <c r="C142" s="7" t="s">
        <v>49</v>
      </c>
      <c r="D142" s="7" t="s">
        <v>87</v>
      </c>
      <c r="E142" s="7" t="s">
        <v>51</v>
      </c>
      <c r="F142" s="8" t="b">
        <f aca="false">TRUE()</f>
        <v>1</v>
      </c>
      <c r="G142" s="7" t="s">
        <v>76</v>
      </c>
      <c r="H142" s="7" t="s">
        <v>77</v>
      </c>
      <c r="I142" s="7" t="s">
        <v>54</v>
      </c>
      <c r="J142" s="9" t="n">
        <v>0.07</v>
      </c>
      <c r="K142" s="9" t="n">
        <v>0.14</v>
      </c>
      <c r="L142" s="10" t="n">
        <f aca="false">K142-J142</f>
        <v>0.07</v>
      </c>
      <c r="M142" s="10" t="n">
        <f aca="false">IF(I142="higher",L142,-L142)</f>
        <v>-0.07</v>
      </c>
    </row>
    <row r="143" customFormat="false" ht="15" hidden="false" customHeight="false" outlineLevel="0" collapsed="false">
      <c r="A143" s="7" t="s">
        <v>82</v>
      </c>
      <c r="B143" s="7" t="s">
        <v>83</v>
      </c>
      <c r="C143" s="7" t="s">
        <v>49</v>
      </c>
      <c r="D143" s="7" t="s">
        <v>87</v>
      </c>
      <c r="E143" s="7" t="s">
        <v>51</v>
      </c>
      <c r="F143" s="8" t="b">
        <f aca="false">TRUE()</f>
        <v>1</v>
      </c>
      <c r="G143" s="7" t="s">
        <v>78</v>
      </c>
      <c r="H143" s="7" t="s">
        <v>79</v>
      </c>
      <c r="I143" s="7" t="s">
        <v>54</v>
      </c>
      <c r="J143" s="9" t="n">
        <v>0</v>
      </c>
      <c r="K143" s="9" t="n">
        <v>0</v>
      </c>
      <c r="L143" s="10" t="n">
        <f aca="false">K143-J143</f>
        <v>0</v>
      </c>
      <c r="M143" s="10" t="n">
        <f aca="false">IF(I143="higher",L143,-L143)</f>
        <v>-0</v>
      </c>
    </row>
    <row r="144" customFormat="false" ht="15" hidden="false" customHeight="false" outlineLevel="0" collapsed="false">
      <c r="A144" s="7" t="s">
        <v>82</v>
      </c>
      <c r="B144" s="7" t="s">
        <v>83</v>
      </c>
      <c r="C144" s="7" t="s">
        <v>49</v>
      </c>
      <c r="D144" s="7" t="s">
        <v>87</v>
      </c>
      <c r="E144" s="7" t="s">
        <v>51</v>
      </c>
      <c r="F144" s="8" t="b">
        <f aca="false">TRUE()</f>
        <v>1</v>
      </c>
      <c r="G144" s="7" t="s">
        <v>80</v>
      </c>
      <c r="H144" s="7" t="s">
        <v>81</v>
      </c>
      <c r="I144" s="7" t="s">
        <v>54</v>
      </c>
      <c r="J144" s="9" t="n">
        <v>0</v>
      </c>
      <c r="K144" s="9" t="n">
        <v>0</v>
      </c>
      <c r="L144" s="10" t="n">
        <f aca="false">K144-J144</f>
        <v>0</v>
      </c>
      <c r="M144" s="10" t="n">
        <f aca="false">IF(I144="higher",L144,-L144)</f>
        <v>-0</v>
      </c>
    </row>
    <row r="145" customFormat="false" ht="15" hidden="false" customHeight="false" outlineLevel="0" collapsed="false">
      <c r="A145" s="7" t="s">
        <v>48</v>
      </c>
      <c r="B145" s="7" t="s">
        <v>10</v>
      </c>
      <c r="C145" s="7" t="s">
        <v>49</v>
      </c>
      <c r="D145" s="7" t="s">
        <v>88</v>
      </c>
      <c r="E145" s="7" t="s">
        <v>51</v>
      </c>
      <c r="F145" s="8" t="b">
        <f aca="false">TRUE()</f>
        <v>1</v>
      </c>
      <c r="G145" s="7" t="s">
        <v>52</v>
      </c>
      <c r="H145" s="7" t="s">
        <v>53</v>
      </c>
      <c r="I145" s="7" t="s">
        <v>54</v>
      </c>
      <c r="J145" s="9" t="n">
        <v>4.85963767851751</v>
      </c>
      <c r="K145" s="9" t="n">
        <v>3.00682125020302</v>
      </c>
      <c r="L145" s="10" t="n">
        <f aca="false">K145-J145</f>
        <v>-1.85281642831449</v>
      </c>
      <c r="M145" s="10" t="n">
        <f aca="false">IF(I145="higher",L145,-L145)</f>
        <v>1.85281642831449</v>
      </c>
    </row>
    <row r="146" customFormat="false" ht="15" hidden="false" customHeight="false" outlineLevel="0" collapsed="false">
      <c r="A146" s="7" t="s">
        <v>48</v>
      </c>
      <c r="B146" s="7" t="s">
        <v>10</v>
      </c>
      <c r="C146" s="7" t="s">
        <v>49</v>
      </c>
      <c r="D146" s="7" t="s">
        <v>88</v>
      </c>
      <c r="E146" s="7" t="s">
        <v>51</v>
      </c>
      <c r="F146" s="8" t="b">
        <f aca="false">TRUE()</f>
        <v>1</v>
      </c>
      <c r="G146" s="7" t="s">
        <v>55</v>
      </c>
      <c r="H146" s="7" t="s">
        <v>56</v>
      </c>
      <c r="I146" s="7" t="s">
        <v>54</v>
      </c>
      <c r="J146" s="9" t="n">
        <v>10.9884674822696</v>
      </c>
      <c r="K146" s="9" t="n">
        <v>11.2444174245255</v>
      </c>
      <c r="L146" s="10" t="n">
        <f aca="false">K146-J146</f>
        <v>0.25594994225583</v>
      </c>
      <c r="M146" s="10" t="n">
        <f aca="false">IF(I146="higher",L146,-L146)</f>
        <v>-0.25594994225583</v>
      </c>
    </row>
    <row r="147" customFormat="false" ht="15" hidden="false" customHeight="false" outlineLevel="0" collapsed="false">
      <c r="A147" s="7" t="s">
        <v>48</v>
      </c>
      <c r="B147" s="7" t="s">
        <v>10</v>
      </c>
      <c r="C147" s="7" t="s">
        <v>49</v>
      </c>
      <c r="D147" s="7" t="s">
        <v>88</v>
      </c>
      <c r="E147" s="7" t="s">
        <v>51</v>
      </c>
      <c r="F147" s="8" t="b">
        <f aca="false">TRUE()</f>
        <v>1</v>
      </c>
      <c r="G147" s="7" t="s">
        <v>57</v>
      </c>
      <c r="H147" s="7" t="s">
        <v>58</v>
      </c>
      <c r="I147" s="7" t="s">
        <v>54</v>
      </c>
      <c r="J147" s="9" t="n">
        <v>5.73325869037538</v>
      </c>
      <c r="K147" s="9" t="n">
        <v>7.80884802466926</v>
      </c>
      <c r="L147" s="10" t="n">
        <f aca="false">K147-J147</f>
        <v>2.07558933429388</v>
      </c>
      <c r="M147" s="10" t="n">
        <f aca="false">IF(I147="higher",L147,-L147)</f>
        <v>-2.07558933429388</v>
      </c>
    </row>
    <row r="148" customFormat="false" ht="15" hidden="false" customHeight="false" outlineLevel="0" collapsed="false">
      <c r="A148" s="7" t="s">
        <v>48</v>
      </c>
      <c r="B148" s="7" t="s">
        <v>10</v>
      </c>
      <c r="C148" s="7" t="s">
        <v>49</v>
      </c>
      <c r="D148" s="7" t="s">
        <v>88</v>
      </c>
      <c r="E148" s="7" t="s">
        <v>51</v>
      </c>
      <c r="F148" s="8" t="b">
        <f aca="false">TRUE()</f>
        <v>1</v>
      </c>
      <c r="G148" s="7" t="s">
        <v>59</v>
      </c>
      <c r="H148" s="7" t="s">
        <v>60</v>
      </c>
      <c r="I148" s="7" t="s">
        <v>54</v>
      </c>
      <c r="J148" s="9" t="n">
        <v>0.10022346036385</v>
      </c>
      <c r="K148" s="9" t="n">
        <v>0.0763261641983731</v>
      </c>
      <c r="L148" s="10" t="n">
        <f aca="false">K148-J148</f>
        <v>-0.0238972961654765</v>
      </c>
      <c r="M148" s="10" t="n">
        <f aca="false">IF(I148="higher",L148,-L148)</f>
        <v>0.0238972961654765</v>
      </c>
    </row>
    <row r="149" customFormat="false" ht="15" hidden="false" customHeight="false" outlineLevel="0" collapsed="false">
      <c r="A149" s="7" t="s">
        <v>48</v>
      </c>
      <c r="B149" s="7" t="s">
        <v>10</v>
      </c>
      <c r="C149" s="7" t="s">
        <v>49</v>
      </c>
      <c r="D149" s="7" t="s">
        <v>88</v>
      </c>
      <c r="E149" s="7" t="s">
        <v>51</v>
      </c>
      <c r="F149" s="8" t="b">
        <f aca="false">TRUE()</f>
        <v>1</v>
      </c>
      <c r="G149" s="7" t="s">
        <v>61</v>
      </c>
      <c r="H149" s="7" t="s">
        <v>62</v>
      </c>
      <c r="I149" s="7" t="s">
        <v>54</v>
      </c>
      <c r="J149" s="9" t="n">
        <v>13.3820378972449</v>
      </c>
      <c r="K149" s="9" t="n">
        <v>19.7290199545233</v>
      </c>
      <c r="L149" s="10" t="n">
        <f aca="false">K149-J149</f>
        <v>6.34698205727839</v>
      </c>
      <c r="M149" s="10" t="n">
        <f aca="false">IF(I149="higher",L149,-L149)</f>
        <v>-6.34698205727839</v>
      </c>
    </row>
    <row r="150" customFormat="false" ht="15" hidden="false" customHeight="false" outlineLevel="0" collapsed="false">
      <c r="A150" s="7" t="s">
        <v>48</v>
      </c>
      <c r="B150" s="7" t="s">
        <v>10</v>
      </c>
      <c r="C150" s="7" t="s">
        <v>49</v>
      </c>
      <c r="D150" s="7" t="s">
        <v>88</v>
      </c>
      <c r="E150" s="7" t="s">
        <v>51</v>
      </c>
      <c r="F150" s="8" t="b">
        <f aca="false">TRUE()</f>
        <v>1</v>
      </c>
      <c r="G150" s="7" t="s">
        <v>63</v>
      </c>
      <c r="H150" s="7" t="s">
        <v>64</v>
      </c>
      <c r="I150" s="7" t="s">
        <v>54</v>
      </c>
      <c r="J150" s="9" t="n">
        <v>12.7386859196887</v>
      </c>
      <c r="K150" s="9" t="n">
        <v>11.152926692471</v>
      </c>
      <c r="L150" s="10" t="n">
        <f aca="false">K150-J150</f>
        <v>-1.58575922721771</v>
      </c>
      <c r="M150" s="10" t="n">
        <f aca="false">IF(I150="higher",L150,-L150)</f>
        <v>1.58575922721771</v>
      </c>
    </row>
    <row r="151" customFormat="false" ht="15" hidden="false" customHeight="false" outlineLevel="0" collapsed="false">
      <c r="A151" s="7" t="s">
        <v>48</v>
      </c>
      <c r="B151" s="7" t="s">
        <v>10</v>
      </c>
      <c r="C151" s="7" t="s">
        <v>49</v>
      </c>
      <c r="D151" s="7" t="s">
        <v>88</v>
      </c>
      <c r="E151" s="7" t="s">
        <v>51</v>
      </c>
      <c r="F151" s="8" t="b">
        <f aca="false">TRUE()</f>
        <v>1</v>
      </c>
      <c r="G151" s="7" t="s">
        <v>65</v>
      </c>
      <c r="H151" s="7" t="s">
        <v>66</v>
      </c>
      <c r="I151" s="7" t="s">
        <v>54</v>
      </c>
      <c r="J151" s="9" t="n">
        <v>13.7029155881248</v>
      </c>
      <c r="K151" s="9" t="n">
        <v>17.9889146119319</v>
      </c>
      <c r="L151" s="10" t="n">
        <f aca="false">K151-J151</f>
        <v>4.28599902380708</v>
      </c>
      <c r="M151" s="10" t="n">
        <f aca="false">IF(I151="higher",L151,-L151)</f>
        <v>-4.28599902380708</v>
      </c>
    </row>
    <row r="152" customFormat="false" ht="15" hidden="false" customHeight="false" outlineLevel="0" collapsed="false">
      <c r="A152" s="7" t="s">
        <v>48</v>
      </c>
      <c r="B152" s="7" t="s">
        <v>10</v>
      </c>
      <c r="C152" s="7" t="s">
        <v>49</v>
      </c>
      <c r="D152" s="7" t="s">
        <v>88</v>
      </c>
      <c r="E152" s="7" t="s">
        <v>51</v>
      </c>
      <c r="F152" s="8" t="b">
        <f aca="false">TRUE()</f>
        <v>1</v>
      </c>
      <c r="G152" s="7" t="s">
        <v>67</v>
      </c>
      <c r="H152" s="7" t="s">
        <v>68</v>
      </c>
      <c r="I152" s="7" t="s">
        <v>54</v>
      </c>
      <c r="J152" s="9" t="n">
        <v>17.8858185157376</v>
      </c>
      <c r="K152" s="9" t="n">
        <v>20.0241935151846</v>
      </c>
      <c r="L152" s="10" t="n">
        <f aca="false">K152-J152</f>
        <v>2.13837499944695</v>
      </c>
      <c r="M152" s="10" t="n">
        <f aca="false">IF(I152="higher",L152,-L152)</f>
        <v>-2.13837499944695</v>
      </c>
    </row>
    <row r="153" customFormat="false" ht="15" hidden="false" customHeight="false" outlineLevel="0" collapsed="false">
      <c r="A153" s="7" t="s">
        <v>48</v>
      </c>
      <c r="B153" s="7" t="s">
        <v>10</v>
      </c>
      <c r="C153" s="7" t="s">
        <v>49</v>
      </c>
      <c r="D153" s="7" t="s">
        <v>88</v>
      </c>
      <c r="E153" s="7" t="s">
        <v>51</v>
      </c>
      <c r="F153" s="8" t="b">
        <f aca="false">TRUE()</f>
        <v>1</v>
      </c>
      <c r="G153" s="7" t="s">
        <v>69</v>
      </c>
      <c r="H153" s="7" t="s">
        <v>70</v>
      </c>
      <c r="I153" s="7" t="s">
        <v>71</v>
      </c>
      <c r="J153" s="9" t="n">
        <v>0.611111111111111</v>
      </c>
      <c r="K153" s="9" t="n">
        <v>0.541666666666667</v>
      </c>
      <c r="L153" s="10" t="n">
        <f aca="false">K153-J153</f>
        <v>-0.0694444444444445</v>
      </c>
      <c r="M153" s="10" t="n">
        <f aca="false">IF(I153="higher",L153,-L153)</f>
        <v>-0.0694444444444445</v>
      </c>
    </row>
    <row r="154" customFormat="false" ht="15" hidden="false" customHeight="false" outlineLevel="0" collapsed="false">
      <c r="A154" s="7" t="s">
        <v>48</v>
      </c>
      <c r="B154" s="7" t="s">
        <v>10</v>
      </c>
      <c r="C154" s="7" t="s">
        <v>49</v>
      </c>
      <c r="D154" s="7" t="s">
        <v>88</v>
      </c>
      <c r="E154" s="7" t="s">
        <v>51</v>
      </c>
      <c r="F154" s="8" t="b">
        <f aca="false">TRUE()</f>
        <v>1</v>
      </c>
      <c r="G154" s="7" t="s">
        <v>72</v>
      </c>
      <c r="H154" s="7" t="s">
        <v>73</v>
      </c>
      <c r="I154" s="7" t="s">
        <v>71</v>
      </c>
      <c r="J154" s="9" t="n">
        <v>0.930555555555556</v>
      </c>
      <c r="K154" s="9" t="n">
        <v>0.916666666666667</v>
      </c>
      <c r="L154" s="10" t="n">
        <f aca="false">K154-J154</f>
        <v>-0.013888888888889</v>
      </c>
      <c r="M154" s="10" t="n">
        <f aca="false">IF(I154="higher",L154,-L154)</f>
        <v>-0.013888888888889</v>
      </c>
    </row>
    <row r="155" customFormat="false" ht="15" hidden="false" customHeight="false" outlineLevel="0" collapsed="false">
      <c r="A155" s="7" t="s">
        <v>48</v>
      </c>
      <c r="B155" s="7" t="s">
        <v>10</v>
      </c>
      <c r="C155" s="7" t="s">
        <v>49</v>
      </c>
      <c r="D155" s="7" t="s">
        <v>88</v>
      </c>
      <c r="E155" s="7" t="s">
        <v>51</v>
      </c>
      <c r="F155" s="8" t="b">
        <f aca="false">TRUE()</f>
        <v>1</v>
      </c>
      <c r="G155" s="7" t="s">
        <v>74</v>
      </c>
      <c r="H155" s="7" t="s">
        <v>75</v>
      </c>
      <c r="I155" s="7" t="s">
        <v>54</v>
      </c>
      <c r="J155" s="9" t="n">
        <v>0.0833333333333333</v>
      </c>
      <c r="K155" s="9" t="n">
        <v>0.166666666666667</v>
      </c>
      <c r="L155" s="10" t="n">
        <f aca="false">K155-J155</f>
        <v>0.0833333333333334</v>
      </c>
      <c r="M155" s="10" t="n">
        <f aca="false">IF(I155="higher",L155,-L155)</f>
        <v>-0.0833333333333334</v>
      </c>
    </row>
    <row r="156" customFormat="false" ht="15" hidden="false" customHeight="false" outlineLevel="0" collapsed="false">
      <c r="A156" s="7" t="s">
        <v>48</v>
      </c>
      <c r="B156" s="7" t="s">
        <v>10</v>
      </c>
      <c r="C156" s="7" t="s">
        <v>49</v>
      </c>
      <c r="D156" s="7" t="s">
        <v>88</v>
      </c>
      <c r="E156" s="7" t="s">
        <v>51</v>
      </c>
      <c r="F156" s="8" t="b">
        <f aca="false">TRUE()</f>
        <v>1</v>
      </c>
      <c r="G156" s="7" t="s">
        <v>76</v>
      </c>
      <c r="H156" s="7" t="s">
        <v>77</v>
      </c>
      <c r="I156" s="7" t="s">
        <v>54</v>
      </c>
      <c r="J156" s="9" t="n">
        <v>0.288659793814433</v>
      </c>
      <c r="K156" s="9" t="n">
        <v>0.319587628865979</v>
      </c>
      <c r="L156" s="10" t="n">
        <f aca="false">K156-J156</f>
        <v>0.0309278350515464</v>
      </c>
      <c r="M156" s="10" t="n">
        <f aca="false">IF(I156="higher",L156,-L156)</f>
        <v>-0.0309278350515464</v>
      </c>
    </row>
    <row r="157" customFormat="false" ht="15" hidden="false" customHeight="false" outlineLevel="0" collapsed="false">
      <c r="A157" s="7" t="s">
        <v>48</v>
      </c>
      <c r="B157" s="7" t="s">
        <v>10</v>
      </c>
      <c r="C157" s="7" t="s">
        <v>49</v>
      </c>
      <c r="D157" s="7" t="s">
        <v>88</v>
      </c>
      <c r="E157" s="7" t="s">
        <v>51</v>
      </c>
      <c r="F157" s="8" t="b">
        <f aca="false">TRUE()</f>
        <v>1</v>
      </c>
      <c r="G157" s="7" t="s">
        <v>78</v>
      </c>
      <c r="H157" s="7" t="s">
        <v>79</v>
      </c>
      <c r="I157" s="7" t="s">
        <v>54</v>
      </c>
      <c r="J157" s="9" t="n">
        <v>0.0103092783505155</v>
      </c>
      <c r="K157" s="9" t="n">
        <v>0</v>
      </c>
      <c r="L157" s="10" t="n">
        <f aca="false">K157-J157</f>
        <v>-0.0103092783505155</v>
      </c>
      <c r="M157" s="10" t="n">
        <f aca="false">IF(I157="higher",L157,-L157)</f>
        <v>0.0103092783505155</v>
      </c>
    </row>
    <row r="158" customFormat="false" ht="15" hidden="false" customHeight="false" outlineLevel="0" collapsed="false">
      <c r="A158" s="7" t="s">
        <v>48</v>
      </c>
      <c r="B158" s="7" t="s">
        <v>10</v>
      </c>
      <c r="C158" s="7" t="s">
        <v>49</v>
      </c>
      <c r="D158" s="7" t="s">
        <v>88</v>
      </c>
      <c r="E158" s="7" t="s">
        <v>51</v>
      </c>
      <c r="F158" s="8" t="b">
        <f aca="false">TRUE()</f>
        <v>1</v>
      </c>
      <c r="G158" s="7" t="s">
        <v>80</v>
      </c>
      <c r="H158" s="7" t="s">
        <v>81</v>
      </c>
      <c r="I158" s="7" t="s">
        <v>54</v>
      </c>
      <c r="J158" s="9" t="n">
        <v>0</v>
      </c>
      <c r="K158" s="9" t="n">
        <v>0</v>
      </c>
      <c r="L158" s="10" t="n">
        <f aca="false">K158-J158</f>
        <v>0</v>
      </c>
      <c r="M158" s="10" t="n">
        <f aca="false">IF(I158="higher",L158,-L158)</f>
        <v>-0</v>
      </c>
    </row>
    <row r="159" customFormat="false" ht="15" hidden="false" customHeight="false" outlineLevel="0" collapsed="false">
      <c r="A159" s="7" t="s">
        <v>82</v>
      </c>
      <c r="B159" s="7" t="s">
        <v>83</v>
      </c>
      <c r="C159" s="7" t="s">
        <v>49</v>
      </c>
      <c r="D159" s="7" t="s">
        <v>88</v>
      </c>
      <c r="E159" s="7" t="s">
        <v>51</v>
      </c>
      <c r="F159" s="8" t="b">
        <f aca="false">TRUE()</f>
        <v>1</v>
      </c>
      <c r="G159" s="7" t="s">
        <v>52</v>
      </c>
      <c r="H159" s="7" t="s">
        <v>53</v>
      </c>
      <c r="I159" s="7" t="s">
        <v>54</v>
      </c>
      <c r="J159" s="9" t="n">
        <v>3.13128992444881</v>
      </c>
      <c r="K159" s="9" t="n">
        <v>3.00682125020302</v>
      </c>
      <c r="L159" s="10" t="n">
        <f aca="false">K159-J159</f>
        <v>-0.124468674245785</v>
      </c>
      <c r="M159" s="10" t="n">
        <f aca="false">IF(I159="higher",L159,-L159)</f>
        <v>0.124468674245785</v>
      </c>
    </row>
    <row r="160" customFormat="false" ht="15" hidden="false" customHeight="false" outlineLevel="0" collapsed="false">
      <c r="A160" s="7" t="s">
        <v>82</v>
      </c>
      <c r="B160" s="7" t="s">
        <v>83</v>
      </c>
      <c r="C160" s="7" t="s">
        <v>49</v>
      </c>
      <c r="D160" s="7" t="s">
        <v>88</v>
      </c>
      <c r="E160" s="7" t="s">
        <v>51</v>
      </c>
      <c r="F160" s="8" t="b">
        <f aca="false">TRUE()</f>
        <v>1</v>
      </c>
      <c r="G160" s="7" t="s">
        <v>55</v>
      </c>
      <c r="H160" s="7" t="s">
        <v>56</v>
      </c>
      <c r="I160" s="7" t="s">
        <v>54</v>
      </c>
      <c r="J160" s="9" t="n">
        <v>12.4661361039605</v>
      </c>
      <c r="K160" s="9" t="n">
        <v>11.2444174245255</v>
      </c>
      <c r="L160" s="10" t="n">
        <f aca="false">K160-J160</f>
        <v>-1.22171867943502</v>
      </c>
      <c r="M160" s="10" t="n">
        <f aca="false">IF(I160="higher",L160,-L160)</f>
        <v>1.22171867943502</v>
      </c>
    </row>
    <row r="161" customFormat="false" ht="15" hidden="false" customHeight="false" outlineLevel="0" collapsed="false">
      <c r="A161" s="7" t="s">
        <v>82</v>
      </c>
      <c r="B161" s="7" t="s">
        <v>83</v>
      </c>
      <c r="C161" s="7" t="s">
        <v>49</v>
      </c>
      <c r="D161" s="7" t="s">
        <v>88</v>
      </c>
      <c r="E161" s="7" t="s">
        <v>51</v>
      </c>
      <c r="F161" s="8" t="b">
        <f aca="false">TRUE()</f>
        <v>1</v>
      </c>
      <c r="G161" s="7" t="s">
        <v>57</v>
      </c>
      <c r="H161" s="7" t="s">
        <v>58</v>
      </c>
      <c r="I161" s="7" t="s">
        <v>54</v>
      </c>
      <c r="J161" s="9" t="n">
        <v>7.45904498314708</v>
      </c>
      <c r="K161" s="9" t="n">
        <v>7.80884802466926</v>
      </c>
      <c r="L161" s="10" t="n">
        <f aca="false">K161-J161</f>
        <v>0.349803041522187</v>
      </c>
      <c r="M161" s="10" t="n">
        <f aca="false">IF(I161="higher",L161,-L161)</f>
        <v>-0.349803041522187</v>
      </c>
    </row>
    <row r="162" customFormat="false" ht="15" hidden="false" customHeight="false" outlineLevel="0" collapsed="false">
      <c r="A162" s="7" t="s">
        <v>82</v>
      </c>
      <c r="B162" s="7" t="s">
        <v>83</v>
      </c>
      <c r="C162" s="7" t="s">
        <v>49</v>
      </c>
      <c r="D162" s="7" t="s">
        <v>88</v>
      </c>
      <c r="E162" s="7" t="s">
        <v>51</v>
      </c>
      <c r="F162" s="8" t="b">
        <f aca="false">TRUE()</f>
        <v>1</v>
      </c>
      <c r="G162" s="7" t="s">
        <v>59</v>
      </c>
      <c r="H162" s="7" t="s">
        <v>60</v>
      </c>
      <c r="I162" s="7" t="s">
        <v>54</v>
      </c>
      <c r="J162" s="9" t="n">
        <v>0.0886678367884466</v>
      </c>
      <c r="K162" s="9" t="n">
        <v>0.0763261641983731</v>
      </c>
      <c r="L162" s="10" t="n">
        <f aca="false">K162-J162</f>
        <v>-0.0123416725900735</v>
      </c>
      <c r="M162" s="10" t="n">
        <f aca="false">IF(I162="higher",L162,-L162)</f>
        <v>0.0123416725900735</v>
      </c>
    </row>
    <row r="163" customFormat="false" ht="15" hidden="false" customHeight="false" outlineLevel="0" collapsed="false">
      <c r="A163" s="7" t="s">
        <v>82</v>
      </c>
      <c r="B163" s="7" t="s">
        <v>83</v>
      </c>
      <c r="C163" s="7" t="s">
        <v>49</v>
      </c>
      <c r="D163" s="7" t="s">
        <v>88</v>
      </c>
      <c r="E163" s="7" t="s">
        <v>51</v>
      </c>
      <c r="F163" s="8" t="b">
        <f aca="false">TRUE()</f>
        <v>1</v>
      </c>
      <c r="G163" s="7" t="s">
        <v>61</v>
      </c>
      <c r="H163" s="7" t="s">
        <v>62</v>
      </c>
      <c r="I163" s="7" t="s">
        <v>54</v>
      </c>
      <c r="J163" s="9" t="n">
        <v>26.0757319314795</v>
      </c>
      <c r="K163" s="9" t="n">
        <v>19.7290199545233</v>
      </c>
      <c r="L163" s="10" t="n">
        <f aca="false">K163-J163</f>
        <v>-6.3467119769562</v>
      </c>
      <c r="M163" s="10" t="n">
        <f aca="false">IF(I163="higher",L163,-L163)</f>
        <v>6.3467119769562</v>
      </c>
    </row>
    <row r="164" customFormat="false" ht="15" hidden="false" customHeight="false" outlineLevel="0" collapsed="false">
      <c r="A164" s="7" t="s">
        <v>82</v>
      </c>
      <c r="B164" s="7" t="s">
        <v>83</v>
      </c>
      <c r="C164" s="7" t="s">
        <v>49</v>
      </c>
      <c r="D164" s="7" t="s">
        <v>88</v>
      </c>
      <c r="E164" s="7" t="s">
        <v>51</v>
      </c>
      <c r="F164" s="8" t="b">
        <f aca="false">TRUE()</f>
        <v>1</v>
      </c>
      <c r="G164" s="7" t="s">
        <v>63</v>
      </c>
      <c r="H164" s="7" t="s">
        <v>64</v>
      </c>
      <c r="I164" s="7" t="s">
        <v>54</v>
      </c>
      <c r="J164" s="9" t="n">
        <v>10.276337275388</v>
      </c>
      <c r="K164" s="9" t="n">
        <v>11.152926692471</v>
      </c>
      <c r="L164" s="10" t="n">
        <f aca="false">K164-J164</f>
        <v>0.876589417083039</v>
      </c>
      <c r="M164" s="10" t="n">
        <f aca="false">IF(I164="higher",L164,-L164)</f>
        <v>-0.876589417083039</v>
      </c>
    </row>
    <row r="165" customFormat="false" ht="15" hidden="false" customHeight="false" outlineLevel="0" collapsed="false">
      <c r="A165" s="7" t="s">
        <v>82</v>
      </c>
      <c r="B165" s="7" t="s">
        <v>83</v>
      </c>
      <c r="C165" s="7" t="s">
        <v>49</v>
      </c>
      <c r="D165" s="7" t="s">
        <v>88</v>
      </c>
      <c r="E165" s="7" t="s">
        <v>51</v>
      </c>
      <c r="F165" s="8" t="b">
        <f aca="false">TRUE()</f>
        <v>1</v>
      </c>
      <c r="G165" s="7" t="s">
        <v>65</v>
      </c>
      <c r="H165" s="7" t="s">
        <v>66</v>
      </c>
      <c r="I165" s="7" t="s">
        <v>54</v>
      </c>
      <c r="J165" s="9" t="n">
        <v>24.6490901381848</v>
      </c>
      <c r="K165" s="9" t="n">
        <v>17.9889146119319</v>
      </c>
      <c r="L165" s="10" t="n">
        <f aca="false">K165-J165</f>
        <v>-6.66017552625291</v>
      </c>
      <c r="M165" s="10" t="n">
        <f aca="false">IF(I165="higher",L165,-L165)</f>
        <v>6.66017552625291</v>
      </c>
    </row>
    <row r="166" customFormat="false" ht="15" hidden="false" customHeight="false" outlineLevel="0" collapsed="false">
      <c r="A166" s="7" t="s">
        <v>82</v>
      </c>
      <c r="B166" s="7" t="s">
        <v>83</v>
      </c>
      <c r="C166" s="7" t="s">
        <v>49</v>
      </c>
      <c r="D166" s="7" t="s">
        <v>88</v>
      </c>
      <c r="E166" s="7" t="s">
        <v>51</v>
      </c>
      <c r="F166" s="8" t="b">
        <f aca="false">TRUE()</f>
        <v>1</v>
      </c>
      <c r="G166" s="7" t="s">
        <v>67</v>
      </c>
      <c r="H166" s="7" t="s">
        <v>68</v>
      </c>
      <c r="I166" s="7" t="s">
        <v>54</v>
      </c>
      <c r="J166" s="9" t="n">
        <v>25.536726511925</v>
      </c>
      <c r="K166" s="9" t="n">
        <v>20.0241935151846</v>
      </c>
      <c r="L166" s="10" t="n">
        <f aca="false">K166-J166</f>
        <v>-5.51253299674039</v>
      </c>
      <c r="M166" s="10" t="n">
        <f aca="false">IF(I166="higher",L166,-L166)</f>
        <v>5.51253299674039</v>
      </c>
    </row>
    <row r="167" customFormat="false" ht="15" hidden="false" customHeight="false" outlineLevel="0" collapsed="false">
      <c r="A167" s="7" t="s">
        <v>82</v>
      </c>
      <c r="B167" s="7" t="s">
        <v>83</v>
      </c>
      <c r="C167" s="7" t="s">
        <v>49</v>
      </c>
      <c r="D167" s="7" t="s">
        <v>88</v>
      </c>
      <c r="E167" s="7" t="s">
        <v>51</v>
      </c>
      <c r="F167" s="8" t="b">
        <f aca="false">TRUE()</f>
        <v>1</v>
      </c>
      <c r="G167" s="7" t="s">
        <v>69</v>
      </c>
      <c r="H167" s="7" t="s">
        <v>70</v>
      </c>
      <c r="I167" s="7" t="s">
        <v>71</v>
      </c>
      <c r="J167" s="9" t="n">
        <v>0.5</v>
      </c>
      <c r="K167" s="9" t="n">
        <v>0.541666666666667</v>
      </c>
      <c r="L167" s="10" t="n">
        <f aca="false">K167-J167</f>
        <v>0.0416666666666666</v>
      </c>
      <c r="M167" s="10" t="n">
        <f aca="false">IF(I167="higher",L167,-L167)</f>
        <v>0.0416666666666666</v>
      </c>
    </row>
    <row r="168" customFormat="false" ht="15" hidden="false" customHeight="false" outlineLevel="0" collapsed="false">
      <c r="A168" s="7" t="s">
        <v>82</v>
      </c>
      <c r="B168" s="7" t="s">
        <v>83</v>
      </c>
      <c r="C168" s="7" t="s">
        <v>49</v>
      </c>
      <c r="D168" s="7" t="s">
        <v>88</v>
      </c>
      <c r="E168" s="7" t="s">
        <v>51</v>
      </c>
      <c r="F168" s="8" t="b">
        <f aca="false">TRUE()</f>
        <v>1</v>
      </c>
      <c r="G168" s="7" t="s">
        <v>72</v>
      </c>
      <c r="H168" s="7" t="s">
        <v>73</v>
      </c>
      <c r="I168" s="7" t="s">
        <v>71</v>
      </c>
      <c r="J168" s="9" t="n">
        <v>0.652777777777778</v>
      </c>
      <c r="K168" s="9" t="n">
        <v>0.916666666666667</v>
      </c>
      <c r="L168" s="10" t="n">
        <f aca="false">K168-J168</f>
        <v>0.263888888888889</v>
      </c>
      <c r="M168" s="10" t="n">
        <f aca="false">IF(I168="higher",L168,-L168)</f>
        <v>0.263888888888889</v>
      </c>
    </row>
    <row r="169" customFormat="false" ht="15" hidden="false" customHeight="false" outlineLevel="0" collapsed="false">
      <c r="A169" s="7" t="s">
        <v>82</v>
      </c>
      <c r="B169" s="7" t="s">
        <v>83</v>
      </c>
      <c r="C169" s="7" t="s">
        <v>49</v>
      </c>
      <c r="D169" s="7" t="s">
        <v>88</v>
      </c>
      <c r="E169" s="7" t="s">
        <v>51</v>
      </c>
      <c r="F169" s="8" t="b">
        <f aca="false">TRUE()</f>
        <v>1</v>
      </c>
      <c r="G169" s="7" t="s">
        <v>74</v>
      </c>
      <c r="H169" s="7" t="s">
        <v>75</v>
      </c>
      <c r="I169" s="7" t="s">
        <v>54</v>
      </c>
      <c r="J169" s="9" t="n">
        <v>0.333333333333333</v>
      </c>
      <c r="K169" s="9" t="n">
        <v>0.166666666666667</v>
      </c>
      <c r="L169" s="10" t="n">
        <f aca="false">K169-J169</f>
        <v>-0.166666666666667</v>
      </c>
      <c r="M169" s="10" t="n">
        <f aca="false">IF(I169="higher",L169,-L169)</f>
        <v>0.166666666666667</v>
      </c>
    </row>
    <row r="170" customFormat="false" ht="15" hidden="false" customHeight="false" outlineLevel="0" collapsed="false">
      <c r="A170" s="7" t="s">
        <v>82</v>
      </c>
      <c r="B170" s="7" t="s">
        <v>83</v>
      </c>
      <c r="C170" s="7" t="s">
        <v>49</v>
      </c>
      <c r="D170" s="7" t="s">
        <v>88</v>
      </c>
      <c r="E170" s="7" t="s">
        <v>51</v>
      </c>
      <c r="F170" s="8" t="b">
        <f aca="false">TRUE()</f>
        <v>1</v>
      </c>
      <c r="G170" s="7" t="s">
        <v>76</v>
      </c>
      <c r="H170" s="7" t="s">
        <v>77</v>
      </c>
      <c r="I170" s="7" t="s">
        <v>54</v>
      </c>
      <c r="J170" s="9" t="n">
        <v>0.123711340206186</v>
      </c>
      <c r="K170" s="9" t="n">
        <v>0.319587628865979</v>
      </c>
      <c r="L170" s="10" t="n">
        <f aca="false">K170-J170</f>
        <v>0.195876288659794</v>
      </c>
      <c r="M170" s="10" t="n">
        <f aca="false">IF(I170="higher",L170,-L170)</f>
        <v>-0.195876288659794</v>
      </c>
    </row>
    <row r="171" customFormat="false" ht="15" hidden="false" customHeight="false" outlineLevel="0" collapsed="false">
      <c r="A171" s="7" t="s">
        <v>82</v>
      </c>
      <c r="B171" s="7" t="s">
        <v>83</v>
      </c>
      <c r="C171" s="7" t="s">
        <v>49</v>
      </c>
      <c r="D171" s="7" t="s">
        <v>88</v>
      </c>
      <c r="E171" s="7" t="s">
        <v>51</v>
      </c>
      <c r="F171" s="8" t="b">
        <f aca="false">TRUE()</f>
        <v>1</v>
      </c>
      <c r="G171" s="7" t="s">
        <v>78</v>
      </c>
      <c r="H171" s="7" t="s">
        <v>79</v>
      </c>
      <c r="I171" s="7" t="s">
        <v>54</v>
      </c>
      <c r="J171" s="9" t="n">
        <v>0</v>
      </c>
      <c r="K171" s="9" t="n">
        <v>0</v>
      </c>
      <c r="L171" s="10" t="n">
        <f aca="false">K171-J171</f>
        <v>0</v>
      </c>
      <c r="M171" s="10" t="n">
        <f aca="false">IF(I171="higher",L171,-L171)</f>
        <v>-0</v>
      </c>
    </row>
    <row r="172" customFormat="false" ht="15" hidden="false" customHeight="false" outlineLevel="0" collapsed="false">
      <c r="A172" s="7" t="s">
        <v>82</v>
      </c>
      <c r="B172" s="7" t="s">
        <v>83</v>
      </c>
      <c r="C172" s="7" t="s">
        <v>49</v>
      </c>
      <c r="D172" s="7" t="s">
        <v>88</v>
      </c>
      <c r="E172" s="7" t="s">
        <v>51</v>
      </c>
      <c r="F172" s="8" t="b">
        <f aca="false">TRUE()</f>
        <v>1</v>
      </c>
      <c r="G172" s="7" t="s">
        <v>80</v>
      </c>
      <c r="H172" s="7" t="s">
        <v>81</v>
      </c>
      <c r="I172" s="7" t="s">
        <v>54</v>
      </c>
      <c r="J172" s="9" t="n">
        <v>0</v>
      </c>
      <c r="K172" s="9" t="n">
        <v>0</v>
      </c>
      <c r="L172" s="10" t="n">
        <f aca="false">K172-J172</f>
        <v>0</v>
      </c>
      <c r="M172" s="10" t="n">
        <f aca="false">IF(I172="higher",L172,-L172)</f>
        <v>-0</v>
      </c>
    </row>
    <row r="173" customFormat="false" ht="15" hidden="false" customHeight="false" outlineLevel="0" collapsed="false">
      <c r="A173" s="7" t="s">
        <v>48</v>
      </c>
      <c r="B173" s="7" t="s">
        <v>10</v>
      </c>
      <c r="C173" s="7" t="s">
        <v>49</v>
      </c>
      <c r="D173" s="7" t="s">
        <v>89</v>
      </c>
      <c r="E173" s="7" t="s">
        <v>51</v>
      </c>
      <c r="F173" s="8" t="b">
        <f aca="false">TRUE()</f>
        <v>1</v>
      </c>
      <c r="G173" s="7" t="s">
        <v>52</v>
      </c>
      <c r="H173" s="7" t="s">
        <v>53</v>
      </c>
      <c r="I173" s="7" t="s">
        <v>54</v>
      </c>
      <c r="J173" s="9" t="n">
        <v>3.77819815735063</v>
      </c>
      <c r="K173" s="9" t="n">
        <v>3.31180988139504</v>
      </c>
      <c r="L173" s="10" t="n">
        <f aca="false">K173-J173</f>
        <v>-0.466388275955591</v>
      </c>
      <c r="M173" s="10" t="n">
        <f aca="false">IF(I173="higher",L173,-L173)</f>
        <v>0.466388275955591</v>
      </c>
    </row>
    <row r="174" customFormat="false" ht="15" hidden="false" customHeight="false" outlineLevel="0" collapsed="false">
      <c r="A174" s="7" t="s">
        <v>48</v>
      </c>
      <c r="B174" s="7" t="s">
        <v>10</v>
      </c>
      <c r="C174" s="7" t="s">
        <v>49</v>
      </c>
      <c r="D174" s="7" t="s">
        <v>89</v>
      </c>
      <c r="E174" s="7" t="s">
        <v>51</v>
      </c>
      <c r="F174" s="8" t="b">
        <f aca="false">TRUE()</f>
        <v>1</v>
      </c>
      <c r="G174" s="7" t="s">
        <v>55</v>
      </c>
      <c r="H174" s="7" t="s">
        <v>56</v>
      </c>
      <c r="I174" s="7" t="s">
        <v>54</v>
      </c>
      <c r="J174" s="9" t="n">
        <v>7.40077015121696</v>
      </c>
      <c r="K174" s="9" t="n">
        <v>7.68449182659746</v>
      </c>
      <c r="L174" s="10" t="n">
        <f aca="false">K174-J174</f>
        <v>0.283721675380504</v>
      </c>
      <c r="M174" s="10" t="n">
        <f aca="false">IF(I174="higher",L174,-L174)</f>
        <v>-0.283721675380504</v>
      </c>
    </row>
    <row r="175" customFormat="false" ht="15" hidden="false" customHeight="false" outlineLevel="0" collapsed="false">
      <c r="A175" s="7" t="s">
        <v>48</v>
      </c>
      <c r="B175" s="7" t="s">
        <v>10</v>
      </c>
      <c r="C175" s="7" t="s">
        <v>49</v>
      </c>
      <c r="D175" s="7" t="s">
        <v>89</v>
      </c>
      <c r="E175" s="7" t="s">
        <v>51</v>
      </c>
      <c r="F175" s="8" t="b">
        <f aca="false">TRUE()</f>
        <v>1</v>
      </c>
      <c r="G175" s="7" t="s">
        <v>57</v>
      </c>
      <c r="H175" s="7" t="s">
        <v>58</v>
      </c>
      <c r="I175" s="7" t="s">
        <v>54</v>
      </c>
      <c r="J175" s="9" t="n">
        <v>2.87071432826034</v>
      </c>
      <c r="K175" s="9" t="n">
        <v>2.97191084637045</v>
      </c>
      <c r="L175" s="10" t="n">
        <f aca="false">K175-J175</f>
        <v>0.10119651811011</v>
      </c>
      <c r="M175" s="10" t="n">
        <f aca="false">IF(I175="higher",L175,-L175)</f>
        <v>-0.10119651811011</v>
      </c>
    </row>
    <row r="176" customFormat="false" ht="15" hidden="false" customHeight="false" outlineLevel="0" collapsed="false">
      <c r="A176" s="7" t="s">
        <v>48</v>
      </c>
      <c r="B176" s="7" t="s">
        <v>10</v>
      </c>
      <c r="C176" s="7" t="s">
        <v>49</v>
      </c>
      <c r="D176" s="7" t="s">
        <v>89</v>
      </c>
      <c r="E176" s="7" t="s">
        <v>51</v>
      </c>
      <c r="F176" s="8" t="b">
        <f aca="false">TRUE()</f>
        <v>1</v>
      </c>
      <c r="G176" s="7" t="s">
        <v>59</v>
      </c>
      <c r="H176" s="7" t="s">
        <v>60</v>
      </c>
      <c r="I176" s="7" t="s">
        <v>54</v>
      </c>
      <c r="J176" s="9" t="n">
        <v>0.0801076144766328</v>
      </c>
      <c r="K176" s="9" t="n">
        <v>0.0748552420230094</v>
      </c>
      <c r="L176" s="10" t="n">
        <f aca="false">K176-J176</f>
        <v>-0.00525237245362339</v>
      </c>
      <c r="M176" s="10" t="n">
        <f aca="false">IF(I176="higher",L176,-L176)</f>
        <v>0.00525237245362339</v>
      </c>
    </row>
    <row r="177" customFormat="false" ht="15" hidden="false" customHeight="false" outlineLevel="0" collapsed="false">
      <c r="A177" s="7" t="s">
        <v>48</v>
      </c>
      <c r="B177" s="7" t="s">
        <v>10</v>
      </c>
      <c r="C177" s="7" t="s">
        <v>49</v>
      </c>
      <c r="D177" s="7" t="s">
        <v>89</v>
      </c>
      <c r="E177" s="7" t="s">
        <v>51</v>
      </c>
      <c r="F177" s="8" t="b">
        <f aca="false">TRUE()</f>
        <v>1</v>
      </c>
      <c r="G177" s="7" t="s">
        <v>61</v>
      </c>
      <c r="H177" s="7" t="s">
        <v>62</v>
      </c>
      <c r="I177" s="7" t="s">
        <v>54</v>
      </c>
      <c r="J177" s="9" t="n">
        <v>8.36574808224468</v>
      </c>
      <c r="K177" s="9" t="n">
        <v>12.2971898370632</v>
      </c>
      <c r="L177" s="10" t="n">
        <f aca="false">K177-J177</f>
        <v>3.93144175481852</v>
      </c>
      <c r="M177" s="10" t="n">
        <f aca="false">IF(I177="higher",L177,-L177)</f>
        <v>-3.93144175481852</v>
      </c>
    </row>
    <row r="178" customFormat="false" ht="15" hidden="false" customHeight="false" outlineLevel="0" collapsed="false">
      <c r="A178" s="7" t="s">
        <v>48</v>
      </c>
      <c r="B178" s="7" t="s">
        <v>10</v>
      </c>
      <c r="C178" s="7" t="s">
        <v>49</v>
      </c>
      <c r="D178" s="7" t="s">
        <v>89</v>
      </c>
      <c r="E178" s="7" t="s">
        <v>51</v>
      </c>
      <c r="F178" s="8" t="b">
        <f aca="false">TRUE()</f>
        <v>1</v>
      </c>
      <c r="G178" s="7" t="s">
        <v>63</v>
      </c>
      <c r="H178" s="7" t="s">
        <v>64</v>
      </c>
      <c r="I178" s="7" t="s">
        <v>54</v>
      </c>
      <c r="J178" s="9" t="n">
        <v>7.13409847565149</v>
      </c>
      <c r="K178" s="9" t="n">
        <v>6.97574248084369</v>
      </c>
      <c r="L178" s="10" t="n">
        <f aca="false">K178-J178</f>
        <v>-0.158355994807803</v>
      </c>
      <c r="M178" s="10" t="n">
        <f aca="false">IF(I178="higher",L178,-L178)</f>
        <v>0.158355994807803</v>
      </c>
    </row>
    <row r="179" customFormat="false" ht="15" hidden="false" customHeight="false" outlineLevel="0" collapsed="false">
      <c r="A179" s="7" t="s">
        <v>48</v>
      </c>
      <c r="B179" s="7" t="s">
        <v>10</v>
      </c>
      <c r="C179" s="7" t="s">
        <v>49</v>
      </c>
      <c r="D179" s="7" t="s">
        <v>89</v>
      </c>
      <c r="E179" s="7" t="s">
        <v>51</v>
      </c>
      <c r="F179" s="8" t="b">
        <f aca="false">TRUE()</f>
        <v>1</v>
      </c>
      <c r="G179" s="7" t="s">
        <v>65</v>
      </c>
      <c r="H179" s="7" t="s">
        <v>66</v>
      </c>
      <c r="I179" s="7" t="s">
        <v>54</v>
      </c>
      <c r="J179" s="9" t="n">
        <v>9.12608433770638</v>
      </c>
      <c r="K179" s="9" t="n">
        <v>11.6294700182978</v>
      </c>
      <c r="L179" s="10" t="n">
        <f aca="false">K179-J179</f>
        <v>2.50338568059146</v>
      </c>
      <c r="M179" s="10" t="n">
        <f aca="false">IF(I179="higher",L179,-L179)</f>
        <v>-2.50338568059146</v>
      </c>
    </row>
    <row r="180" customFormat="false" ht="15" hidden="false" customHeight="false" outlineLevel="0" collapsed="false">
      <c r="A180" s="7" t="s">
        <v>48</v>
      </c>
      <c r="B180" s="7" t="s">
        <v>10</v>
      </c>
      <c r="C180" s="7" t="s">
        <v>49</v>
      </c>
      <c r="D180" s="7" t="s">
        <v>89</v>
      </c>
      <c r="E180" s="7" t="s">
        <v>51</v>
      </c>
      <c r="F180" s="8" t="b">
        <f aca="false">TRUE()</f>
        <v>1</v>
      </c>
      <c r="G180" s="7" t="s">
        <v>67</v>
      </c>
      <c r="H180" s="7" t="s">
        <v>68</v>
      </c>
      <c r="I180" s="7" t="s">
        <v>54</v>
      </c>
      <c r="J180" s="9" t="n">
        <v>13.6925125903131</v>
      </c>
      <c r="K180" s="9" t="n">
        <v>13.018311344865</v>
      </c>
      <c r="L180" s="10" t="n">
        <f aca="false">K180-J180</f>
        <v>-0.674201245448099</v>
      </c>
      <c r="M180" s="10" t="n">
        <f aca="false">IF(I180="higher",L180,-L180)</f>
        <v>0.674201245448099</v>
      </c>
    </row>
    <row r="181" customFormat="false" ht="15" hidden="false" customHeight="false" outlineLevel="0" collapsed="false">
      <c r="A181" s="7" t="s">
        <v>48</v>
      </c>
      <c r="B181" s="7" t="s">
        <v>10</v>
      </c>
      <c r="C181" s="7" t="s">
        <v>49</v>
      </c>
      <c r="D181" s="7" t="s">
        <v>89</v>
      </c>
      <c r="E181" s="7" t="s">
        <v>51</v>
      </c>
      <c r="F181" s="8" t="b">
        <f aca="false">TRUE()</f>
        <v>1</v>
      </c>
      <c r="G181" s="7" t="s">
        <v>69</v>
      </c>
      <c r="H181" s="7" t="s">
        <v>70</v>
      </c>
      <c r="I181" s="7" t="s">
        <v>71</v>
      </c>
      <c r="J181" s="9" t="n">
        <v>0.602941176470588</v>
      </c>
      <c r="K181" s="9" t="n">
        <v>0.676470588235294</v>
      </c>
      <c r="L181" s="10" t="n">
        <f aca="false">K181-J181</f>
        <v>0.073529411764706</v>
      </c>
      <c r="M181" s="10" t="n">
        <f aca="false">IF(I181="higher",L181,-L181)</f>
        <v>0.073529411764706</v>
      </c>
    </row>
    <row r="182" customFormat="false" ht="15" hidden="false" customHeight="false" outlineLevel="0" collapsed="false">
      <c r="A182" s="7" t="s">
        <v>48</v>
      </c>
      <c r="B182" s="7" t="s">
        <v>10</v>
      </c>
      <c r="C182" s="7" t="s">
        <v>49</v>
      </c>
      <c r="D182" s="7" t="s">
        <v>89</v>
      </c>
      <c r="E182" s="7" t="s">
        <v>51</v>
      </c>
      <c r="F182" s="8" t="b">
        <f aca="false">TRUE()</f>
        <v>1</v>
      </c>
      <c r="G182" s="7" t="s">
        <v>72</v>
      </c>
      <c r="H182" s="7" t="s">
        <v>73</v>
      </c>
      <c r="I182" s="7" t="s">
        <v>71</v>
      </c>
      <c r="J182" s="9" t="n">
        <v>0.838235294117647</v>
      </c>
      <c r="K182" s="9" t="n">
        <v>0.838235294117647</v>
      </c>
      <c r="L182" s="10" t="n">
        <f aca="false">K182-J182</f>
        <v>0</v>
      </c>
      <c r="M182" s="10" t="n">
        <f aca="false">IF(I182="higher",L182,-L182)</f>
        <v>0</v>
      </c>
    </row>
    <row r="183" customFormat="false" ht="15" hidden="false" customHeight="false" outlineLevel="0" collapsed="false">
      <c r="A183" s="7" t="s">
        <v>48</v>
      </c>
      <c r="B183" s="7" t="s">
        <v>10</v>
      </c>
      <c r="C183" s="7" t="s">
        <v>49</v>
      </c>
      <c r="D183" s="7" t="s">
        <v>89</v>
      </c>
      <c r="E183" s="7" t="s">
        <v>51</v>
      </c>
      <c r="F183" s="8" t="b">
        <f aca="false">TRUE()</f>
        <v>1</v>
      </c>
      <c r="G183" s="7" t="s">
        <v>74</v>
      </c>
      <c r="H183" s="7" t="s">
        <v>75</v>
      </c>
      <c r="I183" s="7" t="s">
        <v>54</v>
      </c>
      <c r="J183" s="9" t="n">
        <v>0.64</v>
      </c>
      <c r="K183" s="9" t="n">
        <v>0.56</v>
      </c>
      <c r="L183" s="10" t="n">
        <f aca="false">K183-J183</f>
        <v>-0.08</v>
      </c>
      <c r="M183" s="10" t="n">
        <f aca="false">IF(I183="higher",L183,-L183)</f>
        <v>0.08</v>
      </c>
    </row>
    <row r="184" customFormat="false" ht="15" hidden="false" customHeight="false" outlineLevel="0" collapsed="false">
      <c r="A184" s="7" t="s">
        <v>48</v>
      </c>
      <c r="B184" s="7" t="s">
        <v>10</v>
      </c>
      <c r="C184" s="7" t="s">
        <v>49</v>
      </c>
      <c r="D184" s="7" t="s">
        <v>89</v>
      </c>
      <c r="E184" s="7" t="s">
        <v>51</v>
      </c>
      <c r="F184" s="8" t="b">
        <f aca="false">TRUE()</f>
        <v>1</v>
      </c>
      <c r="G184" s="7" t="s">
        <v>76</v>
      </c>
      <c r="H184" s="7" t="s">
        <v>77</v>
      </c>
      <c r="I184" s="7" t="s">
        <v>54</v>
      </c>
      <c r="J184" s="9" t="n">
        <v>0.163636363636364</v>
      </c>
      <c r="K184" s="9" t="n">
        <v>0.163636363636364</v>
      </c>
      <c r="L184" s="10" t="n">
        <f aca="false">K184-J184</f>
        <v>0</v>
      </c>
      <c r="M184" s="10" t="n">
        <f aca="false">IF(I184="higher",L184,-L184)</f>
        <v>-0</v>
      </c>
    </row>
    <row r="185" customFormat="false" ht="15" hidden="false" customHeight="false" outlineLevel="0" collapsed="false">
      <c r="A185" s="7" t="s">
        <v>48</v>
      </c>
      <c r="B185" s="7" t="s">
        <v>10</v>
      </c>
      <c r="C185" s="7" t="s">
        <v>49</v>
      </c>
      <c r="D185" s="7" t="s">
        <v>89</v>
      </c>
      <c r="E185" s="7" t="s">
        <v>51</v>
      </c>
      <c r="F185" s="8" t="b">
        <f aca="false">TRUE()</f>
        <v>1</v>
      </c>
      <c r="G185" s="7" t="s">
        <v>78</v>
      </c>
      <c r="H185" s="7" t="s">
        <v>79</v>
      </c>
      <c r="I185" s="7" t="s">
        <v>54</v>
      </c>
      <c r="J185" s="9" t="n">
        <v>0</v>
      </c>
      <c r="K185" s="9" t="n">
        <v>0</v>
      </c>
      <c r="L185" s="10" t="n">
        <f aca="false">K185-J185</f>
        <v>0</v>
      </c>
      <c r="M185" s="10" t="n">
        <f aca="false">IF(I185="higher",L185,-L185)</f>
        <v>-0</v>
      </c>
    </row>
    <row r="186" customFormat="false" ht="15" hidden="false" customHeight="false" outlineLevel="0" collapsed="false">
      <c r="A186" s="7" t="s">
        <v>48</v>
      </c>
      <c r="B186" s="7" t="s">
        <v>10</v>
      </c>
      <c r="C186" s="7" t="s">
        <v>49</v>
      </c>
      <c r="D186" s="7" t="s">
        <v>89</v>
      </c>
      <c r="E186" s="7" t="s">
        <v>51</v>
      </c>
      <c r="F186" s="8" t="b">
        <f aca="false">TRUE()</f>
        <v>1</v>
      </c>
      <c r="G186" s="7" t="s">
        <v>80</v>
      </c>
      <c r="H186" s="7" t="s">
        <v>81</v>
      </c>
      <c r="I186" s="7" t="s">
        <v>54</v>
      </c>
      <c r="J186" s="9" t="n">
        <v>0</v>
      </c>
      <c r="K186" s="9" t="n">
        <v>0</v>
      </c>
      <c r="L186" s="10" t="n">
        <f aca="false">K186-J186</f>
        <v>0</v>
      </c>
      <c r="M186" s="10" t="n">
        <f aca="false">IF(I186="higher",L186,-L186)</f>
        <v>-0</v>
      </c>
    </row>
    <row r="187" customFormat="false" ht="15" hidden="false" customHeight="false" outlineLevel="0" collapsed="false">
      <c r="A187" s="7" t="s">
        <v>82</v>
      </c>
      <c r="B187" s="7" t="s">
        <v>83</v>
      </c>
      <c r="C187" s="7" t="s">
        <v>49</v>
      </c>
      <c r="D187" s="7" t="s">
        <v>89</v>
      </c>
      <c r="E187" s="7" t="s">
        <v>51</v>
      </c>
      <c r="F187" s="8" t="b">
        <f aca="false">TRUE()</f>
        <v>1</v>
      </c>
      <c r="G187" s="7" t="s">
        <v>52</v>
      </c>
      <c r="H187" s="7" t="s">
        <v>53</v>
      </c>
      <c r="I187" s="7" t="s">
        <v>54</v>
      </c>
      <c r="J187" s="9" t="n">
        <v>3.19232297369773</v>
      </c>
      <c r="K187" s="9" t="n">
        <v>3.31180988139504</v>
      </c>
      <c r="L187" s="10" t="n">
        <f aca="false">K187-J187</f>
        <v>0.119486907697309</v>
      </c>
      <c r="M187" s="10" t="n">
        <f aca="false">IF(I187="higher",L187,-L187)</f>
        <v>-0.119486907697309</v>
      </c>
    </row>
    <row r="188" customFormat="false" ht="15" hidden="false" customHeight="false" outlineLevel="0" collapsed="false">
      <c r="A188" s="7" t="s">
        <v>82</v>
      </c>
      <c r="B188" s="7" t="s">
        <v>83</v>
      </c>
      <c r="C188" s="7" t="s">
        <v>49</v>
      </c>
      <c r="D188" s="7" t="s">
        <v>89</v>
      </c>
      <c r="E188" s="7" t="s">
        <v>51</v>
      </c>
      <c r="F188" s="8" t="b">
        <f aca="false">TRUE()</f>
        <v>1</v>
      </c>
      <c r="G188" s="7" t="s">
        <v>55</v>
      </c>
      <c r="H188" s="7" t="s">
        <v>56</v>
      </c>
      <c r="I188" s="7" t="s">
        <v>54</v>
      </c>
      <c r="J188" s="9" t="n">
        <v>7.26006264889374</v>
      </c>
      <c r="K188" s="9" t="n">
        <v>7.68449182659746</v>
      </c>
      <c r="L188" s="10" t="n">
        <f aca="false">K188-J188</f>
        <v>0.424429177703724</v>
      </c>
      <c r="M188" s="10" t="n">
        <f aca="false">IF(I188="higher",L188,-L188)</f>
        <v>-0.424429177703724</v>
      </c>
    </row>
    <row r="189" customFormat="false" ht="15" hidden="false" customHeight="false" outlineLevel="0" collapsed="false">
      <c r="A189" s="7" t="s">
        <v>82</v>
      </c>
      <c r="B189" s="7" t="s">
        <v>83</v>
      </c>
      <c r="C189" s="7" t="s">
        <v>49</v>
      </c>
      <c r="D189" s="7" t="s">
        <v>89</v>
      </c>
      <c r="E189" s="7" t="s">
        <v>51</v>
      </c>
      <c r="F189" s="8" t="b">
        <f aca="false">TRUE()</f>
        <v>1</v>
      </c>
      <c r="G189" s="7" t="s">
        <v>57</v>
      </c>
      <c r="H189" s="7" t="s">
        <v>58</v>
      </c>
      <c r="I189" s="7" t="s">
        <v>54</v>
      </c>
      <c r="J189" s="9" t="n">
        <v>2.83975765680084</v>
      </c>
      <c r="K189" s="9" t="n">
        <v>2.97191084637045</v>
      </c>
      <c r="L189" s="10" t="n">
        <f aca="false">K189-J189</f>
        <v>0.132153189569606</v>
      </c>
      <c r="M189" s="10" t="n">
        <f aca="false">IF(I189="higher",L189,-L189)</f>
        <v>-0.132153189569606</v>
      </c>
    </row>
    <row r="190" customFormat="false" ht="15" hidden="false" customHeight="false" outlineLevel="0" collapsed="false">
      <c r="A190" s="7" t="s">
        <v>82</v>
      </c>
      <c r="B190" s="7" t="s">
        <v>83</v>
      </c>
      <c r="C190" s="7" t="s">
        <v>49</v>
      </c>
      <c r="D190" s="7" t="s">
        <v>89</v>
      </c>
      <c r="E190" s="7" t="s">
        <v>51</v>
      </c>
      <c r="F190" s="8" t="b">
        <f aca="false">TRUE()</f>
        <v>1</v>
      </c>
      <c r="G190" s="7" t="s">
        <v>59</v>
      </c>
      <c r="H190" s="7" t="s">
        <v>60</v>
      </c>
      <c r="I190" s="7" t="s">
        <v>54</v>
      </c>
      <c r="J190" s="9" t="n">
        <v>0.0653182039074831</v>
      </c>
      <c r="K190" s="9" t="n">
        <v>0.0748552420230094</v>
      </c>
      <c r="L190" s="10" t="n">
        <f aca="false">K190-J190</f>
        <v>0.00953703811552628</v>
      </c>
      <c r="M190" s="10" t="n">
        <f aca="false">IF(I190="higher",L190,-L190)</f>
        <v>-0.00953703811552628</v>
      </c>
    </row>
    <row r="191" customFormat="false" ht="15" hidden="false" customHeight="false" outlineLevel="0" collapsed="false">
      <c r="A191" s="7" t="s">
        <v>82</v>
      </c>
      <c r="B191" s="7" t="s">
        <v>83</v>
      </c>
      <c r="C191" s="7" t="s">
        <v>49</v>
      </c>
      <c r="D191" s="7" t="s">
        <v>89</v>
      </c>
      <c r="E191" s="7" t="s">
        <v>51</v>
      </c>
      <c r="F191" s="8" t="b">
        <f aca="false">TRUE()</f>
        <v>1</v>
      </c>
      <c r="G191" s="7" t="s">
        <v>61</v>
      </c>
      <c r="H191" s="7" t="s">
        <v>62</v>
      </c>
      <c r="I191" s="7" t="s">
        <v>54</v>
      </c>
      <c r="J191" s="9" t="n">
        <v>10.0268911446351</v>
      </c>
      <c r="K191" s="9" t="n">
        <v>12.2971898370632</v>
      </c>
      <c r="L191" s="10" t="n">
        <f aca="false">K191-J191</f>
        <v>2.27029869242811</v>
      </c>
      <c r="M191" s="10" t="n">
        <f aca="false">IF(I191="higher",L191,-L191)</f>
        <v>-2.27029869242811</v>
      </c>
    </row>
    <row r="192" customFormat="false" ht="15" hidden="false" customHeight="false" outlineLevel="0" collapsed="false">
      <c r="A192" s="7" t="s">
        <v>82</v>
      </c>
      <c r="B192" s="7" t="s">
        <v>83</v>
      </c>
      <c r="C192" s="7" t="s">
        <v>49</v>
      </c>
      <c r="D192" s="7" t="s">
        <v>89</v>
      </c>
      <c r="E192" s="7" t="s">
        <v>51</v>
      </c>
      <c r="F192" s="8" t="b">
        <f aca="false">TRUE()</f>
        <v>1</v>
      </c>
      <c r="G192" s="7" t="s">
        <v>63</v>
      </c>
      <c r="H192" s="7" t="s">
        <v>64</v>
      </c>
      <c r="I192" s="7" t="s">
        <v>54</v>
      </c>
      <c r="J192" s="9" t="n">
        <v>6.10493111113806</v>
      </c>
      <c r="K192" s="9" t="n">
        <v>6.97574248084369</v>
      </c>
      <c r="L192" s="10" t="n">
        <f aca="false">K192-J192</f>
        <v>0.870811369705631</v>
      </c>
      <c r="M192" s="10" t="n">
        <f aca="false">IF(I192="higher",L192,-L192)</f>
        <v>-0.870811369705631</v>
      </c>
    </row>
    <row r="193" customFormat="false" ht="15" hidden="false" customHeight="false" outlineLevel="0" collapsed="false">
      <c r="A193" s="7" t="s">
        <v>82</v>
      </c>
      <c r="B193" s="7" t="s">
        <v>83</v>
      </c>
      <c r="C193" s="7" t="s">
        <v>49</v>
      </c>
      <c r="D193" s="7" t="s">
        <v>89</v>
      </c>
      <c r="E193" s="7" t="s">
        <v>51</v>
      </c>
      <c r="F193" s="8" t="b">
        <f aca="false">TRUE()</f>
        <v>1</v>
      </c>
      <c r="G193" s="7" t="s">
        <v>65</v>
      </c>
      <c r="H193" s="7" t="s">
        <v>66</v>
      </c>
      <c r="I193" s="7" t="s">
        <v>54</v>
      </c>
      <c r="J193" s="9" t="n">
        <v>9.68140752130415</v>
      </c>
      <c r="K193" s="9" t="n">
        <v>11.6294700182978</v>
      </c>
      <c r="L193" s="10" t="n">
        <f aca="false">K193-J193</f>
        <v>1.94806249699369</v>
      </c>
      <c r="M193" s="10" t="n">
        <f aca="false">IF(I193="higher",L193,-L193)</f>
        <v>-1.94806249699369</v>
      </c>
    </row>
    <row r="194" customFormat="false" ht="15" hidden="false" customHeight="false" outlineLevel="0" collapsed="false">
      <c r="A194" s="7" t="s">
        <v>82</v>
      </c>
      <c r="B194" s="7" t="s">
        <v>83</v>
      </c>
      <c r="C194" s="7" t="s">
        <v>49</v>
      </c>
      <c r="D194" s="7" t="s">
        <v>89</v>
      </c>
      <c r="E194" s="7" t="s">
        <v>51</v>
      </c>
      <c r="F194" s="8" t="b">
        <f aca="false">TRUE()</f>
        <v>1</v>
      </c>
      <c r="G194" s="7" t="s">
        <v>67</v>
      </c>
      <c r="H194" s="7" t="s">
        <v>68</v>
      </c>
      <c r="I194" s="7" t="s">
        <v>54</v>
      </c>
      <c r="J194" s="9" t="n">
        <v>13.8127810169872</v>
      </c>
      <c r="K194" s="9" t="n">
        <v>13.018311344865</v>
      </c>
      <c r="L194" s="10" t="n">
        <f aca="false">K194-J194</f>
        <v>-0.79446967212216</v>
      </c>
      <c r="M194" s="10" t="n">
        <f aca="false">IF(I194="higher",L194,-L194)</f>
        <v>0.79446967212216</v>
      </c>
    </row>
    <row r="195" customFormat="false" ht="15" hidden="false" customHeight="false" outlineLevel="0" collapsed="false">
      <c r="A195" s="7" t="s">
        <v>82</v>
      </c>
      <c r="B195" s="7" t="s">
        <v>83</v>
      </c>
      <c r="C195" s="7" t="s">
        <v>49</v>
      </c>
      <c r="D195" s="7" t="s">
        <v>89</v>
      </c>
      <c r="E195" s="7" t="s">
        <v>51</v>
      </c>
      <c r="F195" s="8" t="b">
        <f aca="false">TRUE()</f>
        <v>1</v>
      </c>
      <c r="G195" s="7" t="s">
        <v>69</v>
      </c>
      <c r="H195" s="7" t="s">
        <v>70</v>
      </c>
      <c r="I195" s="7" t="s">
        <v>71</v>
      </c>
      <c r="J195" s="9" t="n">
        <v>0.808823529411765</v>
      </c>
      <c r="K195" s="9" t="n">
        <v>0.676470588235294</v>
      </c>
      <c r="L195" s="10" t="n">
        <f aca="false">K195-J195</f>
        <v>-0.132352941176471</v>
      </c>
      <c r="M195" s="10" t="n">
        <f aca="false">IF(I195="higher",L195,-L195)</f>
        <v>-0.132352941176471</v>
      </c>
    </row>
    <row r="196" customFormat="false" ht="15" hidden="false" customHeight="false" outlineLevel="0" collapsed="false">
      <c r="A196" s="7" t="s">
        <v>82</v>
      </c>
      <c r="B196" s="7" t="s">
        <v>83</v>
      </c>
      <c r="C196" s="7" t="s">
        <v>49</v>
      </c>
      <c r="D196" s="7" t="s">
        <v>89</v>
      </c>
      <c r="E196" s="7" t="s">
        <v>51</v>
      </c>
      <c r="F196" s="8" t="b">
        <f aca="false">TRUE()</f>
        <v>1</v>
      </c>
      <c r="G196" s="7" t="s">
        <v>72</v>
      </c>
      <c r="H196" s="7" t="s">
        <v>73</v>
      </c>
      <c r="I196" s="7" t="s">
        <v>71</v>
      </c>
      <c r="J196" s="9" t="n">
        <v>0.838235294117647</v>
      </c>
      <c r="K196" s="9" t="n">
        <v>0.838235294117647</v>
      </c>
      <c r="L196" s="10" t="n">
        <f aca="false">K196-J196</f>
        <v>0</v>
      </c>
      <c r="M196" s="10" t="n">
        <f aca="false">IF(I196="higher",L196,-L196)</f>
        <v>0</v>
      </c>
    </row>
    <row r="197" customFormat="false" ht="15" hidden="false" customHeight="false" outlineLevel="0" collapsed="false">
      <c r="A197" s="7" t="s">
        <v>82</v>
      </c>
      <c r="B197" s="7" t="s">
        <v>83</v>
      </c>
      <c r="C197" s="7" t="s">
        <v>49</v>
      </c>
      <c r="D197" s="7" t="s">
        <v>89</v>
      </c>
      <c r="E197" s="7" t="s">
        <v>51</v>
      </c>
      <c r="F197" s="8" t="b">
        <f aca="false">TRUE()</f>
        <v>1</v>
      </c>
      <c r="G197" s="7" t="s">
        <v>74</v>
      </c>
      <c r="H197" s="7" t="s">
        <v>75</v>
      </c>
      <c r="I197" s="7" t="s">
        <v>54</v>
      </c>
      <c r="J197" s="9" t="n">
        <v>0.6</v>
      </c>
      <c r="K197" s="9" t="n">
        <v>0.56</v>
      </c>
      <c r="L197" s="10" t="n">
        <f aca="false">K197-J197</f>
        <v>-0.0399999999999999</v>
      </c>
      <c r="M197" s="10" t="n">
        <f aca="false">IF(I197="higher",L197,-L197)</f>
        <v>0.0399999999999999</v>
      </c>
    </row>
    <row r="198" customFormat="false" ht="15" hidden="false" customHeight="false" outlineLevel="0" collapsed="false">
      <c r="A198" s="7" t="s">
        <v>82</v>
      </c>
      <c r="B198" s="7" t="s">
        <v>83</v>
      </c>
      <c r="C198" s="7" t="s">
        <v>49</v>
      </c>
      <c r="D198" s="7" t="s">
        <v>89</v>
      </c>
      <c r="E198" s="7" t="s">
        <v>51</v>
      </c>
      <c r="F198" s="8" t="b">
        <f aca="false">TRUE()</f>
        <v>1</v>
      </c>
      <c r="G198" s="7" t="s">
        <v>76</v>
      </c>
      <c r="H198" s="7" t="s">
        <v>77</v>
      </c>
      <c r="I198" s="7" t="s">
        <v>54</v>
      </c>
      <c r="J198" s="9" t="n">
        <v>0.0363636363636364</v>
      </c>
      <c r="K198" s="9" t="n">
        <v>0.163636363636364</v>
      </c>
      <c r="L198" s="10" t="n">
        <f aca="false">K198-J198</f>
        <v>0.127272727272727</v>
      </c>
      <c r="M198" s="10" t="n">
        <f aca="false">IF(I198="higher",L198,-L198)</f>
        <v>-0.127272727272727</v>
      </c>
    </row>
    <row r="199" customFormat="false" ht="15" hidden="false" customHeight="false" outlineLevel="0" collapsed="false">
      <c r="A199" s="7" t="s">
        <v>82</v>
      </c>
      <c r="B199" s="7" t="s">
        <v>83</v>
      </c>
      <c r="C199" s="7" t="s">
        <v>49</v>
      </c>
      <c r="D199" s="7" t="s">
        <v>89</v>
      </c>
      <c r="E199" s="7" t="s">
        <v>51</v>
      </c>
      <c r="F199" s="8" t="b">
        <f aca="false">TRUE()</f>
        <v>1</v>
      </c>
      <c r="G199" s="7" t="s">
        <v>78</v>
      </c>
      <c r="H199" s="7" t="s">
        <v>79</v>
      </c>
      <c r="I199" s="7" t="s">
        <v>54</v>
      </c>
      <c r="J199" s="9" t="n">
        <v>0</v>
      </c>
      <c r="K199" s="9" t="n">
        <v>0</v>
      </c>
      <c r="L199" s="10" t="n">
        <f aca="false">K199-J199</f>
        <v>0</v>
      </c>
      <c r="M199" s="10" t="n">
        <f aca="false">IF(I199="higher",L199,-L199)</f>
        <v>-0</v>
      </c>
    </row>
    <row r="200" customFormat="false" ht="15" hidden="false" customHeight="false" outlineLevel="0" collapsed="false">
      <c r="A200" s="7" t="s">
        <v>82</v>
      </c>
      <c r="B200" s="7" t="s">
        <v>83</v>
      </c>
      <c r="C200" s="7" t="s">
        <v>49</v>
      </c>
      <c r="D200" s="7" t="s">
        <v>89</v>
      </c>
      <c r="E200" s="7" t="s">
        <v>51</v>
      </c>
      <c r="F200" s="8" t="b">
        <f aca="false">TRUE()</f>
        <v>1</v>
      </c>
      <c r="G200" s="7" t="s">
        <v>80</v>
      </c>
      <c r="H200" s="7" t="s">
        <v>81</v>
      </c>
      <c r="I200" s="7" t="s">
        <v>54</v>
      </c>
      <c r="J200" s="9" t="n">
        <v>0</v>
      </c>
      <c r="K200" s="9" t="n">
        <v>0</v>
      </c>
      <c r="L200" s="10" t="n">
        <f aca="false">K200-J200</f>
        <v>0</v>
      </c>
      <c r="M200" s="10" t="n">
        <f aca="false">IF(I200="higher",L200,-L200)</f>
        <v>-0</v>
      </c>
    </row>
    <row r="201" customFormat="false" ht="15" hidden="false" customHeight="false" outlineLevel="0" collapsed="false">
      <c r="A201" s="7" t="s">
        <v>48</v>
      </c>
      <c r="B201" s="7" t="s">
        <v>10</v>
      </c>
      <c r="C201" s="7" t="s">
        <v>49</v>
      </c>
      <c r="D201" s="7" t="s">
        <v>90</v>
      </c>
      <c r="E201" s="7" t="s">
        <v>91</v>
      </c>
      <c r="F201" s="8" t="b">
        <f aca="false">TRUE()</f>
        <v>1</v>
      </c>
      <c r="G201" s="7" t="s">
        <v>52</v>
      </c>
      <c r="H201" s="7" t="s">
        <v>53</v>
      </c>
      <c r="I201" s="7" t="s">
        <v>54</v>
      </c>
      <c r="J201" s="9" t="n">
        <v>4.96963996294855</v>
      </c>
      <c r="K201" s="9" t="n">
        <v>5.63277967439114</v>
      </c>
      <c r="L201" s="10" t="n">
        <f aca="false">K201-J201</f>
        <v>0.663139711442588</v>
      </c>
      <c r="M201" s="10" t="n">
        <f aca="false">IF(I201="higher",L201,-L201)</f>
        <v>-0.663139711442588</v>
      </c>
    </row>
    <row r="202" customFormat="false" ht="15" hidden="false" customHeight="false" outlineLevel="0" collapsed="false">
      <c r="A202" s="7" t="s">
        <v>48</v>
      </c>
      <c r="B202" s="7" t="s">
        <v>10</v>
      </c>
      <c r="C202" s="7" t="s">
        <v>49</v>
      </c>
      <c r="D202" s="7" t="s">
        <v>90</v>
      </c>
      <c r="E202" s="7" t="s">
        <v>91</v>
      </c>
      <c r="F202" s="8" t="b">
        <f aca="false">TRUE()</f>
        <v>1</v>
      </c>
      <c r="G202" s="7" t="s">
        <v>55</v>
      </c>
      <c r="H202" s="7" t="s">
        <v>56</v>
      </c>
      <c r="I202" s="7" t="s">
        <v>54</v>
      </c>
      <c r="J202" s="9" t="n">
        <v>9.99164570288978</v>
      </c>
      <c r="K202" s="9" t="n">
        <v>8.80393198943889</v>
      </c>
      <c r="L202" s="10" t="n">
        <f aca="false">K202-J202</f>
        <v>-1.1877137134509</v>
      </c>
      <c r="M202" s="10" t="n">
        <f aca="false">IF(I202="higher",L202,-L202)</f>
        <v>1.1877137134509</v>
      </c>
    </row>
    <row r="203" customFormat="false" ht="15" hidden="false" customHeight="false" outlineLevel="0" collapsed="false">
      <c r="A203" s="7" t="s">
        <v>48</v>
      </c>
      <c r="B203" s="7" t="s">
        <v>10</v>
      </c>
      <c r="C203" s="7" t="s">
        <v>49</v>
      </c>
      <c r="D203" s="7" t="s">
        <v>90</v>
      </c>
      <c r="E203" s="7" t="s">
        <v>91</v>
      </c>
      <c r="F203" s="8" t="b">
        <f aca="false">TRUE()</f>
        <v>1</v>
      </c>
      <c r="G203" s="7" t="s">
        <v>57</v>
      </c>
      <c r="H203" s="7" t="s">
        <v>58</v>
      </c>
      <c r="I203" s="7" t="s">
        <v>54</v>
      </c>
      <c r="J203" s="9" t="n">
        <v>4.27048867924926</v>
      </c>
      <c r="K203" s="9" t="n">
        <v>4.61279418973698</v>
      </c>
      <c r="L203" s="10" t="n">
        <f aca="false">K203-J203</f>
        <v>0.342305510487717</v>
      </c>
      <c r="M203" s="10" t="n">
        <f aca="false">IF(I203="higher",L203,-L203)</f>
        <v>-0.342305510487717</v>
      </c>
    </row>
    <row r="204" customFormat="false" ht="15" hidden="false" customHeight="false" outlineLevel="0" collapsed="false">
      <c r="A204" s="7" t="s">
        <v>48</v>
      </c>
      <c r="B204" s="7" t="s">
        <v>10</v>
      </c>
      <c r="C204" s="7" t="s">
        <v>49</v>
      </c>
      <c r="D204" s="7" t="s">
        <v>90</v>
      </c>
      <c r="E204" s="7" t="s">
        <v>91</v>
      </c>
      <c r="F204" s="8" t="b">
        <f aca="false">TRUE()</f>
        <v>1</v>
      </c>
      <c r="G204" s="7" t="s">
        <v>59</v>
      </c>
      <c r="H204" s="7" t="s">
        <v>60</v>
      </c>
      <c r="I204" s="7" t="s">
        <v>54</v>
      </c>
      <c r="J204" s="9" t="n">
        <v>0.140284904366363</v>
      </c>
      <c r="K204" s="9" t="n">
        <v>0.11383148336184</v>
      </c>
      <c r="L204" s="10" t="n">
        <f aca="false">K204-J204</f>
        <v>-0.0264534210045228</v>
      </c>
      <c r="M204" s="10" t="n">
        <f aca="false">IF(I204="higher",L204,-L204)</f>
        <v>0.0264534210045228</v>
      </c>
    </row>
    <row r="205" customFormat="false" ht="15" hidden="false" customHeight="false" outlineLevel="0" collapsed="false">
      <c r="A205" s="7" t="s">
        <v>48</v>
      </c>
      <c r="B205" s="7" t="s">
        <v>10</v>
      </c>
      <c r="C205" s="7" t="s">
        <v>49</v>
      </c>
      <c r="D205" s="7" t="s">
        <v>90</v>
      </c>
      <c r="E205" s="7" t="s">
        <v>91</v>
      </c>
      <c r="F205" s="8" t="b">
        <f aca="false">TRUE()</f>
        <v>1</v>
      </c>
      <c r="G205" s="7" t="s">
        <v>61</v>
      </c>
      <c r="H205" s="7" t="s">
        <v>62</v>
      </c>
      <c r="I205" s="7" t="s">
        <v>54</v>
      </c>
      <c r="J205" s="9" t="n">
        <v>10.4402677670031</v>
      </c>
      <c r="K205" s="9" t="n">
        <v>8.55354936958212</v>
      </c>
      <c r="L205" s="10" t="n">
        <f aca="false">K205-J205</f>
        <v>-1.88671839742101</v>
      </c>
      <c r="M205" s="10" t="n">
        <f aca="false">IF(I205="higher",L205,-L205)</f>
        <v>1.88671839742101</v>
      </c>
    </row>
    <row r="206" customFormat="false" ht="15" hidden="false" customHeight="false" outlineLevel="0" collapsed="false">
      <c r="A206" s="7" t="s">
        <v>48</v>
      </c>
      <c r="B206" s="7" t="s">
        <v>10</v>
      </c>
      <c r="C206" s="7" t="s">
        <v>49</v>
      </c>
      <c r="D206" s="7" t="s">
        <v>90</v>
      </c>
      <c r="E206" s="7" t="s">
        <v>91</v>
      </c>
      <c r="F206" s="8" t="b">
        <f aca="false">TRUE()</f>
        <v>1</v>
      </c>
      <c r="G206" s="7" t="s">
        <v>63</v>
      </c>
      <c r="H206" s="7" t="s">
        <v>64</v>
      </c>
      <c r="I206" s="7" t="s">
        <v>54</v>
      </c>
      <c r="J206" s="9" t="n">
        <v>8.86843432898189</v>
      </c>
      <c r="K206" s="9" t="n">
        <v>8.53581265506937</v>
      </c>
      <c r="L206" s="10" t="n">
        <f aca="false">K206-J206</f>
        <v>-0.33262167391252</v>
      </c>
      <c r="M206" s="10" t="n">
        <f aca="false">IF(I206="higher",L206,-L206)</f>
        <v>0.33262167391252</v>
      </c>
    </row>
    <row r="207" customFormat="false" ht="15" hidden="false" customHeight="false" outlineLevel="0" collapsed="false">
      <c r="A207" s="7" t="s">
        <v>48</v>
      </c>
      <c r="B207" s="7" t="s">
        <v>10</v>
      </c>
      <c r="C207" s="7" t="s">
        <v>49</v>
      </c>
      <c r="D207" s="7" t="s">
        <v>90</v>
      </c>
      <c r="E207" s="7" t="s">
        <v>91</v>
      </c>
      <c r="F207" s="8" t="b">
        <f aca="false">TRUE()</f>
        <v>1</v>
      </c>
      <c r="G207" s="7" t="s">
        <v>65</v>
      </c>
      <c r="H207" s="7" t="s">
        <v>66</v>
      </c>
      <c r="I207" s="7" t="s">
        <v>54</v>
      </c>
      <c r="J207" s="9" t="n">
        <v>12.35936775397</v>
      </c>
      <c r="K207" s="9" t="n">
        <v>10.534699672416</v>
      </c>
      <c r="L207" s="10" t="n">
        <f aca="false">K207-J207</f>
        <v>-1.82466808155402</v>
      </c>
      <c r="M207" s="10" t="n">
        <f aca="false">IF(I207="higher",L207,-L207)</f>
        <v>1.82466808155402</v>
      </c>
    </row>
    <row r="208" customFormat="false" ht="15" hidden="false" customHeight="false" outlineLevel="0" collapsed="false">
      <c r="A208" s="7" t="s">
        <v>48</v>
      </c>
      <c r="B208" s="7" t="s">
        <v>10</v>
      </c>
      <c r="C208" s="7" t="s">
        <v>49</v>
      </c>
      <c r="D208" s="7" t="s">
        <v>90</v>
      </c>
      <c r="E208" s="7" t="s">
        <v>91</v>
      </c>
      <c r="F208" s="8" t="b">
        <f aca="false">TRUE()</f>
        <v>1</v>
      </c>
      <c r="G208" s="7" t="s">
        <v>67</v>
      </c>
      <c r="H208" s="7" t="s">
        <v>68</v>
      </c>
      <c r="I208" s="7" t="s">
        <v>54</v>
      </c>
      <c r="J208" s="9" t="n">
        <v>12.8908775001264</v>
      </c>
      <c r="K208" s="9" t="n">
        <v>12.6264834537271</v>
      </c>
      <c r="L208" s="10" t="n">
        <f aca="false">K208-J208</f>
        <v>-0.2643940463993</v>
      </c>
      <c r="M208" s="10" t="n">
        <f aca="false">IF(I208="higher",L208,-L208)</f>
        <v>0.2643940463993</v>
      </c>
    </row>
    <row r="209" customFormat="false" ht="15" hidden="false" customHeight="false" outlineLevel="0" collapsed="false">
      <c r="A209" s="7" t="s">
        <v>48</v>
      </c>
      <c r="B209" s="7" t="s">
        <v>10</v>
      </c>
      <c r="C209" s="7" t="s">
        <v>49</v>
      </c>
      <c r="D209" s="7" t="s">
        <v>90</v>
      </c>
      <c r="E209" s="7" t="s">
        <v>91</v>
      </c>
      <c r="F209" s="8" t="b">
        <f aca="false">TRUE()</f>
        <v>1</v>
      </c>
      <c r="G209" s="7" t="s">
        <v>69</v>
      </c>
      <c r="H209" s="7" t="s">
        <v>70</v>
      </c>
      <c r="I209" s="7" t="s">
        <v>71</v>
      </c>
      <c r="J209" s="9" t="n">
        <v>0.693877551020408</v>
      </c>
      <c r="K209" s="9" t="n">
        <v>0.714285714285714</v>
      </c>
      <c r="L209" s="10" t="n">
        <f aca="false">K209-J209</f>
        <v>0.0204081632653061</v>
      </c>
      <c r="M209" s="10" t="n">
        <f aca="false">IF(I209="higher",L209,-L209)</f>
        <v>0.0204081632653061</v>
      </c>
    </row>
    <row r="210" customFormat="false" ht="15" hidden="false" customHeight="false" outlineLevel="0" collapsed="false">
      <c r="A210" s="7" t="s">
        <v>48</v>
      </c>
      <c r="B210" s="7" t="s">
        <v>10</v>
      </c>
      <c r="C210" s="7" t="s">
        <v>49</v>
      </c>
      <c r="D210" s="7" t="s">
        <v>90</v>
      </c>
      <c r="E210" s="7" t="s">
        <v>91</v>
      </c>
      <c r="F210" s="8" t="b">
        <f aca="false">TRUE()</f>
        <v>1</v>
      </c>
      <c r="G210" s="7" t="s">
        <v>72</v>
      </c>
      <c r="H210" s="7" t="s">
        <v>73</v>
      </c>
      <c r="I210" s="7" t="s">
        <v>71</v>
      </c>
      <c r="J210" s="9" t="n">
        <v>0.775510204081633</v>
      </c>
      <c r="K210" s="9" t="n">
        <v>0.755102040816326</v>
      </c>
      <c r="L210" s="10" t="n">
        <f aca="false">K210-J210</f>
        <v>-0.0204081632653061</v>
      </c>
      <c r="M210" s="10" t="n">
        <f aca="false">IF(I210="higher",L210,-L210)</f>
        <v>-0.0204081632653061</v>
      </c>
    </row>
    <row r="211" customFormat="false" ht="15" hidden="false" customHeight="false" outlineLevel="0" collapsed="false">
      <c r="A211" s="7" t="s">
        <v>48</v>
      </c>
      <c r="B211" s="7" t="s">
        <v>10</v>
      </c>
      <c r="C211" s="7" t="s">
        <v>49</v>
      </c>
      <c r="D211" s="7" t="s">
        <v>90</v>
      </c>
      <c r="E211" s="7" t="s">
        <v>91</v>
      </c>
      <c r="F211" s="8" t="b">
        <f aca="false">TRUE()</f>
        <v>1</v>
      </c>
      <c r="G211" s="7" t="s">
        <v>74</v>
      </c>
      <c r="H211" s="7" t="s">
        <v>75</v>
      </c>
      <c r="I211" s="7" t="s">
        <v>54</v>
      </c>
      <c r="J211" s="9" t="n">
        <v>0</v>
      </c>
      <c r="K211" s="9" t="n">
        <v>0</v>
      </c>
      <c r="L211" s="10" t="n">
        <f aca="false">K211-J211</f>
        <v>0</v>
      </c>
      <c r="M211" s="10" t="n">
        <f aca="false">IF(I211="higher",L211,-L211)</f>
        <v>-0</v>
      </c>
    </row>
    <row r="212" customFormat="false" ht="15" hidden="false" customHeight="false" outlineLevel="0" collapsed="false">
      <c r="A212" s="7" t="s">
        <v>48</v>
      </c>
      <c r="B212" s="7" t="s">
        <v>10</v>
      </c>
      <c r="C212" s="7" t="s">
        <v>49</v>
      </c>
      <c r="D212" s="7" t="s">
        <v>90</v>
      </c>
      <c r="E212" s="7" t="s">
        <v>91</v>
      </c>
      <c r="F212" s="8" t="b">
        <f aca="false">TRUE()</f>
        <v>1</v>
      </c>
      <c r="G212" s="7" t="s">
        <v>76</v>
      </c>
      <c r="H212" s="7" t="s">
        <v>77</v>
      </c>
      <c r="I212" s="7" t="s">
        <v>54</v>
      </c>
      <c r="J212" s="9" t="n">
        <v>0.0506329113924051</v>
      </c>
      <c r="K212" s="9" t="n">
        <v>0.0253164556962025</v>
      </c>
      <c r="L212" s="10" t="n">
        <f aca="false">K212-J212</f>
        <v>-0.0253164556962025</v>
      </c>
      <c r="M212" s="10" t="n">
        <f aca="false">IF(I212="higher",L212,-L212)</f>
        <v>0.0253164556962025</v>
      </c>
    </row>
    <row r="213" customFormat="false" ht="15" hidden="false" customHeight="false" outlineLevel="0" collapsed="false">
      <c r="A213" s="7" t="s">
        <v>48</v>
      </c>
      <c r="B213" s="7" t="s">
        <v>10</v>
      </c>
      <c r="C213" s="7" t="s">
        <v>49</v>
      </c>
      <c r="D213" s="7" t="s">
        <v>90</v>
      </c>
      <c r="E213" s="7" t="s">
        <v>91</v>
      </c>
      <c r="F213" s="8" t="b">
        <f aca="false">TRUE()</f>
        <v>1</v>
      </c>
      <c r="G213" s="7" t="s">
        <v>78</v>
      </c>
      <c r="H213" s="7" t="s">
        <v>79</v>
      </c>
      <c r="I213" s="7" t="s">
        <v>54</v>
      </c>
      <c r="J213" s="9" t="n">
        <v>0</v>
      </c>
      <c r="K213" s="9" t="n">
        <v>0</v>
      </c>
      <c r="L213" s="10" t="n">
        <f aca="false">K213-J213</f>
        <v>0</v>
      </c>
      <c r="M213" s="10" t="n">
        <f aca="false">IF(I213="higher",L213,-L213)</f>
        <v>-0</v>
      </c>
    </row>
    <row r="214" customFormat="false" ht="15" hidden="false" customHeight="false" outlineLevel="0" collapsed="false">
      <c r="A214" s="7" t="s">
        <v>48</v>
      </c>
      <c r="B214" s="7" t="s">
        <v>10</v>
      </c>
      <c r="C214" s="7" t="s">
        <v>49</v>
      </c>
      <c r="D214" s="7" t="s">
        <v>90</v>
      </c>
      <c r="E214" s="7" t="s">
        <v>91</v>
      </c>
      <c r="F214" s="8" t="b">
        <f aca="false">TRUE()</f>
        <v>1</v>
      </c>
      <c r="G214" s="7" t="s">
        <v>80</v>
      </c>
      <c r="H214" s="7" t="s">
        <v>81</v>
      </c>
      <c r="I214" s="7" t="s">
        <v>54</v>
      </c>
      <c r="J214" s="9" t="n">
        <v>0</v>
      </c>
      <c r="K214" s="9" t="n">
        <v>0</v>
      </c>
      <c r="L214" s="10" t="n">
        <f aca="false">K214-J214</f>
        <v>0</v>
      </c>
      <c r="M214" s="10" t="n">
        <f aca="false">IF(I214="higher",L214,-L214)</f>
        <v>-0</v>
      </c>
    </row>
    <row r="215" customFormat="false" ht="15" hidden="false" customHeight="false" outlineLevel="0" collapsed="false">
      <c r="A215" s="7" t="s">
        <v>82</v>
      </c>
      <c r="B215" s="7" t="s">
        <v>83</v>
      </c>
      <c r="C215" s="7" t="s">
        <v>49</v>
      </c>
      <c r="D215" s="7" t="s">
        <v>90</v>
      </c>
      <c r="E215" s="7" t="s">
        <v>91</v>
      </c>
      <c r="F215" s="8" t="b">
        <f aca="false">TRUE()</f>
        <v>1</v>
      </c>
      <c r="G215" s="7" t="s">
        <v>52</v>
      </c>
      <c r="H215" s="7" t="s">
        <v>53</v>
      </c>
      <c r="I215" s="7" t="s">
        <v>54</v>
      </c>
      <c r="J215" s="9" t="n">
        <v>5.26004338445045</v>
      </c>
      <c r="K215" s="9" t="n">
        <v>5.63277967439114</v>
      </c>
      <c r="L215" s="10" t="n">
        <f aca="false">K215-J215</f>
        <v>0.372736289940682</v>
      </c>
      <c r="M215" s="10" t="n">
        <f aca="false">IF(I215="higher",L215,-L215)</f>
        <v>-0.372736289940682</v>
      </c>
    </row>
    <row r="216" customFormat="false" ht="15" hidden="false" customHeight="false" outlineLevel="0" collapsed="false">
      <c r="A216" s="7" t="s">
        <v>82</v>
      </c>
      <c r="B216" s="7" t="s">
        <v>83</v>
      </c>
      <c r="C216" s="7" t="s">
        <v>49</v>
      </c>
      <c r="D216" s="7" t="s">
        <v>90</v>
      </c>
      <c r="E216" s="7" t="s">
        <v>91</v>
      </c>
      <c r="F216" s="8" t="b">
        <f aca="false">TRUE()</f>
        <v>1</v>
      </c>
      <c r="G216" s="7" t="s">
        <v>55</v>
      </c>
      <c r="H216" s="7" t="s">
        <v>56</v>
      </c>
      <c r="I216" s="7" t="s">
        <v>54</v>
      </c>
      <c r="J216" s="9" t="n">
        <v>10.0330569033744</v>
      </c>
      <c r="K216" s="9" t="n">
        <v>8.80393198943889</v>
      </c>
      <c r="L216" s="10" t="n">
        <f aca="false">K216-J216</f>
        <v>-1.22912491393548</v>
      </c>
      <c r="M216" s="10" t="n">
        <f aca="false">IF(I216="higher",L216,-L216)</f>
        <v>1.22912491393548</v>
      </c>
    </row>
    <row r="217" customFormat="false" ht="15" hidden="false" customHeight="false" outlineLevel="0" collapsed="false">
      <c r="A217" s="7" t="s">
        <v>82</v>
      </c>
      <c r="B217" s="7" t="s">
        <v>83</v>
      </c>
      <c r="C217" s="7" t="s">
        <v>49</v>
      </c>
      <c r="D217" s="7" t="s">
        <v>90</v>
      </c>
      <c r="E217" s="7" t="s">
        <v>91</v>
      </c>
      <c r="F217" s="8" t="b">
        <f aca="false">TRUE()</f>
        <v>1</v>
      </c>
      <c r="G217" s="7" t="s">
        <v>57</v>
      </c>
      <c r="H217" s="7" t="s">
        <v>58</v>
      </c>
      <c r="I217" s="7" t="s">
        <v>54</v>
      </c>
      <c r="J217" s="9" t="n">
        <v>6.11053813182119</v>
      </c>
      <c r="K217" s="9" t="n">
        <v>4.61279418973698</v>
      </c>
      <c r="L217" s="10" t="n">
        <f aca="false">K217-J217</f>
        <v>-1.49774394208421</v>
      </c>
      <c r="M217" s="10" t="n">
        <f aca="false">IF(I217="higher",L217,-L217)</f>
        <v>1.49774394208421</v>
      </c>
    </row>
    <row r="218" customFormat="false" ht="15" hidden="false" customHeight="false" outlineLevel="0" collapsed="false">
      <c r="A218" s="7" t="s">
        <v>82</v>
      </c>
      <c r="B218" s="7" t="s">
        <v>83</v>
      </c>
      <c r="C218" s="7" t="s">
        <v>49</v>
      </c>
      <c r="D218" s="7" t="s">
        <v>90</v>
      </c>
      <c r="E218" s="7" t="s">
        <v>91</v>
      </c>
      <c r="F218" s="8" t="b">
        <f aca="false">TRUE()</f>
        <v>1</v>
      </c>
      <c r="G218" s="7" t="s">
        <v>59</v>
      </c>
      <c r="H218" s="7" t="s">
        <v>60</v>
      </c>
      <c r="I218" s="7" t="s">
        <v>54</v>
      </c>
      <c r="J218" s="9" t="n">
        <v>0.103876514477906</v>
      </c>
      <c r="K218" s="9" t="n">
        <v>0.11383148336184</v>
      </c>
      <c r="L218" s="10" t="n">
        <f aca="false">K218-J218</f>
        <v>0.009954968883934</v>
      </c>
      <c r="M218" s="10" t="n">
        <f aca="false">IF(I218="higher",L218,-L218)</f>
        <v>-0.009954968883934</v>
      </c>
    </row>
    <row r="219" customFormat="false" ht="15" hidden="false" customHeight="false" outlineLevel="0" collapsed="false">
      <c r="A219" s="7" t="s">
        <v>82</v>
      </c>
      <c r="B219" s="7" t="s">
        <v>83</v>
      </c>
      <c r="C219" s="7" t="s">
        <v>49</v>
      </c>
      <c r="D219" s="7" t="s">
        <v>90</v>
      </c>
      <c r="E219" s="7" t="s">
        <v>91</v>
      </c>
      <c r="F219" s="8" t="b">
        <f aca="false">TRUE()</f>
        <v>1</v>
      </c>
      <c r="G219" s="7" t="s">
        <v>61</v>
      </c>
      <c r="H219" s="7" t="s">
        <v>62</v>
      </c>
      <c r="I219" s="7" t="s">
        <v>54</v>
      </c>
      <c r="J219" s="9" t="n">
        <v>11.5773996416302</v>
      </c>
      <c r="K219" s="9" t="n">
        <v>8.55354936958212</v>
      </c>
      <c r="L219" s="10" t="n">
        <f aca="false">K219-J219</f>
        <v>-3.02385027204805</v>
      </c>
      <c r="M219" s="10" t="n">
        <f aca="false">IF(I219="higher",L219,-L219)</f>
        <v>3.02385027204805</v>
      </c>
    </row>
    <row r="220" customFormat="false" ht="15" hidden="false" customHeight="false" outlineLevel="0" collapsed="false">
      <c r="A220" s="7" t="s">
        <v>82</v>
      </c>
      <c r="B220" s="7" t="s">
        <v>83</v>
      </c>
      <c r="C220" s="7" t="s">
        <v>49</v>
      </c>
      <c r="D220" s="7" t="s">
        <v>90</v>
      </c>
      <c r="E220" s="7" t="s">
        <v>91</v>
      </c>
      <c r="F220" s="8" t="b">
        <f aca="false">TRUE()</f>
        <v>1</v>
      </c>
      <c r="G220" s="7" t="s">
        <v>63</v>
      </c>
      <c r="H220" s="7" t="s">
        <v>64</v>
      </c>
      <c r="I220" s="7" t="s">
        <v>54</v>
      </c>
      <c r="J220" s="9" t="n">
        <v>9.61770386498901</v>
      </c>
      <c r="K220" s="9" t="n">
        <v>8.53581265506937</v>
      </c>
      <c r="L220" s="10" t="n">
        <f aca="false">K220-J220</f>
        <v>-1.08189120991964</v>
      </c>
      <c r="M220" s="10" t="n">
        <f aca="false">IF(I220="higher",L220,-L220)</f>
        <v>1.08189120991964</v>
      </c>
    </row>
    <row r="221" customFormat="false" ht="15" hidden="false" customHeight="false" outlineLevel="0" collapsed="false">
      <c r="A221" s="7" t="s">
        <v>82</v>
      </c>
      <c r="B221" s="7" t="s">
        <v>83</v>
      </c>
      <c r="C221" s="7" t="s">
        <v>49</v>
      </c>
      <c r="D221" s="7" t="s">
        <v>90</v>
      </c>
      <c r="E221" s="7" t="s">
        <v>91</v>
      </c>
      <c r="F221" s="8" t="b">
        <f aca="false">TRUE()</f>
        <v>1</v>
      </c>
      <c r="G221" s="7" t="s">
        <v>65</v>
      </c>
      <c r="H221" s="7" t="s">
        <v>66</v>
      </c>
      <c r="I221" s="7" t="s">
        <v>54</v>
      </c>
      <c r="J221" s="9" t="n">
        <v>12.4504693339912</v>
      </c>
      <c r="K221" s="9" t="n">
        <v>10.534699672416</v>
      </c>
      <c r="L221" s="10" t="n">
        <f aca="false">K221-J221</f>
        <v>-1.91576966157524</v>
      </c>
      <c r="M221" s="10" t="n">
        <f aca="false">IF(I221="higher",L221,-L221)</f>
        <v>1.91576966157524</v>
      </c>
    </row>
    <row r="222" customFormat="false" ht="15" hidden="false" customHeight="false" outlineLevel="0" collapsed="false">
      <c r="A222" s="7" t="s">
        <v>82</v>
      </c>
      <c r="B222" s="7" t="s">
        <v>83</v>
      </c>
      <c r="C222" s="7" t="s">
        <v>49</v>
      </c>
      <c r="D222" s="7" t="s">
        <v>90</v>
      </c>
      <c r="E222" s="7" t="s">
        <v>91</v>
      </c>
      <c r="F222" s="8" t="b">
        <f aca="false">TRUE()</f>
        <v>1</v>
      </c>
      <c r="G222" s="7" t="s">
        <v>67</v>
      </c>
      <c r="H222" s="7" t="s">
        <v>68</v>
      </c>
      <c r="I222" s="7" t="s">
        <v>54</v>
      </c>
      <c r="J222" s="9" t="n">
        <v>12.8339137939497</v>
      </c>
      <c r="K222" s="9" t="n">
        <v>12.6264834537271</v>
      </c>
      <c r="L222" s="10" t="n">
        <f aca="false">K222-J222</f>
        <v>-0.207430340222519</v>
      </c>
      <c r="M222" s="10" t="n">
        <f aca="false">IF(I222="higher",L222,-L222)</f>
        <v>0.207430340222519</v>
      </c>
    </row>
    <row r="223" customFormat="false" ht="15" hidden="false" customHeight="false" outlineLevel="0" collapsed="false">
      <c r="A223" s="7" t="s">
        <v>82</v>
      </c>
      <c r="B223" s="7" t="s">
        <v>83</v>
      </c>
      <c r="C223" s="7" t="s">
        <v>49</v>
      </c>
      <c r="D223" s="7" t="s">
        <v>90</v>
      </c>
      <c r="E223" s="7" t="s">
        <v>91</v>
      </c>
      <c r="F223" s="8" t="b">
        <f aca="false">TRUE()</f>
        <v>1</v>
      </c>
      <c r="G223" s="7" t="s">
        <v>69</v>
      </c>
      <c r="H223" s="7" t="s">
        <v>70</v>
      </c>
      <c r="I223" s="7" t="s">
        <v>71</v>
      </c>
      <c r="J223" s="9" t="n">
        <v>0.387755102040816</v>
      </c>
      <c r="K223" s="9" t="n">
        <v>0.714285714285714</v>
      </c>
      <c r="L223" s="10" t="n">
        <f aca="false">K223-J223</f>
        <v>0.326530612244898</v>
      </c>
      <c r="M223" s="10" t="n">
        <f aca="false">IF(I223="higher",L223,-L223)</f>
        <v>0.326530612244898</v>
      </c>
    </row>
    <row r="224" customFormat="false" ht="15" hidden="false" customHeight="false" outlineLevel="0" collapsed="false">
      <c r="A224" s="7" t="s">
        <v>82</v>
      </c>
      <c r="B224" s="7" t="s">
        <v>83</v>
      </c>
      <c r="C224" s="7" t="s">
        <v>49</v>
      </c>
      <c r="D224" s="7" t="s">
        <v>90</v>
      </c>
      <c r="E224" s="7" t="s">
        <v>91</v>
      </c>
      <c r="F224" s="8" t="b">
        <f aca="false">TRUE()</f>
        <v>1</v>
      </c>
      <c r="G224" s="7" t="s">
        <v>72</v>
      </c>
      <c r="H224" s="7" t="s">
        <v>73</v>
      </c>
      <c r="I224" s="7" t="s">
        <v>71</v>
      </c>
      <c r="J224" s="9" t="n">
        <v>0.857142857142857</v>
      </c>
      <c r="K224" s="9" t="n">
        <v>0.755102040816326</v>
      </c>
      <c r="L224" s="10" t="n">
        <f aca="false">K224-J224</f>
        <v>-0.102040816326531</v>
      </c>
      <c r="M224" s="10" t="n">
        <f aca="false">IF(I224="higher",L224,-L224)</f>
        <v>-0.102040816326531</v>
      </c>
    </row>
    <row r="225" customFormat="false" ht="15" hidden="false" customHeight="false" outlineLevel="0" collapsed="false">
      <c r="A225" s="7" t="s">
        <v>82</v>
      </c>
      <c r="B225" s="7" t="s">
        <v>83</v>
      </c>
      <c r="C225" s="7" t="s">
        <v>49</v>
      </c>
      <c r="D225" s="7" t="s">
        <v>90</v>
      </c>
      <c r="E225" s="7" t="s">
        <v>91</v>
      </c>
      <c r="F225" s="8" t="b">
        <f aca="false">TRUE()</f>
        <v>1</v>
      </c>
      <c r="G225" s="7" t="s">
        <v>74</v>
      </c>
      <c r="H225" s="7" t="s">
        <v>75</v>
      </c>
      <c r="I225" s="7" t="s">
        <v>54</v>
      </c>
      <c r="J225" s="9" t="n">
        <v>0.0714285714285714</v>
      </c>
      <c r="K225" s="9" t="n">
        <v>0</v>
      </c>
      <c r="L225" s="10" t="n">
        <f aca="false">K225-J225</f>
        <v>-0.0714285714285714</v>
      </c>
      <c r="M225" s="10" t="n">
        <f aca="false">IF(I225="higher",L225,-L225)</f>
        <v>0.0714285714285714</v>
      </c>
    </row>
    <row r="226" customFormat="false" ht="15" hidden="false" customHeight="false" outlineLevel="0" collapsed="false">
      <c r="A226" s="7" t="s">
        <v>82</v>
      </c>
      <c r="B226" s="7" t="s">
        <v>83</v>
      </c>
      <c r="C226" s="7" t="s">
        <v>49</v>
      </c>
      <c r="D226" s="7" t="s">
        <v>90</v>
      </c>
      <c r="E226" s="7" t="s">
        <v>91</v>
      </c>
      <c r="F226" s="8" t="b">
        <f aca="false">TRUE()</f>
        <v>1</v>
      </c>
      <c r="G226" s="7" t="s">
        <v>76</v>
      </c>
      <c r="H226" s="7" t="s">
        <v>77</v>
      </c>
      <c r="I226" s="7" t="s">
        <v>54</v>
      </c>
      <c r="J226" s="9" t="n">
        <v>0.30379746835443</v>
      </c>
      <c r="K226" s="9" t="n">
        <v>0.0253164556962025</v>
      </c>
      <c r="L226" s="10" t="n">
        <f aca="false">K226-J226</f>
        <v>-0.278481012658228</v>
      </c>
      <c r="M226" s="10" t="n">
        <f aca="false">IF(I226="higher",L226,-L226)</f>
        <v>0.278481012658228</v>
      </c>
    </row>
    <row r="227" customFormat="false" ht="15" hidden="false" customHeight="false" outlineLevel="0" collapsed="false">
      <c r="A227" s="7" t="s">
        <v>82</v>
      </c>
      <c r="B227" s="7" t="s">
        <v>83</v>
      </c>
      <c r="C227" s="7" t="s">
        <v>49</v>
      </c>
      <c r="D227" s="7" t="s">
        <v>90</v>
      </c>
      <c r="E227" s="7" t="s">
        <v>91</v>
      </c>
      <c r="F227" s="8" t="b">
        <f aca="false">TRUE()</f>
        <v>1</v>
      </c>
      <c r="G227" s="7" t="s">
        <v>78</v>
      </c>
      <c r="H227" s="7" t="s">
        <v>79</v>
      </c>
      <c r="I227" s="7" t="s">
        <v>54</v>
      </c>
      <c r="J227" s="9" t="n">
        <v>0.0379746835443038</v>
      </c>
      <c r="K227" s="9" t="n">
        <v>0</v>
      </c>
      <c r="L227" s="10" t="n">
        <f aca="false">K227-J227</f>
        <v>-0.0379746835443038</v>
      </c>
      <c r="M227" s="10" t="n">
        <f aca="false">IF(I227="higher",L227,-L227)</f>
        <v>0.0379746835443038</v>
      </c>
    </row>
    <row r="228" customFormat="false" ht="15" hidden="false" customHeight="false" outlineLevel="0" collapsed="false">
      <c r="A228" s="7" t="s">
        <v>82</v>
      </c>
      <c r="B228" s="7" t="s">
        <v>83</v>
      </c>
      <c r="C228" s="7" t="s">
        <v>49</v>
      </c>
      <c r="D228" s="7" t="s">
        <v>90</v>
      </c>
      <c r="E228" s="7" t="s">
        <v>91</v>
      </c>
      <c r="F228" s="8" t="b">
        <f aca="false">TRUE()</f>
        <v>1</v>
      </c>
      <c r="G228" s="7" t="s">
        <v>80</v>
      </c>
      <c r="H228" s="7" t="s">
        <v>81</v>
      </c>
      <c r="I228" s="7" t="s">
        <v>54</v>
      </c>
      <c r="J228" s="9" t="n">
        <v>0</v>
      </c>
      <c r="K228" s="9" t="n">
        <v>0</v>
      </c>
      <c r="L228" s="10" t="n">
        <f aca="false">K228-J228</f>
        <v>0</v>
      </c>
      <c r="M228" s="10" t="n">
        <f aca="false">IF(I228="higher",L228,-L228)</f>
        <v>-0</v>
      </c>
    </row>
    <row r="229" customFormat="false" ht="15" hidden="false" customHeight="false" outlineLevel="0" collapsed="false">
      <c r="A229" s="7" t="s">
        <v>48</v>
      </c>
      <c r="B229" s="7" t="s">
        <v>10</v>
      </c>
      <c r="C229" s="7" t="s">
        <v>49</v>
      </c>
      <c r="D229" s="7" t="s">
        <v>92</v>
      </c>
      <c r="E229" s="7" t="s">
        <v>91</v>
      </c>
      <c r="F229" s="8" t="b">
        <f aca="false">TRUE()</f>
        <v>1</v>
      </c>
      <c r="G229" s="7" t="s">
        <v>52</v>
      </c>
      <c r="H229" s="7" t="s">
        <v>53</v>
      </c>
      <c r="I229" s="7" t="s">
        <v>54</v>
      </c>
      <c r="J229" s="9" t="n">
        <v>6.52019630033408</v>
      </c>
      <c r="K229" s="9" t="n">
        <v>4.70808787707366</v>
      </c>
      <c r="L229" s="10" t="n">
        <f aca="false">K229-J229</f>
        <v>-1.81210842326042</v>
      </c>
      <c r="M229" s="10" t="n">
        <f aca="false">IF(I229="higher",L229,-L229)</f>
        <v>1.81210842326042</v>
      </c>
    </row>
    <row r="230" customFormat="false" ht="15" hidden="false" customHeight="false" outlineLevel="0" collapsed="false">
      <c r="A230" s="7" t="s">
        <v>48</v>
      </c>
      <c r="B230" s="7" t="s">
        <v>10</v>
      </c>
      <c r="C230" s="7" t="s">
        <v>49</v>
      </c>
      <c r="D230" s="7" t="s">
        <v>92</v>
      </c>
      <c r="E230" s="7" t="s">
        <v>91</v>
      </c>
      <c r="F230" s="8" t="b">
        <f aca="false">TRUE()</f>
        <v>1</v>
      </c>
      <c r="G230" s="7" t="s">
        <v>55</v>
      </c>
      <c r="H230" s="7" t="s">
        <v>56</v>
      </c>
      <c r="I230" s="7" t="s">
        <v>54</v>
      </c>
      <c r="J230" s="9" t="n">
        <v>12.6841855684371</v>
      </c>
      <c r="K230" s="9" t="n">
        <v>11.0255257514643</v>
      </c>
      <c r="L230" s="10" t="n">
        <f aca="false">K230-J230</f>
        <v>-1.65865981697282</v>
      </c>
      <c r="M230" s="10" t="n">
        <f aca="false">IF(I230="higher",L230,-L230)</f>
        <v>1.65865981697282</v>
      </c>
    </row>
    <row r="231" customFormat="false" ht="15" hidden="false" customHeight="false" outlineLevel="0" collapsed="false">
      <c r="A231" s="7" t="s">
        <v>48</v>
      </c>
      <c r="B231" s="7" t="s">
        <v>10</v>
      </c>
      <c r="C231" s="7" t="s">
        <v>49</v>
      </c>
      <c r="D231" s="7" t="s">
        <v>92</v>
      </c>
      <c r="E231" s="7" t="s">
        <v>91</v>
      </c>
      <c r="F231" s="8" t="b">
        <f aca="false">TRUE()</f>
        <v>1</v>
      </c>
      <c r="G231" s="7" t="s">
        <v>57</v>
      </c>
      <c r="H231" s="7" t="s">
        <v>58</v>
      </c>
      <c r="I231" s="7" t="s">
        <v>54</v>
      </c>
      <c r="J231" s="9" t="n">
        <v>3.77675807398714</v>
      </c>
      <c r="K231" s="9" t="n">
        <v>3.17484168570578</v>
      </c>
      <c r="L231" s="10" t="n">
        <f aca="false">K231-J231</f>
        <v>-0.601916388281358</v>
      </c>
      <c r="M231" s="10" t="n">
        <f aca="false">IF(I231="higher",L231,-L231)</f>
        <v>0.601916388281358</v>
      </c>
    </row>
    <row r="232" customFormat="false" ht="15" hidden="false" customHeight="false" outlineLevel="0" collapsed="false">
      <c r="A232" s="7" t="s">
        <v>48</v>
      </c>
      <c r="B232" s="7" t="s">
        <v>10</v>
      </c>
      <c r="C232" s="7" t="s">
        <v>49</v>
      </c>
      <c r="D232" s="7" t="s">
        <v>92</v>
      </c>
      <c r="E232" s="7" t="s">
        <v>91</v>
      </c>
      <c r="F232" s="8" t="b">
        <f aca="false">TRUE()</f>
        <v>1</v>
      </c>
      <c r="G232" s="7" t="s">
        <v>59</v>
      </c>
      <c r="H232" s="7" t="s">
        <v>60</v>
      </c>
      <c r="I232" s="7" t="s">
        <v>54</v>
      </c>
      <c r="J232" s="9" t="n">
        <v>0.130381208811936</v>
      </c>
      <c r="K232" s="9" t="n">
        <v>0.117351751839713</v>
      </c>
      <c r="L232" s="10" t="n">
        <f aca="false">K232-J232</f>
        <v>-0.0130294569722223</v>
      </c>
      <c r="M232" s="10" t="n">
        <f aca="false">IF(I232="higher",L232,-L232)</f>
        <v>0.0130294569722223</v>
      </c>
    </row>
    <row r="233" customFormat="false" ht="15" hidden="false" customHeight="false" outlineLevel="0" collapsed="false">
      <c r="A233" s="7" t="s">
        <v>48</v>
      </c>
      <c r="B233" s="7" t="s">
        <v>10</v>
      </c>
      <c r="C233" s="7" t="s">
        <v>49</v>
      </c>
      <c r="D233" s="7" t="s">
        <v>92</v>
      </c>
      <c r="E233" s="7" t="s">
        <v>91</v>
      </c>
      <c r="F233" s="8" t="b">
        <f aca="false">TRUE()</f>
        <v>1</v>
      </c>
      <c r="G233" s="7" t="s">
        <v>61</v>
      </c>
      <c r="H233" s="7" t="s">
        <v>62</v>
      </c>
      <c r="I233" s="7" t="s">
        <v>54</v>
      </c>
      <c r="J233" s="9" t="n">
        <v>14.2055821030038</v>
      </c>
      <c r="K233" s="9" t="n">
        <v>13.9126980087359</v>
      </c>
      <c r="L233" s="10" t="n">
        <f aca="false">K233-J233</f>
        <v>-0.29288409426789</v>
      </c>
      <c r="M233" s="10" t="n">
        <f aca="false">IF(I233="higher",L233,-L233)</f>
        <v>0.29288409426789</v>
      </c>
    </row>
    <row r="234" customFormat="false" ht="15" hidden="false" customHeight="false" outlineLevel="0" collapsed="false">
      <c r="A234" s="7" t="s">
        <v>48</v>
      </c>
      <c r="B234" s="7" t="s">
        <v>10</v>
      </c>
      <c r="C234" s="7" t="s">
        <v>49</v>
      </c>
      <c r="D234" s="7" t="s">
        <v>92</v>
      </c>
      <c r="E234" s="7" t="s">
        <v>91</v>
      </c>
      <c r="F234" s="8" t="b">
        <f aca="false">TRUE()</f>
        <v>1</v>
      </c>
      <c r="G234" s="7" t="s">
        <v>63</v>
      </c>
      <c r="H234" s="7" t="s">
        <v>64</v>
      </c>
      <c r="I234" s="7" t="s">
        <v>54</v>
      </c>
      <c r="J234" s="9" t="n">
        <v>13.5375061497274</v>
      </c>
      <c r="K234" s="9" t="n">
        <v>10.6252038564739</v>
      </c>
      <c r="L234" s="10" t="n">
        <f aca="false">K234-J234</f>
        <v>-2.91230229325355</v>
      </c>
      <c r="M234" s="10" t="n">
        <f aca="false">IF(I234="higher",L234,-L234)</f>
        <v>2.91230229325355</v>
      </c>
    </row>
    <row r="235" customFormat="false" ht="15" hidden="false" customHeight="false" outlineLevel="0" collapsed="false">
      <c r="A235" s="7" t="s">
        <v>48</v>
      </c>
      <c r="B235" s="7" t="s">
        <v>10</v>
      </c>
      <c r="C235" s="7" t="s">
        <v>49</v>
      </c>
      <c r="D235" s="7" t="s">
        <v>92</v>
      </c>
      <c r="E235" s="7" t="s">
        <v>91</v>
      </c>
      <c r="F235" s="8" t="b">
        <f aca="false">TRUE()</f>
        <v>1</v>
      </c>
      <c r="G235" s="7" t="s">
        <v>65</v>
      </c>
      <c r="H235" s="7" t="s">
        <v>66</v>
      </c>
      <c r="I235" s="7" t="s">
        <v>54</v>
      </c>
      <c r="J235" s="9" t="n">
        <v>14.7403597702732</v>
      </c>
      <c r="K235" s="9" t="n">
        <v>13.1471550993747</v>
      </c>
      <c r="L235" s="10" t="n">
        <f aca="false">K235-J235</f>
        <v>-1.59320467089856</v>
      </c>
      <c r="M235" s="10" t="n">
        <f aca="false">IF(I235="higher",L235,-L235)</f>
        <v>1.59320467089856</v>
      </c>
    </row>
    <row r="236" customFormat="false" ht="15" hidden="false" customHeight="false" outlineLevel="0" collapsed="false">
      <c r="A236" s="7" t="s">
        <v>48</v>
      </c>
      <c r="B236" s="7" t="s">
        <v>10</v>
      </c>
      <c r="C236" s="7" t="s">
        <v>49</v>
      </c>
      <c r="D236" s="7" t="s">
        <v>92</v>
      </c>
      <c r="E236" s="7" t="s">
        <v>91</v>
      </c>
      <c r="F236" s="8" t="b">
        <f aca="false">TRUE()</f>
        <v>1</v>
      </c>
      <c r="G236" s="7" t="s">
        <v>67</v>
      </c>
      <c r="H236" s="7" t="s">
        <v>68</v>
      </c>
      <c r="I236" s="7" t="s">
        <v>54</v>
      </c>
      <c r="J236" s="9" t="n">
        <v>20.2054800244609</v>
      </c>
      <c r="K236" s="9" t="n">
        <v>16.0861238406547</v>
      </c>
      <c r="L236" s="10" t="n">
        <f aca="false">K236-J236</f>
        <v>-4.11935618380625</v>
      </c>
      <c r="M236" s="10" t="n">
        <f aca="false">IF(I236="higher",L236,-L236)</f>
        <v>4.11935618380625</v>
      </c>
    </row>
    <row r="237" customFormat="false" ht="15" hidden="false" customHeight="false" outlineLevel="0" collapsed="false">
      <c r="A237" s="7" t="s">
        <v>48</v>
      </c>
      <c r="B237" s="7" t="s">
        <v>10</v>
      </c>
      <c r="C237" s="7" t="s">
        <v>49</v>
      </c>
      <c r="D237" s="7" t="s">
        <v>92</v>
      </c>
      <c r="E237" s="7" t="s">
        <v>91</v>
      </c>
      <c r="F237" s="8" t="b">
        <f aca="false">TRUE()</f>
        <v>1</v>
      </c>
      <c r="G237" s="7" t="s">
        <v>69</v>
      </c>
      <c r="H237" s="7" t="s">
        <v>70</v>
      </c>
      <c r="I237" s="7" t="s">
        <v>71</v>
      </c>
      <c r="J237" s="9" t="n">
        <v>0.591397849462366</v>
      </c>
      <c r="K237" s="9" t="n">
        <v>0.537634408602151</v>
      </c>
      <c r="L237" s="10" t="n">
        <f aca="false">K237-J237</f>
        <v>-0.0537634408602151</v>
      </c>
      <c r="M237" s="10" t="n">
        <f aca="false">IF(I237="higher",L237,-L237)</f>
        <v>-0.0537634408602151</v>
      </c>
    </row>
    <row r="238" customFormat="false" ht="15" hidden="false" customHeight="false" outlineLevel="0" collapsed="false">
      <c r="A238" s="7" t="s">
        <v>48</v>
      </c>
      <c r="B238" s="7" t="s">
        <v>10</v>
      </c>
      <c r="C238" s="7" t="s">
        <v>49</v>
      </c>
      <c r="D238" s="7" t="s">
        <v>92</v>
      </c>
      <c r="E238" s="7" t="s">
        <v>91</v>
      </c>
      <c r="F238" s="8" t="b">
        <f aca="false">TRUE()</f>
        <v>1</v>
      </c>
      <c r="G238" s="7" t="s">
        <v>72</v>
      </c>
      <c r="H238" s="7" t="s">
        <v>73</v>
      </c>
      <c r="I238" s="7" t="s">
        <v>71</v>
      </c>
      <c r="J238" s="9" t="n">
        <v>0.688172043010753</v>
      </c>
      <c r="K238" s="9" t="n">
        <v>0.559139784946237</v>
      </c>
      <c r="L238" s="10" t="n">
        <f aca="false">K238-J238</f>
        <v>-0.129032258064516</v>
      </c>
      <c r="M238" s="10" t="n">
        <f aca="false">IF(I238="higher",L238,-L238)</f>
        <v>-0.129032258064516</v>
      </c>
    </row>
    <row r="239" customFormat="false" ht="15" hidden="false" customHeight="false" outlineLevel="0" collapsed="false">
      <c r="A239" s="7" t="s">
        <v>48</v>
      </c>
      <c r="B239" s="7" t="s">
        <v>10</v>
      </c>
      <c r="C239" s="7" t="s">
        <v>49</v>
      </c>
      <c r="D239" s="7" t="s">
        <v>92</v>
      </c>
      <c r="E239" s="7" t="s">
        <v>91</v>
      </c>
      <c r="F239" s="8" t="b">
        <f aca="false">TRUE()</f>
        <v>1</v>
      </c>
      <c r="G239" s="7" t="s">
        <v>74</v>
      </c>
      <c r="H239" s="7" t="s">
        <v>75</v>
      </c>
      <c r="I239" s="7" t="s">
        <v>54</v>
      </c>
      <c r="J239" s="9" t="n">
        <v>0</v>
      </c>
      <c r="K239" s="9" t="n">
        <v>0</v>
      </c>
      <c r="L239" s="10" t="n">
        <f aca="false">K239-J239</f>
        <v>0</v>
      </c>
      <c r="M239" s="10" t="n">
        <f aca="false">IF(I239="higher",L239,-L239)</f>
        <v>-0</v>
      </c>
    </row>
    <row r="240" customFormat="false" ht="15" hidden="false" customHeight="false" outlineLevel="0" collapsed="false">
      <c r="A240" s="7" t="s">
        <v>48</v>
      </c>
      <c r="B240" s="7" t="s">
        <v>10</v>
      </c>
      <c r="C240" s="7" t="s">
        <v>49</v>
      </c>
      <c r="D240" s="7" t="s">
        <v>92</v>
      </c>
      <c r="E240" s="7" t="s">
        <v>91</v>
      </c>
      <c r="F240" s="8" t="b">
        <f aca="false">TRUE()</f>
        <v>1</v>
      </c>
      <c r="G240" s="7" t="s">
        <v>76</v>
      </c>
      <c r="H240" s="7" t="s">
        <v>77</v>
      </c>
      <c r="I240" s="7" t="s">
        <v>54</v>
      </c>
      <c r="J240" s="9" t="n">
        <v>0.0692307692307692</v>
      </c>
      <c r="K240" s="9" t="n">
        <v>0.0153846153846154</v>
      </c>
      <c r="L240" s="10" t="n">
        <f aca="false">K240-J240</f>
        <v>-0.0538461538461538</v>
      </c>
      <c r="M240" s="10" t="n">
        <f aca="false">IF(I240="higher",L240,-L240)</f>
        <v>0.0538461538461538</v>
      </c>
    </row>
    <row r="241" customFormat="false" ht="15" hidden="false" customHeight="false" outlineLevel="0" collapsed="false">
      <c r="A241" s="7" t="s">
        <v>48</v>
      </c>
      <c r="B241" s="7" t="s">
        <v>10</v>
      </c>
      <c r="C241" s="7" t="s">
        <v>49</v>
      </c>
      <c r="D241" s="7" t="s">
        <v>92</v>
      </c>
      <c r="E241" s="7" t="s">
        <v>91</v>
      </c>
      <c r="F241" s="8" t="b">
        <f aca="false">TRUE()</f>
        <v>1</v>
      </c>
      <c r="G241" s="7" t="s">
        <v>78</v>
      </c>
      <c r="H241" s="7" t="s">
        <v>79</v>
      </c>
      <c r="I241" s="7" t="s">
        <v>54</v>
      </c>
      <c r="J241" s="9" t="n">
        <v>0</v>
      </c>
      <c r="K241" s="9" t="n">
        <v>0</v>
      </c>
      <c r="L241" s="10" t="n">
        <f aca="false">K241-J241</f>
        <v>0</v>
      </c>
      <c r="M241" s="10" t="n">
        <f aca="false">IF(I241="higher",L241,-L241)</f>
        <v>-0</v>
      </c>
    </row>
    <row r="242" customFormat="false" ht="15" hidden="false" customHeight="false" outlineLevel="0" collapsed="false">
      <c r="A242" s="7" t="s">
        <v>48</v>
      </c>
      <c r="B242" s="7" t="s">
        <v>10</v>
      </c>
      <c r="C242" s="7" t="s">
        <v>49</v>
      </c>
      <c r="D242" s="7" t="s">
        <v>92</v>
      </c>
      <c r="E242" s="7" t="s">
        <v>91</v>
      </c>
      <c r="F242" s="8" t="b">
        <f aca="false">TRUE()</f>
        <v>1</v>
      </c>
      <c r="G242" s="7" t="s">
        <v>80</v>
      </c>
      <c r="H242" s="7" t="s">
        <v>81</v>
      </c>
      <c r="I242" s="7" t="s">
        <v>54</v>
      </c>
      <c r="J242" s="9" t="n">
        <v>0</v>
      </c>
      <c r="K242" s="9" t="n">
        <v>0</v>
      </c>
      <c r="L242" s="10" t="n">
        <f aca="false">K242-J242</f>
        <v>0</v>
      </c>
      <c r="M242" s="10" t="n">
        <f aca="false">IF(I242="higher",L242,-L242)</f>
        <v>-0</v>
      </c>
    </row>
    <row r="243" customFormat="false" ht="15" hidden="false" customHeight="false" outlineLevel="0" collapsed="false">
      <c r="A243" s="7" t="s">
        <v>82</v>
      </c>
      <c r="B243" s="7" t="s">
        <v>83</v>
      </c>
      <c r="C243" s="7" t="s">
        <v>49</v>
      </c>
      <c r="D243" s="7" t="s">
        <v>92</v>
      </c>
      <c r="E243" s="7" t="s">
        <v>91</v>
      </c>
      <c r="F243" s="8" t="b">
        <f aca="false">TRUE()</f>
        <v>1</v>
      </c>
      <c r="G243" s="7" t="s">
        <v>52</v>
      </c>
      <c r="H243" s="7" t="s">
        <v>53</v>
      </c>
      <c r="I243" s="7" t="s">
        <v>54</v>
      </c>
      <c r="J243" s="9" t="n">
        <v>4.79883800036291</v>
      </c>
      <c r="K243" s="9" t="n">
        <v>4.70808787707366</v>
      </c>
      <c r="L243" s="10" t="n">
        <f aca="false">K243-J243</f>
        <v>-0.0907501232892498</v>
      </c>
      <c r="M243" s="10" t="n">
        <f aca="false">IF(I243="higher",L243,-L243)</f>
        <v>0.0907501232892498</v>
      </c>
    </row>
    <row r="244" customFormat="false" ht="15" hidden="false" customHeight="false" outlineLevel="0" collapsed="false">
      <c r="A244" s="7" t="s">
        <v>82</v>
      </c>
      <c r="B244" s="7" t="s">
        <v>83</v>
      </c>
      <c r="C244" s="7" t="s">
        <v>49</v>
      </c>
      <c r="D244" s="7" t="s">
        <v>92</v>
      </c>
      <c r="E244" s="7" t="s">
        <v>91</v>
      </c>
      <c r="F244" s="8" t="b">
        <f aca="false">TRUE()</f>
        <v>1</v>
      </c>
      <c r="G244" s="7" t="s">
        <v>55</v>
      </c>
      <c r="H244" s="7" t="s">
        <v>56</v>
      </c>
      <c r="I244" s="7" t="s">
        <v>54</v>
      </c>
      <c r="J244" s="9" t="n">
        <v>11.5022879878224</v>
      </c>
      <c r="K244" s="9" t="n">
        <v>11.0255257514643</v>
      </c>
      <c r="L244" s="10" t="n">
        <f aca="false">K244-J244</f>
        <v>-0.476762236358091</v>
      </c>
      <c r="M244" s="10" t="n">
        <f aca="false">IF(I244="higher",L244,-L244)</f>
        <v>0.476762236358091</v>
      </c>
    </row>
    <row r="245" customFormat="false" ht="15" hidden="false" customHeight="false" outlineLevel="0" collapsed="false">
      <c r="A245" s="7" t="s">
        <v>82</v>
      </c>
      <c r="B245" s="7" t="s">
        <v>83</v>
      </c>
      <c r="C245" s="7" t="s">
        <v>49</v>
      </c>
      <c r="D245" s="7" t="s">
        <v>92</v>
      </c>
      <c r="E245" s="7" t="s">
        <v>91</v>
      </c>
      <c r="F245" s="8" t="b">
        <f aca="false">TRUE()</f>
        <v>1</v>
      </c>
      <c r="G245" s="7" t="s">
        <v>57</v>
      </c>
      <c r="H245" s="7" t="s">
        <v>58</v>
      </c>
      <c r="I245" s="7" t="s">
        <v>54</v>
      </c>
      <c r="J245" s="9" t="n">
        <v>4.4539512050324</v>
      </c>
      <c r="K245" s="9" t="n">
        <v>3.17484168570578</v>
      </c>
      <c r="L245" s="10" t="n">
        <f aca="false">K245-J245</f>
        <v>-1.27910951932662</v>
      </c>
      <c r="M245" s="10" t="n">
        <f aca="false">IF(I245="higher",L245,-L245)</f>
        <v>1.27910951932662</v>
      </c>
    </row>
    <row r="246" customFormat="false" ht="15" hidden="false" customHeight="false" outlineLevel="0" collapsed="false">
      <c r="A246" s="7" t="s">
        <v>82</v>
      </c>
      <c r="B246" s="7" t="s">
        <v>83</v>
      </c>
      <c r="C246" s="7" t="s">
        <v>49</v>
      </c>
      <c r="D246" s="7" t="s">
        <v>92</v>
      </c>
      <c r="E246" s="7" t="s">
        <v>91</v>
      </c>
      <c r="F246" s="8" t="b">
        <f aca="false">TRUE()</f>
        <v>1</v>
      </c>
      <c r="G246" s="7" t="s">
        <v>59</v>
      </c>
      <c r="H246" s="7" t="s">
        <v>60</v>
      </c>
      <c r="I246" s="7" t="s">
        <v>54</v>
      </c>
      <c r="J246" s="9" t="n">
        <v>0.121540658936634</v>
      </c>
      <c r="K246" s="9" t="n">
        <v>0.117351751839713</v>
      </c>
      <c r="L246" s="10" t="n">
        <f aca="false">K246-J246</f>
        <v>-0.00418890709692099</v>
      </c>
      <c r="M246" s="10" t="n">
        <f aca="false">IF(I246="higher",L246,-L246)</f>
        <v>0.00418890709692099</v>
      </c>
    </row>
    <row r="247" customFormat="false" ht="15" hidden="false" customHeight="false" outlineLevel="0" collapsed="false">
      <c r="A247" s="7" t="s">
        <v>82</v>
      </c>
      <c r="B247" s="7" t="s">
        <v>83</v>
      </c>
      <c r="C247" s="7" t="s">
        <v>49</v>
      </c>
      <c r="D247" s="7" t="s">
        <v>92</v>
      </c>
      <c r="E247" s="7" t="s">
        <v>91</v>
      </c>
      <c r="F247" s="8" t="b">
        <f aca="false">TRUE()</f>
        <v>1</v>
      </c>
      <c r="G247" s="7" t="s">
        <v>61</v>
      </c>
      <c r="H247" s="7" t="s">
        <v>62</v>
      </c>
      <c r="I247" s="7" t="s">
        <v>54</v>
      </c>
      <c r="J247" s="9" t="n">
        <v>15.7039373215824</v>
      </c>
      <c r="K247" s="9" t="n">
        <v>13.9126980087359</v>
      </c>
      <c r="L247" s="10" t="n">
        <f aca="false">K247-J247</f>
        <v>-1.7912393128465</v>
      </c>
      <c r="M247" s="10" t="n">
        <f aca="false">IF(I247="higher",L247,-L247)</f>
        <v>1.7912393128465</v>
      </c>
    </row>
    <row r="248" customFormat="false" ht="15" hidden="false" customHeight="false" outlineLevel="0" collapsed="false">
      <c r="A248" s="7" t="s">
        <v>82</v>
      </c>
      <c r="B248" s="7" t="s">
        <v>83</v>
      </c>
      <c r="C248" s="7" t="s">
        <v>49</v>
      </c>
      <c r="D248" s="7" t="s">
        <v>92</v>
      </c>
      <c r="E248" s="7" t="s">
        <v>91</v>
      </c>
      <c r="F248" s="8" t="b">
        <f aca="false">TRUE()</f>
        <v>1</v>
      </c>
      <c r="G248" s="7" t="s">
        <v>63</v>
      </c>
      <c r="H248" s="7" t="s">
        <v>64</v>
      </c>
      <c r="I248" s="7" t="s">
        <v>54</v>
      </c>
      <c r="J248" s="9" t="n">
        <v>11.7093718605022</v>
      </c>
      <c r="K248" s="9" t="n">
        <v>10.6252038564739</v>
      </c>
      <c r="L248" s="10" t="n">
        <f aca="false">K248-J248</f>
        <v>-1.08416800402836</v>
      </c>
      <c r="M248" s="10" t="n">
        <f aca="false">IF(I248="higher",L248,-L248)</f>
        <v>1.08416800402836</v>
      </c>
    </row>
    <row r="249" customFormat="false" ht="15" hidden="false" customHeight="false" outlineLevel="0" collapsed="false">
      <c r="A249" s="7" t="s">
        <v>82</v>
      </c>
      <c r="B249" s="7" t="s">
        <v>83</v>
      </c>
      <c r="C249" s="7" t="s">
        <v>49</v>
      </c>
      <c r="D249" s="7" t="s">
        <v>92</v>
      </c>
      <c r="E249" s="7" t="s">
        <v>91</v>
      </c>
      <c r="F249" s="8" t="b">
        <f aca="false">TRUE()</f>
        <v>1</v>
      </c>
      <c r="G249" s="7" t="s">
        <v>65</v>
      </c>
      <c r="H249" s="7" t="s">
        <v>66</v>
      </c>
      <c r="I249" s="7" t="s">
        <v>54</v>
      </c>
      <c r="J249" s="9" t="n">
        <v>14.6773962803217</v>
      </c>
      <c r="K249" s="9" t="n">
        <v>13.1471550993747</v>
      </c>
      <c r="L249" s="10" t="n">
        <f aca="false">K249-J249</f>
        <v>-1.53024118094702</v>
      </c>
      <c r="M249" s="10" t="n">
        <f aca="false">IF(I249="higher",L249,-L249)</f>
        <v>1.53024118094702</v>
      </c>
    </row>
    <row r="250" customFormat="false" ht="15" hidden="false" customHeight="false" outlineLevel="0" collapsed="false">
      <c r="A250" s="7" t="s">
        <v>82</v>
      </c>
      <c r="B250" s="7" t="s">
        <v>83</v>
      </c>
      <c r="C250" s="7" t="s">
        <v>49</v>
      </c>
      <c r="D250" s="7" t="s">
        <v>92</v>
      </c>
      <c r="E250" s="7" t="s">
        <v>91</v>
      </c>
      <c r="F250" s="8" t="b">
        <f aca="false">TRUE()</f>
        <v>1</v>
      </c>
      <c r="G250" s="7" t="s">
        <v>67</v>
      </c>
      <c r="H250" s="7" t="s">
        <v>68</v>
      </c>
      <c r="I250" s="7" t="s">
        <v>54</v>
      </c>
      <c r="J250" s="9" t="n">
        <v>18.5797644287358</v>
      </c>
      <c r="K250" s="9" t="n">
        <v>16.0861238406547</v>
      </c>
      <c r="L250" s="10" t="n">
        <f aca="false">K250-J250</f>
        <v>-2.49364058808111</v>
      </c>
      <c r="M250" s="10" t="n">
        <f aca="false">IF(I250="higher",L250,-L250)</f>
        <v>2.49364058808111</v>
      </c>
    </row>
    <row r="251" customFormat="false" ht="15" hidden="false" customHeight="false" outlineLevel="0" collapsed="false">
      <c r="A251" s="7" t="s">
        <v>82</v>
      </c>
      <c r="B251" s="7" t="s">
        <v>83</v>
      </c>
      <c r="C251" s="7" t="s">
        <v>49</v>
      </c>
      <c r="D251" s="7" t="s">
        <v>92</v>
      </c>
      <c r="E251" s="7" t="s">
        <v>91</v>
      </c>
      <c r="F251" s="8" t="b">
        <f aca="false">TRUE()</f>
        <v>1</v>
      </c>
      <c r="G251" s="7" t="s">
        <v>69</v>
      </c>
      <c r="H251" s="7" t="s">
        <v>70</v>
      </c>
      <c r="I251" s="7" t="s">
        <v>71</v>
      </c>
      <c r="J251" s="9" t="n">
        <v>0.537634408602151</v>
      </c>
      <c r="K251" s="9" t="n">
        <v>0.537634408602151</v>
      </c>
      <c r="L251" s="10" t="n">
        <f aca="false">K251-J251</f>
        <v>0</v>
      </c>
      <c r="M251" s="10" t="n">
        <f aca="false">IF(I251="higher",L251,-L251)</f>
        <v>0</v>
      </c>
    </row>
    <row r="252" customFormat="false" ht="15" hidden="false" customHeight="false" outlineLevel="0" collapsed="false">
      <c r="A252" s="7" t="s">
        <v>82</v>
      </c>
      <c r="B252" s="7" t="s">
        <v>83</v>
      </c>
      <c r="C252" s="7" t="s">
        <v>49</v>
      </c>
      <c r="D252" s="7" t="s">
        <v>92</v>
      </c>
      <c r="E252" s="7" t="s">
        <v>91</v>
      </c>
      <c r="F252" s="8" t="b">
        <f aca="false">TRUE()</f>
        <v>1</v>
      </c>
      <c r="G252" s="7" t="s">
        <v>72</v>
      </c>
      <c r="H252" s="7" t="s">
        <v>73</v>
      </c>
      <c r="I252" s="7" t="s">
        <v>71</v>
      </c>
      <c r="J252" s="9" t="n">
        <v>0.623655913978495</v>
      </c>
      <c r="K252" s="9" t="n">
        <v>0.559139784946237</v>
      </c>
      <c r="L252" s="10" t="n">
        <f aca="false">K252-J252</f>
        <v>-0.0645161290322581</v>
      </c>
      <c r="M252" s="10" t="n">
        <f aca="false">IF(I252="higher",L252,-L252)</f>
        <v>-0.0645161290322581</v>
      </c>
    </row>
    <row r="253" customFormat="false" ht="15" hidden="false" customHeight="false" outlineLevel="0" collapsed="false">
      <c r="A253" s="7" t="s">
        <v>82</v>
      </c>
      <c r="B253" s="7" t="s">
        <v>83</v>
      </c>
      <c r="C253" s="7" t="s">
        <v>49</v>
      </c>
      <c r="D253" s="7" t="s">
        <v>92</v>
      </c>
      <c r="E253" s="7" t="s">
        <v>91</v>
      </c>
      <c r="F253" s="8" t="b">
        <f aca="false">TRUE()</f>
        <v>1</v>
      </c>
      <c r="G253" s="7" t="s">
        <v>74</v>
      </c>
      <c r="H253" s="7" t="s">
        <v>75</v>
      </c>
      <c r="I253" s="7" t="s">
        <v>54</v>
      </c>
      <c r="J253" s="9" t="n">
        <v>0.0384615384615385</v>
      </c>
      <c r="K253" s="9" t="n">
        <v>0</v>
      </c>
      <c r="L253" s="10" t="n">
        <f aca="false">K253-J253</f>
        <v>-0.0384615384615385</v>
      </c>
      <c r="M253" s="10" t="n">
        <f aca="false">IF(I253="higher",L253,-L253)</f>
        <v>0.0384615384615385</v>
      </c>
    </row>
    <row r="254" customFormat="false" ht="15" hidden="false" customHeight="false" outlineLevel="0" collapsed="false">
      <c r="A254" s="7" t="s">
        <v>82</v>
      </c>
      <c r="B254" s="7" t="s">
        <v>83</v>
      </c>
      <c r="C254" s="7" t="s">
        <v>49</v>
      </c>
      <c r="D254" s="7" t="s">
        <v>92</v>
      </c>
      <c r="E254" s="7" t="s">
        <v>91</v>
      </c>
      <c r="F254" s="8" t="b">
        <f aca="false">TRUE()</f>
        <v>1</v>
      </c>
      <c r="G254" s="7" t="s">
        <v>76</v>
      </c>
      <c r="H254" s="7" t="s">
        <v>77</v>
      </c>
      <c r="I254" s="7" t="s">
        <v>54</v>
      </c>
      <c r="J254" s="9" t="n">
        <v>0.0615384615384615</v>
      </c>
      <c r="K254" s="9" t="n">
        <v>0.0153846153846154</v>
      </c>
      <c r="L254" s="10" t="n">
        <f aca="false">K254-J254</f>
        <v>-0.0461538461538462</v>
      </c>
      <c r="M254" s="10" t="n">
        <f aca="false">IF(I254="higher",L254,-L254)</f>
        <v>0.0461538461538462</v>
      </c>
    </row>
    <row r="255" customFormat="false" ht="15" hidden="false" customHeight="false" outlineLevel="0" collapsed="false">
      <c r="A255" s="7" t="s">
        <v>82</v>
      </c>
      <c r="B255" s="7" t="s">
        <v>83</v>
      </c>
      <c r="C255" s="7" t="s">
        <v>49</v>
      </c>
      <c r="D255" s="7" t="s">
        <v>92</v>
      </c>
      <c r="E255" s="7" t="s">
        <v>91</v>
      </c>
      <c r="F255" s="8" t="b">
        <f aca="false">TRUE()</f>
        <v>1</v>
      </c>
      <c r="G255" s="7" t="s">
        <v>78</v>
      </c>
      <c r="H255" s="7" t="s">
        <v>79</v>
      </c>
      <c r="I255" s="7" t="s">
        <v>54</v>
      </c>
      <c r="J255" s="9" t="n">
        <v>0.0384615384615385</v>
      </c>
      <c r="K255" s="9" t="n">
        <v>0</v>
      </c>
      <c r="L255" s="10" t="n">
        <f aca="false">K255-J255</f>
        <v>-0.0384615384615385</v>
      </c>
      <c r="M255" s="10" t="n">
        <f aca="false">IF(I255="higher",L255,-L255)</f>
        <v>0.0384615384615385</v>
      </c>
    </row>
    <row r="256" customFormat="false" ht="15" hidden="false" customHeight="false" outlineLevel="0" collapsed="false">
      <c r="A256" s="7" t="s">
        <v>82</v>
      </c>
      <c r="B256" s="7" t="s">
        <v>83</v>
      </c>
      <c r="C256" s="7" t="s">
        <v>49</v>
      </c>
      <c r="D256" s="7" t="s">
        <v>92</v>
      </c>
      <c r="E256" s="7" t="s">
        <v>91</v>
      </c>
      <c r="F256" s="8" t="b">
        <f aca="false">TRUE()</f>
        <v>1</v>
      </c>
      <c r="G256" s="7" t="s">
        <v>80</v>
      </c>
      <c r="H256" s="7" t="s">
        <v>81</v>
      </c>
      <c r="I256" s="7" t="s">
        <v>54</v>
      </c>
      <c r="J256" s="9" t="n">
        <v>0</v>
      </c>
      <c r="K256" s="9" t="n">
        <v>0</v>
      </c>
      <c r="L256" s="10" t="n">
        <f aca="false">K256-J256</f>
        <v>0</v>
      </c>
      <c r="M256" s="10" t="n">
        <f aca="false">IF(I256="higher",L256,-L256)</f>
        <v>-0</v>
      </c>
    </row>
    <row r="257" customFormat="false" ht="15" hidden="false" customHeight="false" outlineLevel="0" collapsed="false">
      <c r="A257" s="7" t="s">
        <v>48</v>
      </c>
      <c r="B257" s="7" t="s">
        <v>10</v>
      </c>
      <c r="C257" s="7" t="s">
        <v>49</v>
      </c>
      <c r="D257" s="7" t="s">
        <v>93</v>
      </c>
      <c r="E257" s="7" t="s">
        <v>91</v>
      </c>
      <c r="F257" s="8" t="b">
        <f aca="false">TRUE()</f>
        <v>1</v>
      </c>
      <c r="G257" s="7" t="s">
        <v>52</v>
      </c>
      <c r="H257" s="7" t="s">
        <v>53</v>
      </c>
      <c r="I257" s="7" t="s">
        <v>54</v>
      </c>
      <c r="J257" s="9" t="n">
        <v>6.28896265309921</v>
      </c>
      <c r="K257" s="9" t="n">
        <v>4.7607548068062</v>
      </c>
      <c r="L257" s="10" t="n">
        <f aca="false">K257-J257</f>
        <v>-1.52820784629302</v>
      </c>
      <c r="M257" s="10" t="n">
        <f aca="false">IF(I257="higher",L257,-L257)</f>
        <v>1.52820784629302</v>
      </c>
    </row>
    <row r="258" customFormat="false" ht="15" hidden="false" customHeight="false" outlineLevel="0" collapsed="false">
      <c r="A258" s="7" t="s">
        <v>48</v>
      </c>
      <c r="B258" s="7" t="s">
        <v>10</v>
      </c>
      <c r="C258" s="7" t="s">
        <v>49</v>
      </c>
      <c r="D258" s="7" t="s">
        <v>93</v>
      </c>
      <c r="E258" s="7" t="s">
        <v>91</v>
      </c>
      <c r="F258" s="8" t="b">
        <f aca="false">TRUE()</f>
        <v>1</v>
      </c>
      <c r="G258" s="7" t="s">
        <v>55</v>
      </c>
      <c r="H258" s="7" t="s">
        <v>56</v>
      </c>
      <c r="I258" s="7" t="s">
        <v>54</v>
      </c>
      <c r="J258" s="9" t="n">
        <v>16.4680875064294</v>
      </c>
      <c r="K258" s="9" t="n">
        <v>16.7158008308675</v>
      </c>
      <c r="L258" s="10" t="n">
        <f aca="false">K258-J258</f>
        <v>0.24771332443806</v>
      </c>
      <c r="M258" s="10" t="n">
        <f aca="false">IF(I258="higher",L258,-L258)</f>
        <v>-0.24771332443806</v>
      </c>
    </row>
    <row r="259" customFormat="false" ht="15" hidden="false" customHeight="false" outlineLevel="0" collapsed="false">
      <c r="A259" s="7" t="s">
        <v>48</v>
      </c>
      <c r="B259" s="7" t="s">
        <v>10</v>
      </c>
      <c r="C259" s="7" t="s">
        <v>49</v>
      </c>
      <c r="D259" s="7" t="s">
        <v>93</v>
      </c>
      <c r="E259" s="7" t="s">
        <v>91</v>
      </c>
      <c r="F259" s="8" t="b">
        <f aca="false">TRUE()</f>
        <v>1</v>
      </c>
      <c r="G259" s="7" t="s">
        <v>57</v>
      </c>
      <c r="H259" s="7" t="s">
        <v>58</v>
      </c>
      <c r="I259" s="7" t="s">
        <v>54</v>
      </c>
      <c r="J259" s="9" t="n">
        <v>4.6349233157647</v>
      </c>
      <c r="K259" s="9" t="n">
        <v>5.83536244360634</v>
      </c>
      <c r="L259" s="10" t="n">
        <f aca="false">K259-J259</f>
        <v>1.20043912784164</v>
      </c>
      <c r="M259" s="10" t="n">
        <f aca="false">IF(I259="higher",L259,-L259)</f>
        <v>-1.20043912784164</v>
      </c>
    </row>
    <row r="260" customFormat="false" ht="15" hidden="false" customHeight="false" outlineLevel="0" collapsed="false">
      <c r="A260" s="7" t="s">
        <v>48</v>
      </c>
      <c r="B260" s="7" t="s">
        <v>10</v>
      </c>
      <c r="C260" s="7" t="s">
        <v>49</v>
      </c>
      <c r="D260" s="7" t="s">
        <v>93</v>
      </c>
      <c r="E260" s="7" t="s">
        <v>91</v>
      </c>
      <c r="F260" s="8" t="b">
        <f aca="false">TRUE()</f>
        <v>1</v>
      </c>
      <c r="G260" s="7" t="s">
        <v>59</v>
      </c>
      <c r="H260" s="7" t="s">
        <v>60</v>
      </c>
      <c r="I260" s="7" t="s">
        <v>54</v>
      </c>
      <c r="J260" s="9" t="n">
        <v>0.142003246169136</v>
      </c>
      <c r="K260" s="9" t="n">
        <v>0.142739939301915</v>
      </c>
      <c r="L260" s="10" t="n">
        <f aca="false">K260-J260</f>
        <v>0.000736693132778798</v>
      </c>
      <c r="M260" s="10" t="n">
        <f aca="false">IF(I260="higher",L260,-L260)</f>
        <v>-0.000736693132778798</v>
      </c>
    </row>
    <row r="261" customFormat="false" ht="15" hidden="false" customHeight="false" outlineLevel="0" collapsed="false">
      <c r="A261" s="7" t="s">
        <v>48</v>
      </c>
      <c r="B261" s="7" t="s">
        <v>10</v>
      </c>
      <c r="C261" s="7" t="s">
        <v>49</v>
      </c>
      <c r="D261" s="7" t="s">
        <v>93</v>
      </c>
      <c r="E261" s="7" t="s">
        <v>91</v>
      </c>
      <c r="F261" s="8" t="b">
        <f aca="false">TRUE()</f>
        <v>1</v>
      </c>
      <c r="G261" s="7" t="s">
        <v>61</v>
      </c>
      <c r="H261" s="7" t="s">
        <v>62</v>
      </c>
      <c r="I261" s="7" t="s">
        <v>54</v>
      </c>
      <c r="J261" s="9" t="n">
        <v>24.2385299323863</v>
      </c>
      <c r="K261" s="9" t="n">
        <v>23.5132584253861</v>
      </c>
      <c r="L261" s="10" t="n">
        <f aca="false">K261-J261</f>
        <v>-0.725271507000201</v>
      </c>
      <c r="M261" s="10" t="n">
        <f aca="false">IF(I261="higher",L261,-L261)</f>
        <v>0.725271507000201</v>
      </c>
    </row>
    <row r="262" customFormat="false" ht="15" hidden="false" customHeight="false" outlineLevel="0" collapsed="false">
      <c r="A262" s="7" t="s">
        <v>48</v>
      </c>
      <c r="B262" s="7" t="s">
        <v>10</v>
      </c>
      <c r="C262" s="7" t="s">
        <v>49</v>
      </c>
      <c r="D262" s="7" t="s">
        <v>93</v>
      </c>
      <c r="E262" s="7" t="s">
        <v>91</v>
      </c>
      <c r="F262" s="8" t="b">
        <f aca="false">TRUE()</f>
        <v>1</v>
      </c>
      <c r="G262" s="7" t="s">
        <v>63</v>
      </c>
      <c r="H262" s="7" t="s">
        <v>64</v>
      </c>
      <c r="I262" s="7" t="s">
        <v>54</v>
      </c>
      <c r="J262" s="9" t="n">
        <v>19.5065201523717</v>
      </c>
      <c r="K262" s="9" t="n">
        <v>15.2827578271401</v>
      </c>
      <c r="L262" s="10" t="n">
        <f aca="false">K262-J262</f>
        <v>-4.22376232523153</v>
      </c>
      <c r="M262" s="10" t="n">
        <f aca="false">IF(I262="higher",L262,-L262)</f>
        <v>4.22376232523153</v>
      </c>
    </row>
    <row r="263" customFormat="false" ht="15" hidden="false" customHeight="false" outlineLevel="0" collapsed="false">
      <c r="A263" s="7" t="s">
        <v>48</v>
      </c>
      <c r="B263" s="7" t="s">
        <v>10</v>
      </c>
      <c r="C263" s="7" t="s">
        <v>49</v>
      </c>
      <c r="D263" s="7" t="s">
        <v>93</v>
      </c>
      <c r="E263" s="7" t="s">
        <v>91</v>
      </c>
      <c r="F263" s="8" t="b">
        <f aca="false">TRUE()</f>
        <v>1</v>
      </c>
      <c r="G263" s="7" t="s">
        <v>65</v>
      </c>
      <c r="H263" s="7" t="s">
        <v>66</v>
      </c>
      <c r="I263" s="7" t="s">
        <v>54</v>
      </c>
      <c r="J263" s="9" t="n">
        <v>20.4649757433082</v>
      </c>
      <c r="K263" s="9" t="n">
        <v>21.1793247125252</v>
      </c>
      <c r="L263" s="10" t="n">
        <f aca="false">K263-J263</f>
        <v>0.71434896921701</v>
      </c>
      <c r="M263" s="10" t="n">
        <f aca="false">IF(I263="higher",L263,-L263)</f>
        <v>-0.71434896921701</v>
      </c>
    </row>
    <row r="264" customFormat="false" ht="15" hidden="false" customHeight="false" outlineLevel="0" collapsed="false">
      <c r="A264" s="7" t="s">
        <v>48</v>
      </c>
      <c r="B264" s="7" t="s">
        <v>10</v>
      </c>
      <c r="C264" s="7" t="s">
        <v>49</v>
      </c>
      <c r="D264" s="7" t="s">
        <v>93</v>
      </c>
      <c r="E264" s="7" t="s">
        <v>91</v>
      </c>
      <c r="F264" s="8" t="b">
        <f aca="false">TRUE()</f>
        <v>1</v>
      </c>
      <c r="G264" s="7" t="s">
        <v>67</v>
      </c>
      <c r="H264" s="7" t="s">
        <v>68</v>
      </c>
      <c r="I264" s="7" t="s">
        <v>54</v>
      </c>
      <c r="J264" s="9" t="n">
        <v>26.6912167688917</v>
      </c>
      <c r="K264" s="9" t="n">
        <v>20.9640021578484</v>
      </c>
      <c r="L264" s="10" t="n">
        <f aca="false">K264-J264</f>
        <v>-5.7272146110433</v>
      </c>
      <c r="M264" s="10" t="n">
        <f aca="false">IF(I264="higher",L264,-L264)</f>
        <v>5.7272146110433</v>
      </c>
    </row>
    <row r="265" customFormat="false" ht="15" hidden="false" customHeight="false" outlineLevel="0" collapsed="false">
      <c r="A265" s="7" t="s">
        <v>48</v>
      </c>
      <c r="B265" s="7" t="s">
        <v>10</v>
      </c>
      <c r="C265" s="7" t="s">
        <v>49</v>
      </c>
      <c r="D265" s="7" t="s">
        <v>93</v>
      </c>
      <c r="E265" s="7" t="s">
        <v>91</v>
      </c>
      <c r="F265" s="8" t="b">
        <f aca="false">TRUE()</f>
        <v>1</v>
      </c>
      <c r="G265" s="7" t="s">
        <v>69</v>
      </c>
      <c r="H265" s="7" t="s">
        <v>70</v>
      </c>
      <c r="I265" s="7" t="s">
        <v>71</v>
      </c>
      <c r="J265" s="9" t="n">
        <v>0.482142857142857</v>
      </c>
      <c r="K265" s="9" t="n">
        <v>0.214285714285714</v>
      </c>
      <c r="L265" s="10" t="n">
        <f aca="false">K265-J265</f>
        <v>-0.267857142857143</v>
      </c>
      <c r="M265" s="10" t="n">
        <f aca="false">IF(I265="higher",L265,-L265)</f>
        <v>-0.267857142857143</v>
      </c>
    </row>
    <row r="266" customFormat="false" ht="15" hidden="false" customHeight="false" outlineLevel="0" collapsed="false">
      <c r="A266" s="7" t="s">
        <v>48</v>
      </c>
      <c r="B266" s="7" t="s">
        <v>10</v>
      </c>
      <c r="C266" s="7" t="s">
        <v>49</v>
      </c>
      <c r="D266" s="7" t="s">
        <v>93</v>
      </c>
      <c r="E266" s="7" t="s">
        <v>91</v>
      </c>
      <c r="F266" s="8" t="b">
        <f aca="false">TRUE()</f>
        <v>1</v>
      </c>
      <c r="G266" s="7" t="s">
        <v>72</v>
      </c>
      <c r="H266" s="7" t="s">
        <v>73</v>
      </c>
      <c r="I266" s="7" t="s">
        <v>71</v>
      </c>
      <c r="J266" s="9" t="n">
        <v>0.821428571428571</v>
      </c>
      <c r="K266" s="9" t="n">
        <v>0.785714285714286</v>
      </c>
      <c r="L266" s="10" t="n">
        <f aca="false">K266-J266</f>
        <v>-0.0357142857142857</v>
      </c>
      <c r="M266" s="10" t="n">
        <f aca="false">IF(I266="higher",L266,-L266)</f>
        <v>-0.0357142857142857</v>
      </c>
    </row>
    <row r="267" customFormat="false" ht="15" hidden="false" customHeight="false" outlineLevel="0" collapsed="false">
      <c r="A267" s="7" t="s">
        <v>48</v>
      </c>
      <c r="B267" s="7" t="s">
        <v>10</v>
      </c>
      <c r="C267" s="7" t="s">
        <v>49</v>
      </c>
      <c r="D267" s="7" t="s">
        <v>93</v>
      </c>
      <c r="E267" s="7" t="s">
        <v>91</v>
      </c>
      <c r="F267" s="8" t="b">
        <f aca="false">TRUE()</f>
        <v>1</v>
      </c>
      <c r="G267" s="7" t="s">
        <v>74</v>
      </c>
      <c r="H267" s="7" t="s">
        <v>75</v>
      </c>
      <c r="I267" s="7" t="s">
        <v>54</v>
      </c>
      <c r="J267" s="9" t="n">
        <v>0.0666666666666667</v>
      </c>
      <c r="K267" s="9" t="n">
        <v>0.0333333333333333</v>
      </c>
      <c r="L267" s="10" t="n">
        <f aca="false">K267-J267</f>
        <v>-0.0333333333333333</v>
      </c>
      <c r="M267" s="10" t="n">
        <f aca="false">IF(I267="higher",L267,-L267)</f>
        <v>0.0333333333333333</v>
      </c>
    </row>
    <row r="268" customFormat="false" ht="15" hidden="false" customHeight="false" outlineLevel="0" collapsed="false">
      <c r="A268" s="7" t="s">
        <v>48</v>
      </c>
      <c r="B268" s="7" t="s">
        <v>10</v>
      </c>
      <c r="C268" s="7" t="s">
        <v>49</v>
      </c>
      <c r="D268" s="7" t="s">
        <v>93</v>
      </c>
      <c r="E268" s="7" t="s">
        <v>91</v>
      </c>
      <c r="F268" s="8" t="b">
        <f aca="false">TRUE()</f>
        <v>1</v>
      </c>
      <c r="G268" s="7" t="s">
        <v>76</v>
      </c>
      <c r="H268" s="7" t="s">
        <v>77</v>
      </c>
      <c r="I268" s="7" t="s">
        <v>54</v>
      </c>
      <c r="J268" s="9" t="n">
        <v>0.190476190476191</v>
      </c>
      <c r="K268" s="9" t="n">
        <v>0.323809523809524</v>
      </c>
      <c r="L268" s="10" t="n">
        <f aca="false">K268-J268</f>
        <v>0.133333333333333</v>
      </c>
      <c r="M268" s="10" t="n">
        <f aca="false">IF(I268="higher",L268,-L268)</f>
        <v>-0.133333333333333</v>
      </c>
    </row>
    <row r="269" customFormat="false" ht="15" hidden="false" customHeight="false" outlineLevel="0" collapsed="false">
      <c r="A269" s="7" t="s">
        <v>48</v>
      </c>
      <c r="B269" s="7" t="s">
        <v>10</v>
      </c>
      <c r="C269" s="7" t="s">
        <v>49</v>
      </c>
      <c r="D269" s="7" t="s">
        <v>93</v>
      </c>
      <c r="E269" s="7" t="s">
        <v>91</v>
      </c>
      <c r="F269" s="8" t="b">
        <f aca="false">TRUE()</f>
        <v>1</v>
      </c>
      <c r="G269" s="7" t="s">
        <v>78</v>
      </c>
      <c r="H269" s="7" t="s">
        <v>79</v>
      </c>
      <c r="I269" s="7" t="s">
        <v>54</v>
      </c>
      <c r="J269" s="9" t="n">
        <v>0.0380952380952381</v>
      </c>
      <c r="K269" s="9" t="n">
        <v>0</v>
      </c>
      <c r="L269" s="10" t="n">
        <f aca="false">K269-J269</f>
        <v>-0.0380952380952381</v>
      </c>
      <c r="M269" s="10" t="n">
        <f aca="false">IF(I269="higher",L269,-L269)</f>
        <v>0.0380952380952381</v>
      </c>
    </row>
    <row r="270" customFormat="false" ht="15" hidden="false" customHeight="false" outlineLevel="0" collapsed="false">
      <c r="A270" s="7" t="s">
        <v>48</v>
      </c>
      <c r="B270" s="7" t="s">
        <v>10</v>
      </c>
      <c r="C270" s="7" t="s">
        <v>49</v>
      </c>
      <c r="D270" s="7" t="s">
        <v>93</v>
      </c>
      <c r="E270" s="7" t="s">
        <v>91</v>
      </c>
      <c r="F270" s="8" t="b">
        <f aca="false">TRUE()</f>
        <v>1</v>
      </c>
      <c r="G270" s="7" t="s">
        <v>80</v>
      </c>
      <c r="H270" s="7" t="s">
        <v>81</v>
      </c>
      <c r="I270" s="7" t="s">
        <v>54</v>
      </c>
      <c r="J270" s="9" t="n">
        <v>0</v>
      </c>
      <c r="K270" s="9" t="n">
        <v>0</v>
      </c>
      <c r="L270" s="10" t="n">
        <f aca="false">K270-J270</f>
        <v>0</v>
      </c>
      <c r="M270" s="10" t="n">
        <f aca="false">IF(I270="higher",L270,-L270)</f>
        <v>-0</v>
      </c>
    </row>
    <row r="271" customFormat="false" ht="15" hidden="false" customHeight="false" outlineLevel="0" collapsed="false">
      <c r="A271" s="7" t="s">
        <v>82</v>
      </c>
      <c r="B271" s="7" t="s">
        <v>83</v>
      </c>
      <c r="C271" s="7" t="s">
        <v>49</v>
      </c>
      <c r="D271" s="7" t="s">
        <v>93</v>
      </c>
      <c r="E271" s="7" t="s">
        <v>91</v>
      </c>
      <c r="F271" s="8" t="b">
        <f aca="false">TRUE()</f>
        <v>1</v>
      </c>
      <c r="G271" s="7" t="s">
        <v>52</v>
      </c>
      <c r="H271" s="7" t="s">
        <v>53</v>
      </c>
      <c r="I271" s="7" t="s">
        <v>54</v>
      </c>
      <c r="J271" s="9" t="n">
        <v>5.98483804739047</v>
      </c>
      <c r="K271" s="9" t="n">
        <v>4.7607548068062</v>
      </c>
      <c r="L271" s="10" t="n">
        <f aca="false">K271-J271</f>
        <v>-1.22408324058428</v>
      </c>
      <c r="M271" s="10" t="n">
        <f aca="false">IF(I271="higher",L271,-L271)</f>
        <v>1.22408324058428</v>
      </c>
    </row>
    <row r="272" customFormat="false" ht="15" hidden="false" customHeight="false" outlineLevel="0" collapsed="false">
      <c r="A272" s="7" t="s">
        <v>82</v>
      </c>
      <c r="B272" s="7" t="s">
        <v>83</v>
      </c>
      <c r="C272" s="7" t="s">
        <v>49</v>
      </c>
      <c r="D272" s="7" t="s">
        <v>93</v>
      </c>
      <c r="E272" s="7" t="s">
        <v>91</v>
      </c>
      <c r="F272" s="8" t="b">
        <f aca="false">TRUE()</f>
        <v>1</v>
      </c>
      <c r="G272" s="7" t="s">
        <v>55</v>
      </c>
      <c r="H272" s="7" t="s">
        <v>56</v>
      </c>
      <c r="I272" s="7" t="s">
        <v>54</v>
      </c>
      <c r="J272" s="9" t="n">
        <v>16.6015372371854</v>
      </c>
      <c r="K272" s="9" t="n">
        <v>16.7158008308675</v>
      </c>
      <c r="L272" s="10" t="n">
        <f aca="false">K272-J272</f>
        <v>0.11426359368209</v>
      </c>
      <c r="M272" s="10" t="n">
        <f aca="false">IF(I272="higher",L272,-L272)</f>
        <v>-0.11426359368209</v>
      </c>
    </row>
    <row r="273" customFormat="false" ht="15" hidden="false" customHeight="false" outlineLevel="0" collapsed="false">
      <c r="A273" s="7" t="s">
        <v>82</v>
      </c>
      <c r="B273" s="7" t="s">
        <v>83</v>
      </c>
      <c r="C273" s="7" t="s">
        <v>49</v>
      </c>
      <c r="D273" s="7" t="s">
        <v>93</v>
      </c>
      <c r="E273" s="7" t="s">
        <v>91</v>
      </c>
      <c r="F273" s="8" t="b">
        <f aca="false">TRUE()</f>
        <v>1</v>
      </c>
      <c r="G273" s="7" t="s">
        <v>57</v>
      </c>
      <c r="H273" s="7" t="s">
        <v>58</v>
      </c>
      <c r="I273" s="7" t="s">
        <v>54</v>
      </c>
      <c r="J273" s="9" t="n">
        <v>19.6985548560412</v>
      </c>
      <c r="K273" s="9" t="n">
        <v>5.83536244360634</v>
      </c>
      <c r="L273" s="10" t="n">
        <f aca="false">K273-J273</f>
        <v>-13.8631924124348</v>
      </c>
      <c r="M273" s="10" t="n">
        <f aca="false">IF(I273="higher",L273,-L273)</f>
        <v>13.8631924124348</v>
      </c>
    </row>
    <row r="274" customFormat="false" ht="15" hidden="false" customHeight="false" outlineLevel="0" collapsed="false">
      <c r="A274" s="7" t="s">
        <v>82</v>
      </c>
      <c r="B274" s="7" t="s">
        <v>83</v>
      </c>
      <c r="C274" s="7" t="s">
        <v>49</v>
      </c>
      <c r="D274" s="7" t="s">
        <v>93</v>
      </c>
      <c r="E274" s="7" t="s">
        <v>91</v>
      </c>
      <c r="F274" s="8" t="b">
        <f aca="false">TRUE()</f>
        <v>1</v>
      </c>
      <c r="G274" s="7" t="s">
        <v>59</v>
      </c>
      <c r="H274" s="7" t="s">
        <v>60</v>
      </c>
      <c r="I274" s="7" t="s">
        <v>54</v>
      </c>
      <c r="J274" s="9" t="n">
        <v>0.143042270707447</v>
      </c>
      <c r="K274" s="9" t="n">
        <v>0.142739939301915</v>
      </c>
      <c r="L274" s="10" t="n">
        <f aca="false">K274-J274</f>
        <v>-0.000302331405532485</v>
      </c>
      <c r="M274" s="10" t="n">
        <f aca="false">IF(I274="higher",L274,-L274)</f>
        <v>0.000302331405532485</v>
      </c>
    </row>
    <row r="275" customFormat="false" ht="15" hidden="false" customHeight="false" outlineLevel="0" collapsed="false">
      <c r="A275" s="7" t="s">
        <v>82</v>
      </c>
      <c r="B275" s="7" t="s">
        <v>83</v>
      </c>
      <c r="C275" s="7" t="s">
        <v>49</v>
      </c>
      <c r="D275" s="7" t="s">
        <v>93</v>
      </c>
      <c r="E275" s="7" t="s">
        <v>91</v>
      </c>
      <c r="F275" s="8" t="b">
        <f aca="false">TRUE()</f>
        <v>1</v>
      </c>
      <c r="G275" s="7" t="s">
        <v>61</v>
      </c>
      <c r="H275" s="7" t="s">
        <v>62</v>
      </c>
      <c r="I275" s="7" t="s">
        <v>54</v>
      </c>
      <c r="J275" s="9" t="n">
        <v>25.4098252736279</v>
      </c>
      <c r="K275" s="9" t="n">
        <v>23.5132584253861</v>
      </c>
      <c r="L275" s="10" t="n">
        <f aca="false">K275-J275</f>
        <v>-1.89656684824179</v>
      </c>
      <c r="M275" s="10" t="n">
        <f aca="false">IF(I275="higher",L275,-L275)</f>
        <v>1.89656684824179</v>
      </c>
    </row>
    <row r="276" customFormat="false" ht="15" hidden="false" customHeight="false" outlineLevel="0" collapsed="false">
      <c r="A276" s="7" t="s">
        <v>82</v>
      </c>
      <c r="B276" s="7" t="s">
        <v>83</v>
      </c>
      <c r="C276" s="7" t="s">
        <v>49</v>
      </c>
      <c r="D276" s="7" t="s">
        <v>93</v>
      </c>
      <c r="E276" s="7" t="s">
        <v>91</v>
      </c>
      <c r="F276" s="8" t="b">
        <f aca="false">TRUE()</f>
        <v>1</v>
      </c>
      <c r="G276" s="7" t="s">
        <v>63</v>
      </c>
      <c r="H276" s="7" t="s">
        <v>64</v>
      </c>
      <c r="I276" s="7" t="s">
        <v>54</v>
      </c>
      <c r="J276" s="9" t="n">
        <v>16.6534670721954</v>
      </c>
      <c r="K276" s="9" t="n">
        <v>15.2827578271401</v>
      </c>
      <c r="L276" s="10" t="n">
        <f aca="false">K276-J276</f>
        <v>-1.37070924505531</v>
      </c>
      <c r="M276" s="10" t="n">
        <f aca="false">IF(I276="higher",L276,-L276)</f>
        <v>1.37070924505531</v>
      </c>
    </row>
    <row r="277" customFormat="false" ht="15" hidden="false" customHeight="false" outlineLevel="0" collapsed="false">
      <c r="A277" s="7" t="s">
        <v>82</v>
      </c>
      <c r="B277" s="7" t="s">
        <v>83</v>
      </c>
      <c r="C277" s="7" t="s">
        <v>49</v>
      </c>
      <c r="D277" s="7" t="s">
        <v>93</v>
      </c>
      <c r="E277" s="7" t="s">
        <v>91</v>
      </c>
      <c r="F277" s="8" t="b">
        <f aca="false">TRUE()</f>
        <v>1</v>
      </c>
      <c r="G277" s="7" t="s">
        <v>65</v>
      </c>
      <c r="H277" s="7" t="s">
        <v>66</v>
      </c>
      <c r="I277" s="7" t="s">
        <v>54</v>
      </c>
      <c r="J277" s="9" t="n">
        <v>21.9954221967991</v>
      </c>
      <c r="K277" s="9" t="n">
        <v>21.1793247125252</v>
      </c>
      <c r="L277" s="10" t="n">
        <f aca="false">K277-J277</f>
        <v>-0.81609748427395</v>
      </c>
      <c r="M277" s="10" t="n">
        <f aca="false">IF(I277="higher",L277,-L277)</f>
        <v>0.81609748427395</v>
      </c>
    </row>
    <row r="278" customFormat="false" ht="15" hidden="false" customHeight="false" outlineLevel="0" collapsed="false">
      <c r="A278" s="7" t="s">
        <v>82</v>
      </c>
      <c r="B278" s="7" t="s">
        <v>83</v>
      </c>
      <c r="C278" s="7" t="s">
        <v>49</v>
      </c>
      <c r="D278" s="7" t="s">
        <v>93</v>
      </c>
      <c r="E278" s="7" t="s">
        <v>91</v>
      </c>
      <c r="F278" s="8" t="b">
        <f aca="false">TRUE()</f>
        <v>1</v>
      </c>
      <c r="G278" s="7" t="s">
        <v>67</v>
      </c>
      <c r="H278" s="7" t="s">
        <v>68</v>
      </c>
      <c r="I278" s="7" t="s">
        <v>54</v>
      </c>
      <c r="J278" s="9" t="n">
        <v>24.540980335146</v>
      </c>
      <c r="K278" s="9" t="n">
        <v>20.9640021578484</v>
      </c>
      <c r="L278" s="10" t="n">
        <f aca="false">K278-J278</f>
        <v>-3.5769781772976</v>
      </c>
      <c r="M278" s="10" t="n">
        <f aca="false">IF(I278="higher",L278,-L278)</f>
        <v>3.5769781772976</v>
      </c>
    </row>
    <row r="279" customFormat="false" ht="15" hidden="false" customHeight="false" outlineLevel="0" collapsed="false">
      <c r="A279" s="7" t="s">
        <v>82</v>
      </c>
      <c r="B279" s="7" t="s">
        <v>83</v>
      </c>
      <c r="C279" s="7" t="s">
        <v>49</v>
      </c>
      <c r="D279" s="7" t="s">
        <v>93</v>
      </c>
      <c r="E279" s="7" t="s">
        <v>91</v>
      </c>
      <c r="F279" s="8" t="b">
        <f aca="false">TRUE()</f>
        <v>1</v>
      </c>
      <c r="G279" s="7" t="s">
        <v>69</v>
      </c>
      <c r="H279" s="7" t="s">
        <v>70</v>
      </c>
      <c r="I279" s="7" t="s">
        <v>71</v>
      </c>
      <c r="J279" s="9" t="n">
        <v>0.285714285714286</v>
      </c>
      <c r="K279" s="9" t="n">
        <v>0.214285714285714</v>
      </c>
      <c r="L279" s="10" t="n">
        <f aca="false">K279-J279</f>
        <v>-0.0714285714285714</v>
      </c>
      <c r="M279" s="10" t="n">
        <f aca="false">IF(I279="higher",L279,-L279)</f>
        <v>-0.0714285714285714</v>
      </c>
    </row>
    <row r="280" customFormat="false" ht="15" hidden="false" customHeight="false" outlineLevel="0" collapsed="false">
      <c r="A280" s="7" t="s">
        <v>82</v>
      </c>
      <c r="B280" s="7" t="s">
        <v>83</v>
      </c>
      <c r="C280" s="7" t="s">
        <v>49</v>
      </c>
      <c r="D280" s="7" t="s">
        <v>93</v>
      </c>
      <c r="E280" s="7" t="s">
        <v>91</v>
      </c>
      <c r="F280" s="8" t="b">
        <f aca="false">TRUE()</f>
        <v>1</v>
      </c>
      <c r="G280" s="7" t="s">
        <v>72</v>
      </c>
      <c r="H280" s="7" t="s">
        <v>73</v>
      </c>
      <c r="I280" s="7" t="s">
        <v>71</v>
      </c>
      <c r="J280" s="9" t="n">
        <v>0.696428571428571</v>
      </c>
      <c r="K280" s="9" t="n">
        <v>0.785714285714286</v>
      </c>
      <c r="L280" s="10" t="n">
        <f aca="false">K280-J280</f>
        <v>0.0892857142857143</v>
      </c>
      <c r="M280" s="10" t="n">
        <f aca="false">IF(I280="higher",L280,-L280)</f>
        <v>0.0892857142857143</v>
      </c>
    </row>
    <row r="281" customFormat="false" ht="15" hidden="false" customHeight="false" outlineLevel="0" collapsed="false">
      <c r="A281" s="7" t="s">
        <v>82</v>
      </c>
      <c r="B281" s="7" t="s">
        <v>83</v>
      </c>
      <c r="C281" s="7" t="s">
        <v>49</v>
      </c>
      <c r="D281" s="7" t="s">
        <v>93</v>
      </c>
      <c r="E281" s="7" t="s">
        <v>91</v>
      </c>
      <c r="F281" s="8" t="b">
        <f aca="false">TRUE()</f>
        <v>1</v>
      </c>
      <c r="G281" s="7" t="s">
        <v>74</v>
      </c>
      <c r="H281" s="7" t="s">
        <v>75</v>
      </c>
      <c r="I281" s="7" t="s">
        <v>54</v>
      </c>
      <c r="J281" s="9" t="n">
        <v>0.1</v>
      </c>
      <c r="K281" s="9" t="n">
        <v>0.0333333333333333</v>
      </c>
      <c r="L281" s="10" t="n">
        <f aca="false">K281-J281</f>
        <v>-0.0666666666666667</v>
      </c>
      <c r="M281" s="10" t="n">
        <f aca="false">IF(I281="higher",L281,-L281)</f>
        <v>0.0666666666666667</v>
      </c>
    </row>
    <row r="282" customFormat="false" ht="15" hidden="false" customHeight="false" outlineLevel="0" collapsed="false">
      <c r="A282" s="7" t="s">
        <v>82</v>
      </c>
      <c r="B282" s="7" t="s">
        <v>83</v>
      </c>
      <c r="C282" s="7" t="s">
        <v>49</v>
      </c>
      <c r="D282" s="7" t="s">
        <v>93</v>
      </c>
      <c r="E282" s="7" t="s">
        <v>91</v>
      </c>
      <c r="F282" s="8" t="b">
        <f aca="false">TRUE()</f>
        <v>1</v>
      </c>
      <c r="G282" s="7" t="s">
        <v>76</v>
      </c>
      <c r="H282" s="7" t="s">
        <v>77</v>
      </c>
      <c r="I282" s="7" t="s">
        <v>54</v>
      </c>
      <c r="J282" s="9" t="n">
        <v>0.238095238095238</v>
      </c>
      <c r="K282" s="9" t="n">
        <v>0.323809523809524</v>
      </c>
      <c r="L282" s="10" t="n">
        <f aca="false">K282-J282</f>
        <v>0.0857142857142857</v>
      </c>
      <c r="M282" s="10" t="n">
        <f aca="false">IF(I282="higher",L282,-L282)</f>
        <v>-0.0857142857142857</v>
      </c>
    </row>
    <row r="283" customFormat="false" ht="15" hidden="false" customHeight="false" outlineLevel="0" collapsed="false">
      <c r="A283" s="7" t="s">
        <v>82</v>
      </c>
      <c r="B283" s="7" t="s">
        <v>83</v>
      </c>
      <c r="C283" s="7" t="s">
        <v>49</v>
      </c>
      <c r="D283" s="7" t="s">
        <v>93</v>
      </c>
      <c r="E283" s="7" t="s">
        <v>91</v>
      </c>
      <c r="F283" s="8" t="b">
        <f aca="false">TRUE()</f>
        <v>1</v>
      </c>
      <c r="G283" s="7" t="s">
        <v>78</v>
      </c>
      <c r="H283" s="7" t="s">
        <v>79</v>
      </c>
      <c r="I283" s="7" t="s">
        <v>54</v>
      </c>
      <c r="J283" s="9" t="n">
        <v>0</v>
      </c>
      <c r="K283" s="9" t="n">
        <v>0</v>
      </c>
      <c r="L283" s="10" t="n">
        <f aca="false">K283-J283</f>
        <v>0</v>
      </c>
      <c r="M283" s="10" t="n">
        <f aca="false">IF(I283="higher",L283,-L283)</f>
        <v>-0</v>
      </c>
    </row>
    <row r="284" customFormat="false" ht="15" hidden="false" customHeight="false" outlineLevel="0" collapsed="false">
      <c r="A284" s="7" t="s">
        <v>82</v>
      </c>
      <c r="B284" s="7" t="s">
        <v>83</v>
      </c>
      <c r="C284" s="7" t="s">
        <v>49</v>
      </c>
      <c r="D284" s="7" t="s">
        <v>93</v>
      </c>
      <c r="E284" s="7" t="s">
        <v>91</v>
      </c>
      <c r="F284" s="8" t="b">
        <f aca="false">TRUE()</f>
        <v>1</v>
      </c>
      <c r="G284" s="7" t="s">
        <v>80</v>
      </c>
      <c r="H284" s="7" t="s">
        <v>81</v>
      </c>
      <c r="I284" s="7" t="s">
        <v>54</v>
      </c>
      <c r="J284" s="9" t="n">
        <v>0</v>
      </c>
      <c r="K284" s="9" t="n">
        <v>0</v>
      </c>
      <c r="L284" s="10" t="n">
        <f aca="false">K284-J284</f>
        <v>0</v>
      </c>
      <c r="M284" s="10" t="n">
        <f aca="false">IF(I284="higher",L284,-L284)</f>
        <v>-0</v>
      </c>
    </row>
    <row r="285" customFormat="false" ht="15" hidden="false" customHeight="false" outlineLevel="0" collapsed="false">
      <c r="A285" s="7" t="s">
        <v>48</v>
      </c>
      <c r="B285" s="7" t="s">
        <v>10</v>
      </c>
      <c r="C285" s="7" t="s">
        <v>49</v>
      </c>
      <c r="D285" s="7" t="s">
        <v>94</v>
      </c>
      <c r="E285" s="7" t="s">
        <v>51</v>
      </c>
      <c r="F285" s="8" t="b">
        <f aca="false">TRUE()</f>
        <v>1</v>
      </c>
      <c r="G285" s="7" t="s">
        <v>52</v>
      </c>
      <c r="H285" s="7" t="s">
        <v>53</v>
      </c>
      <c r="I285" s="7" t="s">
        <v>54</v>
      </c>
      <c r="J285" s="9" t="n">
        <v>5.37273284225544</v>
      </c>
      <c r="K285" s="9" t="n">
        <v>2.22635704006673</v>
      </c>
      <c r="L285" s="10" t="n">
        <f aca="false">K285-J285</f>
        <v>-3.14637580218871</v>
      </c>
      <c r="M285" s="10" t="n">
        <f aca="false">IF(I285="higher",L285,-L285)</f>
        <v>3.14637580218871</v>
      </c>
    </row>
    <row r="286" customFormat="false" ht="15" hidden="false" customHeight="false" outlineLevel="0" collapsed="false">
      <c r="A286" s="7" t="s">
        <v>48</v>
      </c>
      <c r="B286" s="7" t="s">
        <v>10</v>
      </c>
      <c r="C286" s="7" t="s">
        <v>49</v>
      </c>
      <c r="D286" s="7" t="s">
        <v>94</v>
      </c>
      <c r="E286" s="7" t="s">
        <v>51</v>
      </c>
      <c r="F286" s="8" t="b">
        <f aca="false">TRUE()</f>
        <v>1</v>
      </c>
      <c r="G286" s="7" t="s">
        <v>55</v>
      </c>
      <c r="H286" s="7" t="s">
        <v>56</v>
      </c>
      <c r="I286" s="7" t="s">
        <v>54</v>
      </c>
      <c r="J286" s="9" t="n">
        <v>15.4854454176395</v>
      </c>
      <c r="K286" s="9" t="n">
        <v>10.307073948932</v>
      </c>
      <c r="L286" s="10" t="n">
        <f aca="false">K286-J286</f>
        <v>-5.17837146870752</v>
      </c>
      <c r="M286" s="10" t="n">
        <f aca="false">IF(I286="higher",L286,-L286)</f>
        <v>5.17837146870752</v>
      </c>
    </row>
    <row r="287" customFormat="false" ht="15" hidden="false" customHeight="false" outlineLevel="0" collapsed="false">
      <c r="A287" s="7" t="s">
        <v>48</v>
      </c>
      <c r="B287" s="7" t="s">
        <v>10</v>
      </c>
      <c r="C287" s="7" t="s">
        <v>49</v>
      </c>
      <c r="D287" s="7" t="s">
        <v>94</v>
      </c>
      <c r="E287" s="7" t="s">
        <v>51</v>
      </c>
      <c r="F287" s="8" t="b">
        <f aca="false">TRUE()</f>
        <v>1</v>
      </c>
      <c r="G287" s="7" t="s">
        <v>57</v>
      </c>
      <c r="H287" s="7" t="s">
        <v>58</v>
      </c>
      <c r="I287" s="7" t="s">
        <v>54</v>
      </c>
      <c r="J287" s="9" t="n">
        <v>7.04798624983301</v>
      </c>
      <c r="K287" s="9" t="n">
        <v>3.80058855217833</v>
      </c>
      <c r="L287" s="10" t="n">
        <f aca="false">K287-J287</f>
        <v>-3.24739769765468</v>
      </c>
      <c r="M287" s="10" t="n">
        <f aca="false">IF(I287="higher",L287,-L287)</f>
        <v>3.24739769765468</v>
      </c>
    </row>
    <row r="288" customFormat="false" ht="15" hidden="false" customHeight="false" outlineLevel="0" collapsed="false">
      <c r="A288" s="7" t="s">
        <v>48</v>
      </c>
      <c r="B288" s="7" t="s">
        <v>10</v>
      </c>
      <c r="C288" s="7" t="s">
        <v>49</v>
      </c>
      <c r="D288" s="7" t="s">
        <v>94</v>
      </c>
      <c r="E288" s="7" t="s">
        <v>51</v>
      </c>
      <c r="F288" s="8" t="b">
        <f aca="false">TRUE()</f>
        <v>1</v>
      </c>
      <c r="G288" s="7" t="s">
        <v>59</v>
      </c>
      <c r="H288" s="7" t="s">
        <v>60</v>
      </c>
      <c r="I288" s="7" t="s">
        <v>54</v>
      </c>
      <c r="J288" s="9" t="n">
        <v>0.0980224618879187</v>
      </c>
      <c r="K288" s="9" t="n">
        <v>0.0647571854473171</v>
      </c>
      <c r="L288" s="10" t="n">
        <f aca="false">K288-J288</f>
        <v>-0.0332652764406015</v>
      </c>
      <c r="M288" s="10" t="n">
        <f aca="false">IF(I288="higher",L288,-L288)</f>
        <v>0.0332652764406015</v>
      </c>
    </row>
    <row r="289" customFormat="false" ht="15" hidden="false" customHeight="false" outlineLevel="0" collapsed="false">
      <c r="A289" s="7" t="s">
        <v>48</v>
      </c>
      <c r="B289" s="7" t="s">
        <v>10</v>
      </c>
      <c r="C289" s="7" t="s">
        <v>49</v>
      </c>
      <c r="D289" s="7" t="s">
        <v>94</v>
      </c>
      <c r="E289" s="7" t="s">
        <v>51</v>
      </c>
      <c r="F289" s="8" t="b">
        <f aca="false">TRUE()</f>
        <v>1</v>
      </c>
      <c r="G289" s="7" t="s">
        <v>61</v>
      </c>
      <c r="H289" s="7" t="s">
        <v>62</v>
      </c>
      <c r="I289" s="7" t="s">
        <v>54</v>
      </c>
      <c r="J289" s="9" t="n">
        <v>19.9583537671268</v>
      </c>
      <c r="K289" s="9" t="n">
        <v>11.3486941527228</v>
      </c>
      <c r="L289" s="10" t="n">
        <f aca="false">K289-J289</f>
        <v>-8.60965961440393</v>
      </c>
      <c r="M289" s="10" t="n">
        <f aca="false">IF(I289="higher",L289,-L289)</f>
        <v>8.60965961440393</v>
      </c>
    </row>
    <row r="290" customFormat="false" ht="15" hidden="false" customHeight="false" outlineLevel="0" collapsed="false">
      <c r="A290" s="7" t="s">
        <v>48</v>
      </c>
      <c r="B290" s="7" t="s">
        <v>10</v>
      </c>
      <c r="C290" s="7" t="s">
        <v>49</v>
      </c>
      <c r="D290" s="7" t="s">
        <v>94</v>
      </c>
      <c r="E290" s="7" t="s">
        <v>51</v>
      </c>
      <c r="F290" s="8" t="b">
        <f aca="false">TRUE()</f>
        <v>1</v>
      </c>
      <c r="G290" s="7" t="s">
        <v>63</v>
      </c>
      <c r="H290" s="7" t="s">
        <v>64</v>
      </c>
      <c r="I290" s="7" t="s">
        <v>54</v>
      </c>
      <c r="J290" s="9" t="n">
        <v>19.0218643652822</v>
      </c>
      <c r="K290" s="9" t="n">
        <v>7.6812857188173</v>
      </c>
      <c r="L290" s="10" t="n">
        <f aca="false">K290-J290</f>
        <v>-11.3405786464649</v>
      </c>
      <c r="M290" s="10" t="n">
        <f aca="false">IF(I290="higher",L290,-L290)</f>
        <v>11.3405786464649</v>
      </c>
    </row>
    <row r="291" customFormat="false" ht="15" hidden="false" customHeight="false" outlineLevel="0" collapsed="false">
      <c r="A291" s="7" t="s">
        <v>48</v>
      </c>
      <c r="B291" s="7" t="s">
        <v>10</v>
      </c>
      <c r="C291" s="7" t="s">
        <v>49</v>
      </c>
      <c r="D291" s="7" t="s">
        <v>94</v>
      </c>
      <c r="E291" s="7" t="s">
        <v>51</v>
      </c>
      <c r="F291" s="8" t="b">
        <f aca="false">TRUE()</f>
        <v>1</v>
      </c>
      <c r="G291" s="7" t="s">
        <v>65</v>
      </c>
      <c r="H291" s="7" t="s">
        <v>66</v>
      </c>
      <c r="I291" s="7" t="s">
        <v>54</v>
      </c>
      <c r="J291" s="9" t="n">
        <v>19.482522254662</v>
      </c>
      <c r="K291" s="9" t="n">
        <v>10.9984709070359</v>
      </c>
      <c r="L291" s="10" t="n">
        <f aca="false">K291-J291</f>
        <v>-8.48405134762604</v>
      </c>
      <c r="M291" s="10" t="n">
        <f aca="false">IF(I291="higher",L291,-L291)</f>
        <v>8.48405134762604</v>
      </c>
    </row>
    <row r="292" customFormat="false" ht="15" hidden="false" customHeight="false" outlineLevel="0" collapsed="false">
      <c r="A292" s="7" t="s">
        <v>48</v>
      </c>
      <c r="B292" s="7" t="s">
        <v>10</v>
      </c>
      <c r="C292" s="7" t="s">
        <v>49</v>
      </c>
      <c r="D292" s="7" t="s">
        <v>94</v>
      </c>
      <c r="E292" s="7" t="s">
        <v>51</v>
      </c>
      <c r="F292" s="8" t="b">
        <f aca="false">TRUE()</f>
        <v>1</v>
      </c>
      <c r="G292" s="7" t="s">
        <v>67</v>
      </c>
      <c r="H292" s="7" t="s">
        <v>68</v>
      </c>
      <c r="I292" s="7" t="s">
        <v>54</v>
      </c>
      <c r="J292" s="9" t="n">
        <v>24.7870189200085</v>
      </c>
      <c r="K292" s="9" t="n">
        <v>16.8063658360547</v>
      </c>
      <c r="L292" s="10" t="n">
        <f aca="false">K292-J292</f>
        <v>-7.98065308395381</v>
      </c>
      <c r="M292" s="10" t="n">
        <f aca="false">IF(I292="higher",L292,-L292)</f>
        <v>7.98065308395381</v>
      </c>
    </row>
    <row r="293" customFormat="false" ht="15" hidden="false" customHeight="false" outlineLevel="0" collapsed="false">
      <c r="A293" s="7" t="s">
        <v>48</v>
      </c>
      <c r="B293" s="7" t="s">
        <v>10</v>
      </c>
      <c r="C293" s="7" t="s">
        <v>49</v>
      </c>
      <c r="D293" s="7" t="s">
        <v>94</v>
      </c>
      <c r="E293" s="7" t="s">
        <v>51</v>
      </c>
      <c r="F293" s="8" t="b">
        <f aca="false">TRUE()</f>
        <v>1</v>
      </c>
      <c r="G293" s="7" t="s">
        <v>69</v>
      </c>
      <c r="H293" s="7" t="s">
        <v>70</v>
      </c>
      <c r="I293" s="7" t="s">
        <v>71</v>
      </c>
      <c r="J293" s="9" t="n">
        <v>0.460526315789474</v>
      </c>
      <c r="K293" s="9" t="n">
        <v>0.618421052631579</v>
      </c>
      <c r="L293" s="10" t="n">
        <f aca="false">K293-J293</f>
        <v>0.157894736842105</v>
      </c>
      <c r="M293" s="10" t="n">
        <f aca="false">IF(I293="higher",L293,-L293)</f>
        <v>0.157894736842105</v>
      </c>
    </row>
    <row r="294" customFormat="false" ht="15" hidden="false" customHeight="false" outlineLevel="0" collapsed="false">
      <c r="A294" s="7" t="s">
        <v>48</v>
      </c>
      <c r="B294" s="7" t="s">
        <v>10</v>
      </c>
      <c r="C294" s="7" t="s">
        <v>49</v>
      </c>
      <c r="D294" s="7" t="s">
        <v>94</v>
      </c>
      <c r="E294" s="7" t="s">
        <v>51</v>
      </c>
      <c r="F294" s="8" t="b">
        <f aca="false">TRUE()</f>
        <v>1</v>
      </c>
      <c r="G294" s="7" t="s">
        <v>72</v>
      </c>
      <c r="H294" s="7" t="s">
        <v>73</v>
      </c>
      <c r="I294" s="7" t="s">
        <v>71</v>
      </c>
      <c r="J294" s="9" t="n">
        <v>0.894736842105263</v>
      </c>
      <c r="K294" s="9" t="n">
        <v>0.894736842105263</v>
      </c>
      <c r="L294" s="10" t="n">
        <f aca="false">K294-J294</f>
        <v>0</v>
      </c>
      <c r="M294" s="10" t="n">
        <f aca="false">IF(I294="higher",L294,-L294)</f>
        <v>0</v>
      </c>
    </row>
    <row r="295" customFormat="false" ht="15" hidden="false" customHeight="false" outlineLevel="0" collapsed="false">
      <c r="A295" s="7" t="s">
        <v>48</v>
      </c>
      <c r="B295" s="7" t="s">
        <v>10</v>
      </c>
      <c r="C295" s="7" t="s">
        <v>49</v>
      </c>
      <c r="D295" s="7" t="s">
        <v>94</v>
      </c>
      <c r="E295" s="7" t="s">
        <v>51</v>
      </c>
      <c r="F295" s="8" t="b">
        <f aca="false">TRUE()</f>
        <v>1</v>
      </c>
      <c r="G295" s="7" t="s">
        <v>74</v>
      </c>
      <c r="H295" s="7" t="s">
        <v>75</v>
      </c>
      <c r="I295" s="7" t="s">
        <v>54</v>
      </c>
      <c r="J295" s="9" t="n">
        <v>0.04</v>
      </c>
      <c r="K295" s="9" t="n">
        <v>0</v>
      </c>
      <c r="L295" s="10" t="n">
        <f aca="false">K295-J295</f>
        <v>-0.04</v>
      </c>
      <c r="M295" s="10" t="n">
        <f aca="false">IF(I295="higher",L295,-L295)</f>
        <v>0.04</v>
      </c>
    </row>
    <row r="296" customFormat="false" ht="15" hidden="false" customHeight="false" outlineLevel="0" collapsed="false">
      <c r="A296" s="7" t="s">
        <v>48</v>
      </c>
      <c r="B296" s="7" t="s">
        <v>10</v>
      </c>
      <c r="C296" s="7" t="s">
        <v>49</v>
      </c>
      <c r="D296" s="7" t="s">
        <v>94</v>
      </c>
      <c r="E296" s="7" t="s">
        <v>51</v>
      </c>
      <c r="F296" s="8" t="b">
        <f aca="false">TRUE()</f>
        <v>1</v>
      </c>
      <c r="G296" s="7" t="s">
        <v>76</v>
      </c>
      <c r="H296" s="7" t="s">
        <v>77</v>
      </c>
      <c r="I296" s="7" t="s">
        <v>54</v>
      </c>
      <c r="J296" s="9" t="n">
        <v>0.28695652173913</v>
      </c>
      <c r="K296" s="9" t="n">
        <v>0.182608695652174</v>
      </c>
      <c r="L296" s="10" t="n">
        <f aca="false">K296-J296</f>
        <v>-0.104347826086956</v>
      </c>
      <c r="M296" s="10" t="n">
        <f aca="false">IF(I296="higher",L296,-L296)</f>
        <v>0.104347826086956</v>
      </c>
    </row>
    <row r="297" customFormat="false" ht="15" hidden="false" customHeight="false" outlineLevel="0" collapsed="false">
      <c r="A297" s="7" t="s">
        <v>48</v>
      </c>
      <c r="B297" s="7" t="s">
        <v>10</v>
      </c>
      <c r="C297" s="7" t="s">
        <v>49</v>
      </c>
      <c r="D297" s="7" t="s">
        <v>94</v>
      </c>
      <c r="E297" s="7" t="s">
        <v>51</v>
      </c>
      <c r="F297" s="8" t="b">
        <f aca="false">TRUE()</f>
        <v>1</v>
      </c>
      <c r="G297" s="7" t="s">
        <v>78</v>
      </c>
      <c r="H297" s="7" t="s">
        <v>79</v>
      </c>
      <c r="I297" s="7" t="s">
        <v>54</v>
      </c>
      <c r="J297" s="9" t="n">
        <v>0.373913043478261</v>
      </c>
      <c r="K297" s="9" t="n">
        <v>0.11304347826087</v>
      </c>
      <c r="L297" s="10" t="n">
        <f aca="false">K297-J297</f>
        <v>-0.260869565217391</v>
      </c>
      <c r="M297" s="10" t="n">
        <f aca="false">IF(I297="higher",L297,-L297)</f>
        <v>0.260869565217391</v>
      </c>
    </row>
    <row r="298" customFormat="false" ht="15" hidden="false" customHeight="false" outlineLevel="0" collapsed="false">
      <c r="A298" s="7" t="s">
        <v>48</v>
      </c>
      <c r="B298" s="7" t="s">
        <v>10</v>
      </c>
      <c r="C298" s="7" t="s">
        <v>49</v>
      </c>
      <c r="D298" s="7" t="s">
        <v>94</v>
      </c>
      <c r="E298" s="7" t="s">
        <v>51</v>
      </c>
      <c r="F298" s="8" t="b">
        <f aca="false">TRUE()</f>
        <v>1</v>
      </c>
      <c r="G298" s="7" t="s">
        <v>80</v>
      </c>
      <c r="H298" s="7" t="s">
        <v>81</v>
      </c>
      <c r="I298" s="7" t="s">
        <v>54</v>
      </c>
      <c r="J298" s="9" t="n">
        <v>0</v>
      </c>
      <c r="K298" s="9" t="n">
        <v>0</v>
      </c>
      <c r="L298" s="10" t="n">
        <f aca="false">K298-J298</f>
        <v>0</v>
      </c>
      <c r="M298" s="10" t="n">
        <f aca="false">IF(I298="higher",L298,-L298)</f>
        <v>-0</v>
      </c>
    </row>
    <row r="299" customFormat="false" ht="15" hidden="false" customHeight="false" outlineLevel="0" collapsed="false">
      <c r="A299" s="7" t="s">
        <v>82</v>
      </c>
      <c r="B299" s="7" t="s">
        <v>83</v>
      </c>
      <c r="C299" s="7" t="s">
        <v>49</v>
      </c>
      <c r="D299" s="7" t="s">
        <v>94</v>
      </c>
      <c r="E299" s="7" t="s">
        <v>51</v>
      </c>
      <c r="F299" s="8" t="b">
        <f aca="false">TRUE()</f>
        <v>1</v>
      </c>
      <c r="G299" s="7" t="s">
        <v>52</v>
      </c>
      <c r="H299" s="7" t="s">
        <v>53</v>
      </c>
      <c r="I299" s="7" t="s">
        <v>54</v>
      </c>
      <c r="J299" s="9" t="n">
        <v>4.85832700947051</v>
      </c>
      <c r="K299" s="9" t="n">
        <v>2.22635704006673</v>
      </c>
      <c r="L299" s="10" t="n">
        <f aca="false">K299-J299</f>
        <v>-2.63196996940378</v>
      </c>
      <c r="M299" s="10" t="n">
        <f aca="false">IF(I299="higher",L299,-L299)</f>
        <v>2.63196996940378</v>
      </c>
    </row>
    <row r="300" customFormat="false" ht="15" hidden="false" customHeight="false" outlineLevel="0" collapsed="false">
      <c r="A300" s="7" t="s">
        <v>82</v>
      </c>
      <c r="B300" s="7" t="s">
        <v>83</v>
      </c>
      <c r="C300" s="7" t="s">
        <v>49</v>
      </c>
      <c r="D300" s="7" t="s">
        <v>94</v>
      </c>
      <c r="E300" s="7" t="s">
        <v>51</v>
      </c>
      <c r="F300" s="8" t="b">
        <f aca="false">TRUE()</f>
        <v>1</v>
      </c>
      <c r="G300" s="7" t="s">
        <v>55</v>
      </c>
      <c r="H300" s="7" t="s">
        <v>56</v>
      </c>
      <c r="I300" s="7" t="s">
        <v>54</v>
      </c>
      <c r="J300" s="9" t="n">
        <v>12.0342835142705</v>
      </c>
      <c r="K300" s="9" t="n">
        <v>10.307073948932</v>
      </c>
      <c r="L300" s="10" t="n">
        <f aca="false">K300-J300</f>
        <v>-1.72720956533854</v>
      </c>
      <c r="M300" s="10" t="n">
        <f aca="false">IF(I300="higher",L300,-L300)</f>
        <v>1.72720956533854</v>
      </c>
    </row>
    <row r="301" customFormat="false" ht="15" hidden="false" customHeight="false" outlineLevel="0" collapsed="false">
      <c r="A301" s="7" t="s">
        <v>82</v>
      </c>
      <c r="B301" s="7" t="s">
        <v>83</v>
      </c>
      <c r="C301" s="7" t="s">
        <v>49</v>
      </c>
      <c r="D301" s="7" t="s">
        <v>94</v>
      </c>
      <c r="E301" s="7" t="s">
        <v>51</v>
      </c>
      <c r="F301" s="8" t="b">
        <f aca="false">TRUE()</f>
        <v>1</v>
      </c>
      <c r="G301" s="7" t="s">
        <v>57</v>
      </c>
      <c r="H301" s="7" t="s">
        <v>58</v>
      </c>
      <c r="I301" s="7" t="s">
        <v>54</v>
      </c>
      <c r="J301" s="9" t="n">
        <v>25.3211150482737</v>
      </c>
      <c r="K301" s="9" t="n">
        <v>3.80058855217833</v>
      </c>
      <c r="L301" s="10" t="n">
        <f aca="false">K301-J301</f>
        <v>-21.5205264960954</v>
      </c>
      <c r="M301" s="10" t="n">
        <f aca="false">IF(I301="higher",L301,-L301)</f>
        <v>21.5205264960954</v>
      </c>
    </row>
    <row r="302" customFormat="false" ht="15" hidden="false" customHeight="false" outlineLevel="0" collapsed="false">
      <c r="A302" s="7" t="s">
        <v>82</v>
      </c>
      <c r="B302" s="7" t="s">
        <v>83</v>
      </c>
      <c r="C302" s="7" t="s">
        <v>49</v>
      </c>
      <c r="D302" s="7" t="s">
        <v>94</v>
      </c>
      <c r="E302" s="7" t="s">
        <v>51</v>
      </c>
      <c r="F302" s="8" t="b">
        <f aca="false">TRUE()</f>
        <v>1</v>
      </c>
      <c r="G302" s="7" t="s">
        <v>59</v>
      </c>
      <c r="H302" s="7" t="s">
        <v>60</v>
      </c>
      <c r="I302" s="7" t="s">
        <v>54</v>
      </c>
      <c r="J302" s="9" t="n">
        <v>0.0980337029063247</v>
      </c>
      <c r="K302" s="9" t="n">
        <v>0.0647571854473171</v>
      </c>
      <c r="L302" s="10" t="n">
        <f aca="false">K302-J302</f>
        <v>-0.0332765174590075</v>
      </c>
      <c r="M302" s="10" t="n">
        <f aca="false">IF(I302="higher",L302,-L302)</f>
        <v>0.0332765174590075</v>
      </c>
    </row>
    <row r="303" customFormat="false" ht="15" hidden="false" customHeight="false" outlineLevel="0" collapsed="false">
      <c r="A303" s="7" t="s">
        <v>82</v>
      </c>
      <c r="B303" s="7" t="s">
        <v>83</v>
      </c>
      <c r="C303" s="7" t="s">
        <v>49</v>
      </c>
      <c r="D303" s="7" t="s">
        <v>94</v>
      </c>
      <c r="E303" s="7" t="s">
        <v>51</v>
      </c>
      <c r="F303" s="8" t="b">
        <f aca="false">TRUE()</f>
        <v>1</v>
      </c>
      <c r="G303" s="7" t="s">
        <v>61</v>
      </c>
      <c r="H303" s="7" t="s">
        <v>62</v>
      </c>
      <c r="I303" s="7" t="s">
        <v>54</v>
      </c>
      <c r="J303" s="9" t="n">
        <v>17.606422496037</v>
      </c>
      <c r="K303" s="9" t="n">
        <v>11.3486941527228</v>
      </c>
      <c r="L303" s="10" t="n">
        <f aca="false">K303-J303</f>
        <v>-6.25772834331415</v>
      </c>
      <c r="M303" s="10" t="n">
        <f aca="false">IF(I303="higher",L303,-L303)</f>
        <v>6.25772834331415</v>
      </c>
    </row>
    <row r="304" customFormat="false" ht="15" hidden="false" customHeight="false" outlineLevel="0" collapsed="false">
      <c r="A304" s="7" t="s">
        <v>82</v>
      </c>
      <c r="B304" s="7" t="s">
        <v>83</v>
      </c>
      <c r="C304" s="7" t="s">
        <v>49</v>
      </c>
      <c r="D304" s="7" t="s">
        <v>94</v>
      </c>
      <c r="E304" s="7" t="s">
        <v>51</v>
      </c>
      <c r="F304" s="8" t="b">
        <f aca="false">TRUE()</f>
        <v>1</v>
      </c>
      <c r="G304" s="7" t="s">
        <v>63</v>
      </c>
      <c r="H304" s="7" t="s">
        <v>64</v>
      </c>
      <c r="I304" s="7" t="s">
        <v>54</v>
      </c>
      <c r="J304" s="9" t="n">
        <v>9.06963975726684</v>
      </c>
      <c r="K304" s="9" t="n">
        <v>7.6812857188173</v>
      </c>
      <c r="L304" s="10" t="n">
        <f aca="false">K304-J304</f>
        <v>-1.38835403844954</v>
      </c>
      <c r="M304" s="10" t="n">
        <f aca="false">IF(I304="higher",L304,-L304)</f>
        <v>1.38835403844954</v>
      </c>
    </row>
    <row r="305" customFormat="false" ht="15" hidden="false" customHeight="false" outlineLevel="0" collapsed="false">
      <c r="A305" s="7" t="s">
        <v>82</v>
      </c>
      <c r="B305" s="7" t="s">
        <v>83</v>
      </c>
      <c r="C305" s="7" t="s">
        <v>49</v>
      </c>
      <c r="D305" s="7" t="s">
        <v>94</v>
      </c>
      <c r="E305" s="7" t="s">
        <v>51</v>
      </c>
      <c r="F305" s="8" t="b">
        <f aca="false">TRUE()</f>
        <v>1</v>
      </c>
      <c r="G305" s="7" t="s">
        <v>65</v>
      </c>
      <c r="H305" s="7" t="s">
        <v>66</v>
      </c>
      <c r="I305" s="7" t="s">
        <v>54</v>
      </c>
      <c r="J305" s="9" t="n">
        <v>16.737601486575</v>
      </c>
      <c r="K305" s="9" t="n">
        <v>10.9984709070359</v>
      </c>
      <c r="L305" s="10" t="n">
        <f aca="false">K305-J305</f>
        <v>-5.73913057953902</v>
      </c>
      <c r="M305" s="10" t="n">
        <f aca="false">IF(I305="higher",L305,-L305)</f>
        <v>5.73913057953902</v>
      </c>
    </row>
    <row r="306" customFormat="false" ht="15" hidden="false" customHeight="false" outlineLevel="0" collapsed="false">
      <c r="A306" s="7" t="s">
        <v>82</v>
      </c>
      <c r="B306" s="7" t="s">
        <v>83</v>
      </c>
      <c r="C306" s="7" t="s">
        <v>49</v>
      </c>
      <c r="D306" s="7" t="s">
        <v>94</v>
      </c>
      <c r="E306" s="7" t="s">
        <v>51</v>
      </c>
      <c r="F306" s="8" t="b">
        <f aca="false">TRUE()</f>
        <v>1</v>
      </c>
      <c r="G306" s="7" t="s">
        <v>67</v>
      </c>
      <c r="H306" s="7" t="s">
        <v>68</v>
      </c>
      <c r="I306" s="7" t="s">
        <v>54</v>
      </c>
      <c r="J306" s="9" t="n">
        <v>23.18881869007</v>
      </c>
      <c r="K306" s="9" t="n">
        <v>16.8063658360547</v>
      </c>
      <c r="L306" s="10" t="n">
        <f aca="false">K306-J306</f>
        <v>-6.3824528540153</v>
      </c>
      <c r="M306" s="10" t="n">
        <f aca="false">IF(I306="higher",L306,-L306)</f>
        <v>6.3824528540153</v>
      </c>
    </row>
    <row r="307" customFormat="false" ht="15" hidden="false" customHeight="false" outlineLevel="0" collapsed="false">
      <c r="A307" s="7" t="s">
        <v>82</v>
      </c>
      <c r="B307" s="7" t="s">
        <v>83</v>
      </c>
      <c r="C307" s="7" t="s">
        <v>49</v>
      </c>
      <c r="D307" s="7" t="s">
        <v>94</v>
      </c>
      <c r="E307" s="7" t="s">
        <v>51</v>
      </c>
      <c r="F307" s="8" t="b">
        <f aca="false">TRUE()</f>
        <v>1</v>
      </c>
      <c r="G307" s="7" t="s">
        <v>69</v>
      </c>
      <c r="H307" s="7" t="s">
        <v>70</v>
      </c>
      <c r="I307" s="7" t="s">
        <v>71</v>
      </c>
      <c r="J307" s="9" t="n">
        <v>0.486842105263158</v>
      </c>
      <c r="K307" s="9" t="n">
        <v>0.618421052631579</v>
      </c>
      <c r="L307" s="10" t="n">
        <f aca="false">K307-J307</f>
        <v>0.131578947368421</v>
      </c>
      <c r="M307" s="10" t="n">
        <f aca="false">IF(I307="higher",L307,-L307)</f>
        <v>0.131578947368421</v>
      </c>
    </row>
    <row r="308" customFormat="false" ht="15" hidden="false" customHeight="false" outlineLevel="0" collapsed="false">
      <c r="A308" s="7" t="s">
        <v>82</v>
      </c>
      <c r="B308" s="7" t="s">
        <v>83</v>
      </c>
      <c r="C308" s="7" t="s">
        <v>49</v>
      </c>
      <c r="D308" s="7" t="s">
        <v>94</v>
      </c>
      <c r="E308" s="7" t="s">
        <v>51</v>
      </c>
      <c r="F308" s="8" t="b">
        <f aca="false">TRUE()</f>
        <v>1</v>
      </c>
      <c r="G308" s="7" t="s">
        <v>72</v>
      </c>
      <c r="H308" s="7" t="s">
        <v>73</v>
      </c>
      <c r="I308" s="7" t="s">
        <v>71</v>
      </c>
      <c r="J308" s="9" t="n">
        <v>0.486842105263158</v>
      </c>
      <c r="K308" s="9" t="n">
        <v>0.894736842105263</v>
      </c>
      <c r="L308" s="10" t="n">
        <f aca="false">K308-J308</f>
        <v>0.407894736842105</v>
      </c>
      <c r="M308" s="10" t="n">
        <f aca="false">IF(I308="higher",L308,-L308)</f>
        <v>0.407894736842105</v>
      </c>
    </row>
    <row r="309" customFormat="false" ht="15" hidden="false" customHeight="false" outlineLevel="0" collapsed="false">
      <c r="A309" s="7" t="s">
        <v>82</v>
      </c>
      <c r="B309" s="7" t="s">
        <v>83</v>
      </c>
      <c r="C309" s="7" t="s">
        <v>49</v>
      </c>
      <c r="D309" s="7" t="s">
        <v>94</v>
      </c>
      <c r="E309" s="7" t="s">
        <v>51</v>
      </c>
      <c r="F309" s="8" t="b">
        <f aca="false">TRUE()</f>
        <v>1</v>
      </c>
      <c r="G309" s="7" t="s">
        <v>74</v>
      </c>
      <c r="H309" s="7" t="s">
        <v>75</v>
      </c>
      <c r="I309" s="7" t="s">
        <v>54</v>
      </c>
      <c r="J309" s="9" t="n">
        <v>0</v>
      </c>
      <c r="K309" s="9" t="n">
        <v>0</v>
      </c>
      <c r="L309" s="10" t="n">
        <f aca="false">K309-J309</f>
        <v>0</v>
      </c>
      <c r="M309" s="10" t="n">
        <f aca="false">IF(I309="higher",L309,-L309)</f>
        <v>-0</v>
      </c>
    </row>
    <row r="310" customFormat="false" ht="15" hidden="false" customHeight="false" outlineLevel="0" collapsed="false">
      <c r="A310" s="7" t="s">
        <v>82</v>
      </c>
      <c r="B310" s="7" t="s">
        <v>83</v>
      </c>
      <c r="C310" s="7" t="s">
        <v>49</v>
      </c>
      <c r="D310" s="7" t="s">
        <v>94</v>
      </c>
      <c r="E310" s="7" t="s">
        <v>51</v>
      </c>
      <c r="F310" s="8" t="b">
        <f aca="false">TRUE()</f>
        <v>1</v>
      </c>
      <c r="G310" s="7" t="s">
        <v>76</v>
      </c>
      <c r="H310" s="7" t="s">
        <v>77</v>
      </c>
      <c r="I310" s="7" t="s">
        <v>54</v>
      </c>
      <c r="J310" s="9" t="n">
        <v>0</v>
      </c>
      <c r="K310" s="9" t="n">
        <v>0.182608695652174</v>
      </c>
      <c r="L310" s="10" t="n">
        <f aca="false">K310-J310</f>
        <v>0.182608695652174</v>
      </c>
      <c r="M310" s="10" t="n">
        <f aca="false">IF(I310="higher",L310,-L310)</f>
        <v>-0.182608695652174</v>
      </c>
    </row>
    <row r="311" customFormat="false" ht="15" hidden="false" customHeight="false" outlineLevel="0" collapsed="false">
      <c r="A311" s="7" t="s">
        <v>82</v>
      </c>
      <c r="B311" s="7" t="s">
        <v>83</v>
      </c>
      <c r="C311" s="7" t="s">
        <v>49</v>
      </c>
      <c r="D311" s="7" t="s">
        <v>94</v>
      </c>
      <c r="E311" s="7" t="s">
        <v>51</v>
      </c>
      <c r="F311" s="8" t="b">
        <f aca="false">TRUE()</f>
        <v>1</v>
      </c>
      <c r="G311" s="7" t="s">
        <v>78</v>
      </c>
      <c r="H311" s="7" t="s">
        <v>79</v>
      </c>
      <c r="I311" s="7" t="s">
        <v>54</v>
      </c>
      <c r="J311" s="9" t="n">
        <v>0.0434782608695652</v>
      </c>
      <c r="K311" s="9" t="n">
        <v>0.11304347826087</v>
      </c>
      <c r="L311" s="10" t="n">
        <f aca="false">K311-J311</f>
        <v>0.0695652173913044</v>
      </c>
      <c r="M311" s="10" t="n">
        <f aca="false">IF(I311="higher",L311,-L311)</f>
        <v>-0.0695652173913044</v>
      </c>
    </row>
    <row r="312" customFormat="false" ht="15" hidden="false" customHeight="false" outlineLevel="0" collapsed="false">
      <c r="A312" s="7" t="s">
        <v>82</v>
      </c>
      <c r="B312" s="7" t="s">
        <v>83</v>
      </c>
      <c r="C312" s="7" t="s">
        <v>49</v>
      </c>
      <c r="D312" s="7" t="s">
        <v>94</v>
      </c>
      <c r="E312" s="7" t="s">
        <v>51</v>
      </c>
      <c r="F312" s="8" t="b">
        <f aca="false">TRUE()</f>
        <v>1</v>
      </c>
      <c r="G312" s="7" t="s">
        <v>80</v>
      </c>
      <c r="H312" s="7" t="s">
        <v>81</v>
      </c>
      <c r="I312" s="7" t="s">
        <v>54</v>
      </c>
      <c r="J312" s="9" t="n">
        <v>0</v>
      </c>
      <c r="K312" s="9" t="n">
        <v>0</v>
      </c>
      <c r="L312" s="10" t="n">
        <f aca="false">K312-J312</f>
        <v>0</v>
      </c>
      <c r="M312" s="10" t="n">
        <f aca="false">IF(I312="higher",L312,-L312)</f>
        <v>-0</v>
      </c>
    </row>
    <row r="313" customFormat="false" ht="15" hidden="false" customHeight="false" outlineLevel="0" collapsed="false">
      <c r="A313" s="7" t="s">
        <v>48</v>
      </c>
      <c r="B313" s="7" t="s">
        <v>10</v>
      </c>
      <c r="C313" s="7" t="s">
        <v>49</v>
      </c>
      <c r="D313" s="7" t="s">
        <v>95</v>
      </c>
      <c r="E313" s="7" t="s">
        <v>51</v>
      </c>
      <c r="F313" s="8" t="b">
        <f aca="false">TRUE()</f>
        <v>1</v>
      </c>
      <c r="G313" s="7" t="s">
        <v>52</v>
      </c>
      <c r="H313" s="7" t="s">
        <v>53</v>
      </c>
      <c r="I313" s="7" t="s">
        <v>54</v>
      </c>
      <c r="J313" s="9" t="n">
        <v>5.25351404884911</v>
      </c>
      <c r="K313" s="9" t="n">
        <v>3.71799811543673</v>
      </c>
      <c r="L313" s="10" t="n">
        <f aca="false">K313-J313</f>
        <v>-1.53551593341237</v>
      </c>
      <c r="M313" s="10" t="n">
        <f aca="false">IF(I313="higher",L313,-L313)</f>
        <v>1.53551593341237</v>
      </c>
    </row>
    <row r="314" customFormat="false" ht="15" hidden="false" customHeight="false" outlineLevel="0" collapsed="false">
      <c r="A314" s="7" t="s">
        <v>48</v>
      </c>
      <c r="B314" s="7" t="s">
        <v>10</v>
      </c>
      <c r="C314" s="7" t="s">
        <v>49</v>
      </c>
      <c r="D314" s="7" t="s">
        <v>95</v>
      </c>
      <c r="E314" s="7" t="s">
        <v>51</v>
      </c>
      <c r="F314" s="8" t="b">
        <f aca="false">TRUE()</f>
        <v>1</v>
      </c>
      <c r="G314" s="7" t="s">
        <v>55</v>
      </c>
      <c r="H314" s="7" t="s">
        <v>56</v>
      </c>
      <c r="I314" s="7" t="s">
        <v>54</v>
      </c>
      <c r="J314" s="9" t="n">
        <v>13.554777190064</v>
      </c>
      <c r="K314" s="9" t="n">
        <v>12.5566355908208</v>
      </c>
      <c r="L314" s="10" t="n">
        <f aca="false">K314-J314</f>
        <v>-0.99814159924315</v>
      </c>
      <c r="M314" s="10" t="n">
        <f aca="false">IF(I314="higher",L314,-L314)</f>
        <v>0.99814159924315</v>
      </c>
    </row>
    <row r="315" customFormat="false" ht="15" hidden="false" customHeight="false" outlineLevel="0" collapsed="false">
      <c r="A315" s="7" t="s">
        <v>48</v>
      </c>
      <c r="B315" s="7" t="s">
        <v>10</v>
      </c>
      <c r="C315" s="7" t="s">
        <v>49</v>
      </c>
      <c r="D315" s="7" t="s">
        <v>95</v>
      </c>
      <c r="E315" s="7" t="s">
        <v>51</v>
      </c>
      <c r="F315" s="8" t="b">
        <f aca="false">TRUE()</f>
        <v>1</v>
      </c>
      <c r="G315" s="7" t="s">
        <v>57</v>
      </c>
      <c r="H315" s="7" t="s">
        <v>58</v>
      </c>
      <c r="I315" s="7" t="s">
        <v>54</v>
      </c>
      <c r="J315" s="9" t="n">
        <v>6.90596585178398</v>
      </c>
      <c r="K315" s="9" t="n">
        <v>6.86128137825691</v>
      </c>
      <c r="L315" s="10" t="n">
        <f aca="false">K315-J315</f>
        <v>-0.0446844735270684</v>
      </c>
      <c r="M315" s="10" t="n">
        <f aca="false">IF(I315="higher",L315,-L315)</f>
        <v>0.0446844735270684</v>
      </c>
    </row>
    <row r="316" customFormat="false" ht="15" hidden="false" customHeight="false" outlineLevel="0" collapsed="false">
      <c r="A316" s="7" t="s">
        <v>48</v>
      </c>
      <c r="B316" s="7" t="s">
        <v>10</v>
      </c>
      <c r="C316" s="7" t="s">
        <v>49</v>
      </c>
      <c r="D316" s="7" t="s">
        <v>95</v>
      </c>
      <c r="E316" s="7" t="s">
        <v>51</v>
      </c>
      <c r="F316" s="8" t="b">
        <f aca="false">TRUE()</f>
        <v>1</v>
      </c>
      <c r="G316" s="7" t="s">
        <v>59</v>
      </c>
      <c r="H316" s="7" t="s">
        <v>60</v>
      </c>
      <c r="I316" s="7" t="s">
        <v>54</v>
      </c>
      <c r="J316" s="9" t="n">
        <v>0.0637039801498043</v>
      </c>
      <c r="K316" s="9" t="n">
        <v>0.060491697336158</v>
      </c>
      <c r="L316" s="10" t="n">
        <f aca="false">K316-J316</f>
        <v>-0.00321228281364635</v>
      </c>
      <c r="M316" s="10" t="n">
        <f aca="false">IF(I316="higher",L316,-L316)</f>
        <v>0.00321228281364635</v>
      </c>
    </row>
    <row r="317" customFormat="false" ht="15" hidden="false" customHeight="false" outlineLevel="0" collapsed="false">
      <c r="A317" s="7" t="s">
        <v>48</v>
      </c>
      <c r="B317" s="7" t="s">
        <v>10</v>
      </c>
      <c r="C317" s="7" t="s">
        <v>49</v>
      </c>
      <c r="D317" s="7" t="s">
        <v>95</v>
      </c>
      <c r="E317" s="7" t="s">
        <v>51</v>
      </c>
      <c r="F317" s="8" t="b">
        <f aca="false">TRUE()</f>
        <v>1</v>
      </c>
      <c r="G317" s="7" t="s">
        <v>61</v>
      </c>
      <c r="H317" s="7" t="s">
        <v>62</v>
      </c>
      <c r="I317" s="7" t="s">
        <v>54</v>
      </c>
      <c r="J317" s="9" t="n">
        <v>24.8398573868267</v>
      </c>
      <c r="K317" s="9" t="n">
        <v>23.1878383754631</v>
      </c>
      <c r="L317" s="10" t="n">
        <f aca="false">K317-J317</f>
        <v>-1.65201901136359</v>
      </c>
      <c r="M317" s="10" t="n">
        <f aca="false">IF(I317="higher",L317,-L317)</f>
        <v>1.65201901136359</v>
      </c>
    </row>
    <row r="318" customFormat="false" ht="15" hidden="false" customHeight="false" outlineLevel="0" collapsed="false">
      <c r="A318" s="7" t="s">
        <v>48</v>
      </c>
      <c r="B318" s="7" t="s">
        <v>10</v>
      </c>
      <c r="C318" s="7" t="s">
        <v>49</v>
      </c>
      <c r="D318" s="7" t="s">
        <v>95</v>
      </c>
      <c r="E318" s="7" t="s">
        <v>51</v>
      </c>
      <c r="F318" s="8" t="b">
        <f aca="false">TRUE()</f>
        <v>1</v>
      </c>
      <c r="G318" s="7" t="s">
        <v>63</v>
      </c>
      <c r="H318" s="7" t="s">
        <v>64</v>
      </c>
      <c r="I318" s="7" t="s">
        <v>54</v>
      </c>
      <c r="J318" s="9" t="n">
        <v>6.84338689272827</v>
      </c>
      <c r="K318" s="9" t="n">
        <v>6.86991986000213</v>
      </c>
      <c r="L318" s="10" t="n">
        <f aca="false">K318-J318</f>
        <v>0.0265329672738588</v>
      </c>
      <c r="M318" s="10" t="n">
        <f aca="false">IF(I318="higher",L318,-L318)</f>
        <v>-0.0265329672738588</v>
      </c>
    </row>
    <row r="319" customFormat="false" ht="15" hidden="false" customHeight="false" outlineLevel="0" collapsed="false">
      <c r="A319" s="7" t="s">
        <v>48</v>
      </c>
      <c r="B319" s="7" t="s">
        <v>10</v>
      </c>
      <c r="C319" s="7" t="s">
        <v>49</v>
      </c>
      <c r="D319" s="7" t="s">
        <v>95</v>
      </c>
      <c r="E319" s="7" t="s">
        <v>51</v>
      </c>
      <c r="F319" s="8" t="b">
        <f aca="false">TRUE()</f>
        <v>1</v>
      </c>
      <c r="G319" s="7" t="s">
        <v>65</v>
      </c>
      <c r="H319" s="7" t="s">
        <v>66</v>
      </c>
      <c r="I319" s="7" t="s">
        <v>54</v>
      </c>
      <c r="J319" s="9" t="n">
        <v>25.7283001611697</v>
      </c>
      <c r="K319" s="9" t="n">
        <v>23.7289959137117</v>
      </c>
      <c r="L319" s="10" t="n">
        <f aca="false">K319-J319</f>
        <v>-1.99930424745797</v>
      </c>
      <c r="M319" s="10" t="n">
        <f aca="false">IF(I319="higher",L319,-L319)</f>
        <v>1.99930424745797</v>
      </c>
    </row>
    <row r="320" customFormat="false" ht="15" hidden="false" customHeight="false" outlineLevel="0" collapsed="false">
      <c r="A320" s="7" t="s">
        <v>48</v>
      </c>
      <c r="B320" s="7" t="s">
        <v>10</v>
      </c>
      <c r="C320" s="7" t="s">
        <v>49</v>
      </c>
      <c r="D320" s="7" t="s">
        <v>95</v>
      </c>
      <c r="E320" s="7" t="s">
        <v>51</v>
      </c>
      <c r="F320" s="8" t="b">
        <f aca="false">TRUE()</f>
        <v>1</v>
      </c>
      <c r="G320" s="7" t="s">
        <v>67</v>
      </c>
      <c r="H320" s="7" t="s">
        <v>68</v>
      </c>
      <c r="I320" s="7" t="s">
        <v>54</v>
      </c>
      <c r="J320" s="9" t="n">
        <v>13.3736900715399</v>
      </c>
      <c r="K320" s="9" t="n">
        <v>13.3566846058274</v>
      </c>
      <c r="L320" s="10" t="n">
        <f aca="false">K320-J320</f>
        <v>-0.0170054657124314</v>
      </c>
      <c r="M320" s="10" t="n">
        <f aca="false">IF(I320="higher",L320,-L320)</f>
        <v>0.0170054657124314</v>
      </c>
    </row>
    <row r="321" customFormat="false" ht="15" hidden="false" customHeight="false" outlineLevel="0" collapsed="false">
      <c r="A321" s="7" t="s">
        <v>48</v>
      </c>
      <c r="B321" s="7" t="s">
        <v>10</v>
      </c>
      <c r="C321" s="7" t="s">
        <v>49</v>
      </c>
      <c r="D321" s="7" t="s">
        <v>95</v>
      </c>
      <c r="E321" s="7" t="s">
        <v>51</v>
      </c>
      <c r="F321" s="8" t="b">
        <f aca="false">TRUE()</f>
        <v>1</v>
      </c>
      <c r="G321" s="7" t="s">
        <v>69</v>
      </c>
      <c r="H321" s="7" t="s">
        <v>70</v>
      </c>
      <c r="I321" s="7" t="s">
        <v>71</v>
      </c>
      <c r="J321" s="9" t="n">
        <v>0.432432432432432</v>
      </c>
      <c r="K321" s="9" t="n">
        <v>0.554054054054054</v>
      </c>
      <c r="L321" s="10" t="n">
        <f aca="false">K321-J321</f>
        <v>0.121621621621622</v>
      </c>
      <c r="M321" s="10" t="n">
        <f aca="false">IF(I321="higher",L321,-L321)</f>
        <v>0.121621621621622</v>
      </c>
    </row>
    <row r="322" customFormat="false" ht="15" hidden="false" customHeight="false" outlineLevel="0" collapsed="false">
      <c r="A322" s="7" t="s">
        <v>48</v>
      </c>
      <c r="B322" s="7" t="s">
        <v>10</v>
      </c>
      <c r="C322" s="7" t="s">
        <v>49</v>
      </c>
      <c r="D322" s="7" t="s">
        <v>95</v>
      </c>
      <c r="E322" s="7" t="s">
        <v>51</v>
      </c>
      <c r="F322" s="8" t="b">
        <f aca="false">TRUE()</f>
        <v>1</v>
      </c>
      <c r="G322" s="7" t="s">
        <v>72</v>
      </c>
      <c r="H322" s="7" t="s">
        <v>73</v>
      </c>
      <c r="I322" s="7" t="s">
        <v>71</v>
      </c>
      <c r="J322" s="9" t="n">
        <v>0.77027027027027</v>
      </c>
      <c r="K322" s="9" t="n">
        <v>0.824324324324324</v>
      </c>
      <c r="L322" s="10" t="n">
        <f aca="false">K322-J322</f>
        <v>0.0540540540540541</v>
      </c>
      <c r="M322" s="10" t="n">
        <f aca="false">IF(I322="higher",L322,-L322)</f>
        <v>0.0540540540540541</v>
      </c>
    </row>
    <row r="323" customFormat="false" ht="15" hidden="false" customHeight="false" outlineLevel="0" collapsed="false">
      <c r="A323" s="7" t="s">
        <v>48</v>
      </c>
      <c r="B323" s="7" t="s">
        <v>10</v>
      </c>
      <c r="C323" s="7" t="s">
        <v>49</v>
      </c>
      <c r="D323" s="7" t="s">
        <v>95</v>
      </c>
      <c r="E323" s="7" t="s">
        <v>51</v>
      </c>
      <c r="F323" s="8" t="b">
        <f aca="false">TRUE()</f>
        <v>1</v>
      </c>
      <c r="G323" s="7" t="s">
        <v>74</v>
      </c>
      <c r="H323" s="7" t="s">
        <v>75</v>
      </c>
      <c r="I323" s="7" t="s">
        <v>54</v>
      </c>
      <c r="J323" s="9" t="n">
        <v>0</v>
      </c>
      <c r="K323" s="9" t="n">
        <v>0</v>
      </c>
      <c r="L323" s="10" t="n">
        <f aca="false">K323-J323</f>
        <v>0</v>
      </c>
      <c r="M323" s="10" t="n">
        <f aca="false">IF(I323="higher",L323,-L323)</f>
        <v>-0</v>
      </c>
    </row>
    <row r="324" customFormat="false" ht="15" hidden="false" customHeight="false" outlineLevel="0" collapsed="false">
      <c r="A324" s="7" t="s">
        <v>48</v>
      </c>
      <c r="B324" s="7" t="s">
        <v>10</v>
      </c>
      <c r="C324" s="7" t="s">
        <v>49</v>
      </c>
      <c r="D324" s="7" t="s">
        <v>95</v>
      </c>
      <c r="E324" s="7" t="s">
        <v>51</v>
      </c>
      <c r="F324" s="8" t="b">
        <f aca="false">TRUE()</f>
        <v>1</v>
      </c>
      <c r="G324" s="7" t="s">
        <v>76</v>
      </c>
      <c r="H324" s="7" t="s">
        <v>77</v>
      </c>
      <c r="I324" s="7" t="s">
        <v>54</v>
      </c>
      <c r="J324" s="9" t="n">
        <v>0.192307692307692</v>
      </c>
      <c r="K324" s="9" t="n">
        <v>0.153846153846154</v>
      </c>
      <c r="L324" s="10" t="n">
        <f aca="false">K324-J324</f>
        <v>-0.0384615384615384</v>
      </c>
      <c r="M324" s="10" t="n">
        <f aca="false">IF(I324="higher",L324,-L324)</f>
        <v>0.0384615384615384</v>
      </c>
    </row>
    <row r="325" customFormat="false" ht="15" hidden="false" customHeight="false" outlineLevel="0" collapsed="false">
      <c r="A325" s="7" t="s">
        <v>48</v>
      </c>
      <c r="B325" s="7" t="s">
        <v>10</v>
      </c>
      <c r="C325" s="7" t="s">
        <v>49</v>
      </c>
      <c r="D325" s="7" t="s">
        <v>95</v>
      </c>
      <c r="E325" s="7" t="s">
        <v>51</v>
      </c>
      <c r="F325" s="8" t="b">
        <f aca="false">TRUE()</f>
        <v>1</v>
      </c>
      <c r="G325" s="7" t="s">
        <v>78</v>
      </c>
      <c r="H325" s="7" t="s">
        <v>79</v>
      </c>
      <c r="I325" s="7" t="s">
        <v>54</v>
      </c>
      <c r="J325" s="9" t="n">
        <v>0.146153846153846</v>
      </c>
      <c r="K325" s="9" t="n">
        <v>0</v>
      </c>
      <c r="L325" s="10" t="n">
        <f aca="false">K325-J325</f>
        <v>-0.146153846153846</v>
      </c>
      <c r="M325" s="10" t="n">
        <f aca="false">IF(I325="higher",L325,-L325)</f>
        <v>0.146153846153846</v>
      </c>
    </row>
    <row r="326" customFormat="false" ht="15" hidden="false" customHeight="false" outlineLevel="0" collapsed="false">
      <c r="A326" s="7" t="s">
        <v>48</v>
      </c>
      <c r="B326" s="7" t="s">
        <v>10</v>
      </c>
      <c r="C326" s="7" t="s">
        <v>49</v>
      </c>
      <c r="D326" s="7" t="s">
        <v>95</v>
      </c>
      <c r="E326" s="7" t="s">
        <v>51</v>
      </c>
      <c r="F326" s="8" t="b">
        <f aca="false">TRUE()</f>
        <v>1</v>
      </c>
      <c r="G326" s="7" t="s">
        <v>80</v>
      </c>
      <c r="H326" s="7" t="s">
        <v>81</v>
      </c>
      <c r="I326" s="7" t="s">
        <v>54</v>
      </c>
      <c r="J326" s="9" t="n">
        <v>0</v>
      </c>
      <c r="K326" s="9" t="n">
        <v>0</v>
      </c>
      <c r="L326" s="10" t="n">
        <f aca="false">K326-J326</f>
        <v>0</v>
      </c>
      <c r="M326" s="10" t="n">
        <f aca="false">IF(I326="higher",L326,-L326)</f>
        <v>-0</v>
      </c>
    </row>
    <row r="327" customFormat="false" ht="15" hidden="false" customHeight="false" outlineLevel="0" collapsed="false">
      <c r="A327" s="7" t="s">
        <v>82</v>
      </c>
      <c r="B327" s="7" t="s">
        <v>83</v>
      </c>
      <c r="C327" s="7" t="s">
        <v>49</v>
      </c>
      <c r="D327" s="7" t="s">
        <v>95</v>
      </c>
      <c r="E327" s="7" t="s">
        <v>51</v>
      </c>
      <c r="F327" s="8" t="b">
        <f aca="false">TRUE()</f>
        <v>1</v>
      </c>
      <c r="G327" s="7" t="s">
        <v>52</v>
      </c>
      <c r="H327" s="7" t="s">
        <v>53</v>
      </c>
      <c r="I327" s="7" t="s">
        <v>54</v>
      </c>
      <c r="J327" s="9" t="n">
        <v>4.13994382930517</v>
      </c>
      <c r="K327" s="9" t="n">
        <v>3.71799811543673</v>
      </c>
      <c r="L327" s="10" t="n">
        <f aca="false">K327-J327</f>
        <v>-0.421945713868436</v>
      </c>
      <c r="M327" s="10" t="n">
        <f aca="false">IF(I327="higher",L327,-L327)</f>
        <v>0.421945713868436</v>
      </c>
    </row>
    <row r="328" customFormat="false" ht="15" hidden="false" customHeight="false" outlineLevel="0" collapsed="false">
      <c r="A328" s="7" t="s">
        <v>82</v>
      </c>
      <c r="B328" s="7" t="s">
        <v>83</v>
      </c>
      <c r="C328" s="7" t="s">
        <v>49</v>
      </c>
      <c r="D328" s="7" t="s">
        <v>95</v>
      </c>
      <c r="E328" s="7" t="s">
        <v>51</v>
      </c>
      <c r="F328" s="8" t="b">
        <f aca="false">TRUE()</f>
        <v>1</v>
      </c>
      <c r="G328" s="7" t="s">
        <v>55</v>
      </c>
      <c r="H328" s="7" t="s">
        <v>56</v>
      </c>
      <c r="I328" s="7" t="s">
        <v>54</v>
      </c>
      <c r="J328" s="9" t="n">
        <v>12.5455176298274</v>
      </c>
      <c r="K328" s="9" t="n">
        <v>12.5566355908208</v>
      </c>
      <c r="L328" s="10" t="n">
        <f aca="false">K328-J328</f>
        <v>0.0111179609934098</v>
      </c>
      <c r="M328" s="10" t="n">
        <f aca="false">IF(I328="higher",L328,-L328)</f>
        <v>-0.0111179609934098</v>
      </c>
    </row>
    <row r="329" customFormat="false" ht="15" hidden="false" customHeight="false" outlineLevel="0" collapsed="false">
      <c r="A329" s="7" t="s">
        <v>82</v>
      </c>
      <c r="B329" s="7" t="s">
        <v>83</v>
      </c>
      <c r="C329" s="7" t="s">
        <v>49</v>
      </c>
      <c r="D329" s="7" t="s">
        <v>95</v>
      </c>
      <c r="E329" s="7" t="s">
        <v>51</v>
      </c>
      <c r="F329" s="8" t="b">
        <f aca="false">TRUE()</f>
        <v>1</v>
      </c>
      <c r="G329" s="7" t="s">
        <v>57</v>
      </c>
      <c r="H329" s="7" t="s">
        <v>58</v>
      </c>
      <c r="I329" s="7" t="s">
        <v>54</v>
      </c>
      <c r="J329" s="9" t="n">
        <v>6.4087308796086</v>
      </c>
      <c r="K329" s="9" t="n">
        <v>6.86128137825691</v>
      </c>
      <c r="L329" s="10" t="n">
        <f aca="false">K329-J329</f>
        <v>0.452550498648311</v>
      </c>
      <c r="M329" s="10" t="n">
        <f aca="false">IF(I329="higher",L329,-L329)</f>
        <v>-0.452550498648311</v>
      </c>
    </row>
    <row r="330" customFormat="false" ht="15" hidden="false" customHeight="false" outlineLevel="0" collapsed="false">
      <c r="A330" s="7" t="s">
        <v>82</v>
      </c>
      <c r="B330" s="7" t="s">
        <v>83</v>
      </c>
      <c r="C330" s="7" t="s">
        <v>49</v>
      </c>
      <c r="D330" s="7" t="s">
        <v>95</v>
      </c>
      <c r="E330" s="7" t="s">
        <v>51</v>
      </c>
      <c r="F330" s="8" t="b">
        <f aca="false">TRUE()</f>
        <v>1</v>
      </c>
      <c r="G330" s="7" t="s">
        <v>59</v>
      </c>
      <c r="H330" s="7" t="s">
        <v>60</v>
      </c>
      <c r="I330" s="7" t="s">
        <v>54</v>
      </c>
      <c r="J330" s="9" t="n">
        <v>0.0610839336005658</v>
      </c>
      <c r="K330" s="9" t="n">
        <v>0.060491697336158</v>
      </c>
      <c r="L330" s="10" t="n">
        <f aca="false">K330-J330</f>
        <v>-0.00059223626440788</v>
      </c>
      <c r="M330" s="10" t="n">
        <f aca="false">IF(I330="higher",L330,-L330)</f>
        <v>0.00059223626440788</v>
      </c>
    </row>
    <row r="331" customFormat="false" ht="15" hidden="false" customHeight="false" outlineLevel="0" collapsed="false">
      <c r="A331" s="7" t="s">
        <v>82</v>
      </c>
      <c r="B331" s="7" t="s">
        <v>83</v>
      </c>
      <c r="C331" s="7" t="s">
        <v>49</v>
      </c>
      <c r="D331" s="7" t="s">
        <v>95</v>
      </c>
      <c r="E331" s="7" t="s">
        <v>51</v>
      </c>
      <c r="F331" s="8" t="b">
        <f aca="false">TRUE()</f>
        <v>1</v>
      </c>
      <c r="G331" s="7" t="s">
        <v>61</v>
      </c>
      <c r="H331" s="7" t="s">
        <v>62</v>
      </c>
      <c r="I331" s="7" t="s">
        <v>54</v>
      </c>
      <c r="J331" s="9" t="n">
        <v>19.9918304703496</v>
      </c>
      <c r="K331" s="9" t="n">
        <v>23.1878383754631</v>
      </c>
      <c r="L331" s="10" t="n">
        <f aca="false">K331-J331</f>
        <v>3.19600790511349</v>
      </c>
      <c r="M331" s="10" t="n">
        <f aca="false">IF(I331="higher",L331,-L331)</f>
        <v>-3.19600790511349</v>
      </c>
    </row>
    <row r="332" customFormat="false" ht="15" hidden="false" customHeight="false" outlineLevel="0" collapsed="false">
      <c r="A332" s="7" t="s">
        <v>82</v>
      </c>
      <c r="B332" s="7" t="s">
        <v>83</v>
      </c>
      <c r="C332" s="7" t="s">
        <v>49</v>
      </c>
      <c r="D332" s="7" t="s">
        <v>95</v>
      </c>
      <c r="E332" s="7" t="s">
        <v>51</v>
      </c>
      <c r="F332" s="8" t="b">
        <f aca="false">TRUE()</f>
        <v>1</v>
      </c>
      <c r="G332" s="7" t="s">
        <v>63</v>
      </c>
      <c r="H332" s="7" t="s">
        <v>64</v>
      </c>
      <c r="I332" s="7" t="s">
        <v>54</v>
      </c>
      <c r="J332" s="9" t="n">
        <v>6.2224781748247</v>
      </c>
      <c r="K332" s="9" t="n">
        <v>6.86991986000213</v>
      </c>
      <c r="L332" s="10" t="n">
        <f aca="false">K332-J332</f>
        <v>0.647441685177425</v>
      </c>
      <c r="M332" s="10" t="n">
        <f aca="false">IF(I332="higher",L332,-L332)</f>
        <v>-0.647441685177425</v>
      </c>
    </row>
    <row r="333" customFormat="false" ht="15" hidden="false" customHeight="false" outlineLevel="0" collapsed="false">
      <c r="A333" s="7" t="s">
        <v>82</v>
      </c>
      <c r="B333" s="7" t="s">
        <v>83</v>
      </c>
      <c r="C333" s="7" t="s">
        <v>49</v>
      </c>
      <c r="D333" s="7" t="s">
        <v>95</v>
      </c>
      <c r="E333" s="7" t="s">
        <v>51</v>
      </c>
      <c r="F333" s="8" t="b">
        <f aca="false">TRUE()</f>
        <v>1</v>
      </c>
      <c r="G333" s="7" t="s">
        <v>65</v>
      </c>
      <c r="H333" s="7" t="s">
        <v>66</v>
      </c>
      <c r="I333" s="7" t="s">
        <v>54</v>
      </c>
      <c r="J333" s="9" t="n">
        <v>20.224377751547</v>
      </c>
      <c r="K333" s="9" t="n">
        <v>23.7289959137117</v>
      </c>
      <c r="L333" s="10" t="n">
        <f aca="false">K333-J333</f>
        <v>3.50461816216476</v>
      </c>
      <c r="M333" s="10" t="n">
        <f aca="false">IF(I333="higher",L333,-L333)</f>
        <v>-3.50461816216476</v>
      </c>
    </row>
    <row r="334" customFormat="false" ht="15" hidden="false" customHeight="false" outlineLevel="0" collapsed="false">
      <c r="A334" s="7" t="s">
        <v>82</v>
      </c>
      <c r="B334" s="7" t="s">
        <v>83</v>
      </c>
      <c r="C334" s="7" t="s">
        <v>49</v>
      </c>
      <c r="D334" s="7" t="s">
        <v>95</v>
      </c>
      <c r="E334" s="7" t="s">
        <v>51</v>
      </c>
      <c r="F334" s="8" t="b">
        <f aca="false">TRUE()</f>
        <v>1</v>
      </c>
      <c r="G334" s="7" t="s">
        <v>67</v>
      </c>
      <c r="H334" s="7" t="s">
        <v>68</v>
      </c>
      <c r="I334" s="7" t="s">
        <v>54</v>
      </c>
      <c r="J334" s="9" t="n">
        <v>14.8619197187042</v>
      </c>
      <c r="K334" s="9" t="n">
        <v>13.3566846058274</v>
      </c>
      <c r="L334" s="10" t="n">
        <f aca="false">K334-J334</f>
        <v>-1.50523511287675</v>
      </c>
      <c r="M334" s="10" t="n">
        <f aca="false">IF(I334="higher",L334,-L334)</f>
        <v>1.50523511287675</v>
      </c>
    </row>
    <row r="335" customFormat="false" ht="15" hidden="false" customHeight="false" outlineLevel="0" collapsed="false">
      <c r="A335" s="7" t="s">
        <v>82</v>
      </c>
      <c r="B335" s="7" t="s">
        <v>83</v>
      </c>
      <c r="C335" s="7" t="s">
        <v>49</v>
      </c>
      <c r="D335" s="7" t="s">
        <v>95</v>
      </c>
      <c r="E335" s="7" t="s">
        <v>51</v>
      </c>
      <c r="F335" s="8" t="b">
        <f aca="false">TRUE()</f>
        <v>1</v>
      </c>
      <c r="G335" s="7" t="s">
        <v>69</v>
      </c>
      <c r="H335" s="7" t="s">
        <v>70</v>
      </c>
      <c r="I335" s="7" t="s">
        <v>71</v>
      </c>
      <c r="J335" s="9" t="n">
        <v>0.418918918918919</v>
      </c>
      <c r="K335" s="9" t="n">
        <v>0.554054054054054</v>
      </c>
      <c r="L335" s="10" t="n">
        <f aca="false">K335-J335</f>
        <v>0.135135135135135</v>
      </c>
      <c r="M335" s="10" t="n">
        <f aca="false">IF(I335="higher",L335,-L335)</f>
        <v>0.135135135135135</v>
      </c>
    </row>
    <row r="336" customFormat="false" ht="15" hidden="false" customHeight="false" outlineLevel="0" collapsed="false">
      <c r="A336" s="7" t="s">
        <v>82</v>
      </c>
      <c r="B336" s="7" t="s">
        <v>83</v>
      </c>
      <c r="C336" s="7" t="s">
        <v>49</v>
      </c>
      <c r="D336" s="7" t="s">
        <v>95</v>
      </c>
      <c r="E336" s="7" t="s">
        <v>51</v>
      </c>
      <c r="F336" s="8" t="b">
        <f aca="false">TRUE()</f>
        <v>1</v>
      </c>
      <c r="G336" s="7" t="s">
        <v>72</v>
      </c>
      <c r="H336" s="7" t="s">
        <v>73</v>
      </c>
      <c r="I336" s="7" t="s">
        <v>71</v>
      </c>
      <c r="J336" s="9" t="n">
        <v>0.77027027027027</v>
      </c>
      <c r="K336" s="9" t="n">
        <v>0.824324324324324</v>
      </c>
      <c r="L336" s="10" t="n">
        <f aca="false">K336-J336</f>
        <v>0.0540540540540541</v>
      </c>
      <c r="M336" s="10" t="n">
        <f aca="false">IF(I336="higher",L336,-L336)</f>
        <v>0.0540540540540541</v>
      </c>
    </row>
    <row r="337" customFormat="false" ht="15" hidden="false" customHeight="false" outlineLevel="0" collapsed="false">
      <c r="A337" s="7" t="s">
        <v>82</v>
      </c>
      <c r="B337" s="7" t="s">
        <v>83</v>
      </c>
      <c r="C337" s="7" t="s">
        <v>49</v>
      </c>
      <c r="D337" s="7" t="s">
        <v>95</v>
      </c>
      <c r="E337" s="7" t="s">
        <v>51</v>
      </c>
      <c r="F337" s="8" t="b">
        <f aca="false">TRUE()</f>
        <v>1</v>
      </c>
      <c r="G337" s="7" t="s">
        <v>74</v>
      </c>
      <c r="H337" s="7" t="s">
        <v>75</v>
      </c>
      <c r="I337" s="7" t="s">
        <v>54</v>
      </c>
      <c r="J337" s="9" t="n">
        <v>0.0256410256410256</v>
      </c>
      <c r="K337" s="9" t="n">
        <v>0</v>
      </c>
      <c r="L337" s="10" t="n">
        <f aca="false">K337-J337</f>
        <v>-0.0256410256410256</v>
      </c>
      <c r="M337" s="10" t="n">
        <f aca="false">IF(I337="higher",L337,-L337)</f>
        <v>0.0256410256410256</v>
      </c>
    </row>
    <row r="338" customFormat="false" ht="15" hidden="false" customHeight="false" outlineLevel="0" collapsed="false">
      <c r="A338" s="7" t="s">
        <v>82</v>
      </c>
      <c r="B338" s="7" t="s">
        <v>83</v>
      </c>
      <c r="C338" s="7" t="s">
        <v>49</v>
      </c>
      <c r="D338" s="7" t="s">
        <v>95</v>
      </c>
      <c r="E338" s="7" t="s">
        <v>51</v>
      </c>
      <c r="F338" s="8" t="b">
        <f aca="false">TRUE()</f>
        <v>1</v>
      </c>
      <c r="G338" s="7" t="s">
        <v>76</v>
      </c>
      <c r="H338" s="7" t="s">
        <v>77</v>
      </c>
      <c r="I338" s="7" t="s">
        <v>54</v>
      </c>
      <c r="J338" s="9" t="n">
        <v>0.2</v>
      </c>
      <c r="K338" s="9" t="n">
        <v>0.153846153846154</v>
      </c>
      <c r="L338" s="10" t="n">
        <f aca="false">K338-J338</f>
        <v>-0.0461538461538461</v>
      </c>
      <c r="M338" s="10" t="n">
        <f aca="false">IF(I338="higher",L338,-L338)</f>
        <v>0.0461538461538461</v>
      </c>
    </row>
    <row r="339" customFormat="false" ht="15" hidden="false" customHeight="false" outlineLevel="0" collapsed="false">
      <c r="A339" s="7" t="s">
        <v>82</v>
      </c>
      <c r="B339" s="7" t="s">
        <v>83</v>
      </c>
      <c r="C339" s="7" t="s">
        <v>49</v>
      </c>
      <c r="D339" s="7" t="s">
        <v>95</v>
      </c>
      <c r="E339" s="7" t="s">
        <v>51</v>
      </c>
      <c r="F339" s="8" t="b">
        <f aca="false">TRUE()</f>
        <v>1</v>
      </c>
      <c r="G339" s="7" t="s">
        <v>78</v>
      </c>
      <c r="H339" s="7" t="s">
        <v>79</v>
      </c>
      <c r="I339" s="7" t="s">
        <v>54</v>
      </c>
      <c r="J339" s="9" t="n">
        <v>0.0769230769230769</v>
      </c>
      <c r="K339" s="9" t="n">
        <v>0</v>
      </c>
      <c r="L339" s="10" t="n">
        <f aca="false">K339-J339</f>
        <v>-0.0769230769230769</v>
      </c>
      <c r="M339" s="10" t="n">
        <f aca="false">IF(I339="higher",L339,-L339)</f>
        <v>0.0769230769230769</v>
      </c>
    </row>
    <row r="340" customFormat="false" ht="15" hidden="false" customHeight="false" outlineLevel="0" collapsed="false">
      <c r="A340" s="7" t="s">
        <v>82</v>
      </c>
      <c r="B340" s="7" t="s">
        <v>83</v>
      </c>
      <c r="C340" s="7" t="s">
        <v>49</v>
      </c>
      <c r="D340" s="7" t="s">
        <v>95</v>
      </c>
      <c r="E340" s="7" t="s">
        <v>51</v>
      </c>
      <c r="F340" s="8" t="b">
        <f aca="false">TRUE()</f>
        <v>1</v>
      </c>
      <c r="G340" s="7" t="s">
        <v>80</v>
      </c>
      <c r="H340" s="7" t="s">
        <v>81</v>
      </c>
      <c r="I340" s="7" t="s">
        <v>54</v>
      </c>
      <c r="J340" s="9" t="n">
        <v>0</v>
      </c>
      <c r="K340" s="9" t="n">
        <v>0</v>
      </c>
      <c r="L340" s="10" t="n">
        <f aca="false">K340-J340</f>
        <v>0</v>
      </c>
      <c r="M340" s="10" t="n">
        <f aca="false">IF(I340="higher",L340,-L340)</f>
        <v>-0</v>
      </c>
    </row>
    <row r="341" customFormat="false" ht="15" hidden="false" customHeight="false" outlineLevel="0" collapsed="false">
      <c r="A341" s="7" t="s">
        <v>48</v>
      </c>
      <c r="B341" s="7" t="s">
        <v>10</v>
      </c>
      <c r="C341" s="7" t="s">
        <v>49</v>
      </c>
      <c r="D341" s="7" t="s">
        <v>96</v>
      </c>
      <c r="E341" s="7" t="s">
        <v>51</v>
      </c>
      <c r="F341" s="8" t="b">
        <f aca="false">TRUE()</f>
        <v>1</v>
      </c>
      <c r="G341" s="7" t="s">
        <v>52</v>
      </c>
      <c r="H341" s="7" t="s">
        <v>53</v>
      </c>
      <c r="I341" s="7" t="s">
        <v>54</v>
      </c>
      <c r="J341" s="9" t="n">
        <v>5.28661718321716</v>
      </c>
      <c r="K341" s="9" t="n">
        <v>3.24955624772407</v>
      </c>
      <c r="L341" s="10" t="n">
        <f aca="false">K341-J341</f>
        <v>-2.03706093549309</v>
      </c>
      <c r="M341" s="10" t="n">
        <f aca="false">IF(I341="higher",L341,-L341)</f>
        <v>2.03706093549309</v>
      </c>
    </row>
    <row r="342" customFormat="false" ht="15" hidden="false" customHeight="false" outlineLevel="0" collapsed="false">
      <c r="A342" s="7" t="s">
        <v>48</v>
      </c>
      <c r="B342" s="7" t="s">
        <v>10</v>
      </c>
      <c r="C342" s="7" t="s">
        <v>49</v>
      </c>
      <c r="D342" s="7" t="s">
        <v>96</v>
      </c>
      <c r="E342" s="7" t="s">
        <v>51</v>
      </c>
      <c r="F342" s="8" t="b">
        <f aca="false">TRUE()</f>
        <v>1</v>
      </c>
      <c r="G342" s="7" t="s">
        <v>55</v>
      </c>
      <c r="H342" s="7" t="s">
        <v>56</v>
      </c>
      <c r="I342" s="7" t="s">
        <v>54</v>
      </c>
      <c r="J342" s="9" t="n">
        <v>11.0541980159141</v>
      </c>
      <c r="K342" s="9" t="n">
        <v>6.89512861344936</v>
      </c>
      <c r="L342" s="10" t="n">
        <f aca="false">K342-J342</f>
        <v>-4.15906940246477</v>
      </c>
      <c r="M342" s="10" t="n">
        <f aca="false">IF(I342="higher",L342,-L342)</f>
        <v>4.15906940246477</v>
      </c>
    </row>
    <row r="343" customFormat="false" ht="15" hidden="false" customHeight="false" outlineLevel="0" collapsed="false">
      <c r="A343" s="7" t="s">
        <v>48</v>
      </c>
      <c r="B343" s="7" t="s">
        <v>10</v>
      </c>
      <c r="C343" s="7" t="s">
        <v>49</v>
      </c>
      <c r="D343" s="7" t="s">
        <v>96</v>
      </c>
      <c r="E343" s="7" t="s">
        <v>51</v>
      </c>
      <c r="F343" s="8" t="b">
        <f aca="false">TRUE()</f>
        <v>1</v>
      </c>
      <c r="G343" s="7" t="s">
        <v>57</v>
      </c>
      <c r="H343" s="7" t="s">
        <v>58</v>
      </c>
      <c r="I343" s="7" t="s">
        <v>54</v>
      </c>
      <c r="J343" s="9" t="n">
        <v>5.99228813584202</v>
      </c>
      <c r="K343" s="9" t="n">
        <v>3.45824238604432</v>
      </c>
      <c r="L343" s="10" t="n">
        <f aca="false">K343-J343</f>
        <v>-2.53404574979769</v>
      </c>
      <c r="M343" s="10" t="n">
        <f aca="false">IF(I343="higher",L343,-L343)</f>
        <v>2.53404574979769</v>
      </c>
    </row>
    <row r="344" customFormat="false" ht="15" hidden="false" customHeight="false" outlineLevel="0" collapsed="false">
      <c r="A344" s="7" t="s">
        <v>48</v>
      </c>
      <c r="B344" s="7" t="s">
        <v>10</v>
      </c>
      <c r="C344" s="7" t="s">
        <v>49</v>
      </c>
      <c r="D344" s="7" t="s">
        <v>96</v>
      </c>
      <c r="E344" s="7" t="s">
        <v>51</v>
      </c>
      <c r="F344" s="8" t="b">
        <f aca="false">TRUE()</f>
        <v>1</v>
      </c>
      <c r="G344" s="7" t="s">
        <v>59</v>
      </c>
      <c r="H344" s="7" t="s">
        <v>60</v>
      </c>
      <c r="I344" s="7" t="s">
        <v>54</v>
      </c>
      <c r="J344" s="9" t="n">
        <v>0.0621671162196027</v>
      </c>
      <c r="K344" s="9" t="n">
        <v>0.0517629103213766</v>
      </c>
      <c r="L344" s="10" t="n">
        <f aca="false">K344-J344</f>
        <v>-0.0104042058982261</v>
      </c>
      <c r="M344" s="10" t="n">
        <f aca="false">IF(I344="higher",L344,-L344)</f>
        <v>0.0104042058982261</v>
      </c>
    </row>
    <row r="345" customFormat="false" ht="15" hidden="false" customHeight="false" outlineLevel="0" collapsed="false">
      <c r="A345" s="7" t="s">
        <v>48</v>
      </c>
      <c r="B345" s="7" t="s">
        <v>10</v>
      </c>
      <c r="C345" s="7" t="s">
        <v>49</v>
      </c>
      <c r="D345" s="7" t="s">
        <v>96</v>
      </c>
      <c r="E345" s="7" t="s">
        <v>51</v>
      </c>
      <c r="F345" s="8" t="b">
        <f aca="false">TRUE()</f>
        <v>1</v>
      </c>
      <c r="G345" s="7" t="s">
        <v>61</v>
      </c>
      <c r="H345" s="7" t="s">
        <v>62</v>
      </c>
      <c r="I345" s="7" t="s">
        <v>54</v>
      </c>
      <c r="J345" s="9" t="n">
        <v>22.5788363849436</v>
      </c>
      <c r="K345" s="9" t="n">
        <v>29.2538963779169</v>
      </c>
      <c r="L345" s="10" t="n">
        <f aca="false">K345-J345</f>
        <v>6.67505999297329</v>
      </c>
      <c r="M345" s="10" t="n">
        <f aca="false">IF(I345="higher",L345,-L345)</f>
        <v>-6.67505999297329</v>
      </c>
    </row>
    <row r="346" customFormat="false" ht="15" hidden="false" customHeight="false" outlineLevel="0" collapsed="false">
      <c r="A346" s="7" t="s">
        <v>48</v>
      </c>
      <c r="B346" s="7" t="s">
        <v>10</v>
      </c>
      <c r="C346" s="7" t="s">
        <v>49</v>
      </c>
      <c r="D346" s="7" t="s">
        <v>96</v>
      </c>
      <c r="E346" s="7" t="s">
        <v>51</v>
      </c>
      <c r="F346" s="8" t="b">
        <f aca="false">TRUE()</f>
        <v>1</v>
      </c>
      <c r="G346" s="7" t="s">
        <v>63</v>
      </c>
      <c r="H346" s="7" t="s">
        <v>64</v>
      </c>
      <c r="I346" s="7" t="s">
        <v>54</v>
      </c>
      <c r="J346" s="9" t="n">
        <v>4.97328922941613</v>
      </c>
      <c r="K346" s="9" t="n">
        <v>5.09531734439014</v>
      </c>
      <c r="L346" s="10" t="n">
        <f aca="false">K346-J346</f>
        <v>0.122028114974003</v>
      </c>
      <c r="M346" s="10" t="n">
        <f aca="false">IF(I346="higher",L346,-L346)</f>
        <v>-0.122028114974003</v>
      </c>
    </row>
    <row r="347" customFormat="false" ht="15" hidden="false" customHeight="false" outlineLevel="0" collapsed="false">
      <c r="A347" s="7" t="s">
        <v>48</v>
      </c>
      <c r="B347" s="7" t="s">
        <v>10</v>
      </c>
      <c r="C347" s="7" t="s">
        <v>49</v>
      </c>
      <c r="D347" s="7" t="s">
        <v>96</v>
      </c>
      <c r="E347" s="7" t="s">
        <v>51</v>
      </c>
      <c r="F347" s="8" t="b">
        <f aca="false">TRUE()</f>
        <v>1</v>
      </c>
      <c r="G347" s="7" t="s">
        <v>65</v>
      </c>
      <c r="H347" s="7" t="s">
        <v>66</v>
      </c>
      <c r="I347" s="7" t="s">
        <v>54</v>
      </c>
      <c r="J347" s="9" t="n">
        <v>24.3783548018462</v>
      </c>
      <c r="K347" s="9" t="n">
        <v>30.8017075888021</v>
      </c>
      <c r="L347" s="10" t="n">
        <f aca="false">K347-J347</f>
        <v>6.42335278695588</v>
      </c>
      <c r="M347" s="10" t="n">
        <f aca="false">IF(I347="higher",L347,-L347)</f>
        <v>-6.42335278695588</v>
      </c>
    </row>
    <row r="348" customFormat="false" ht="15" hidden="false" customHeight="false" outlineLevel="0" collapsed="false">
      <c r="A348" s="7" t="s">
        <v>48</v>
      </c>
      <c r="B348" s="7" t="s">
        <v>10</v>
      </c>
      <c r="C348" s="7" t="s">
        <v>49</v>
      </c>
      <c r="D348" s="7" t="s">
        <v>96</v>
      </c>
      <c r="E348" s="7" t="s">
        <v>51</v>
      </c>
      <c r="F348" s="8" t="b">
        <f aca="false">TRUE()</f>
        <v>1</v>
      </c>
      <c r="G348" s="7" t="s">
        <v>67</v>
      </c>
      <c r="H348" s="7" t="s">
        <v>68</v>
      </c>
      <c r="I348" s="7" t="s">
        <v>54</v>
      </c>
      <c r="J348" s="9" t="n">
        <v>15.1653196954704</v>
      </c>
      <c r="K348" s="9" t="n">
        <v>12.6783812707335</v>
      </c>
      <c r="L348" s="10" t="n">
        <f aca="false">K348-J348</f>
        <v>-2.48693842473693</v>
      </c>
      <c r="M348" s="10" t="n">
        <f aca="false">IF(I348="higher",L348,-L348)</f>
        <v>2.48693842473693</v>
      </c>
    </row>
    <row r="349" customFormat="false" ht="15" hidden="false" customHeight="false" outlineLevel="0" collapsed="false">
      <c r="A349" s="7" t="s">
        <v>48</v>
      </c>
      <c r="B349" s="7" t="s">
        <v>10</v>
      </c>
      <c r="C349" s="7" t="s">
        <v>49</v>
      </c>
      <c r="D349" s="7" t="s">
        <v>96</v>
      </c>
      <c r="E349" s="7" t="s">
        <v>51</v>
      </c>
      <c r="F349" s="8" t="b">
        <f aca="false">TRUE()</f>
        <v>1</v>
      </c>
      <c r="G349" s="7" t="s">
        <v>69</v>
      </c>
      <c r="H349" s="7" t="s">
        <v>70</v>
      </c>
      <c r="I349" s="7" t="s">
        <v>71</v>
      </c>
      <c r="J349" s="9" t="n">
        <v>0.560606060606061</v>
      </c>
      <c r="K349" s="9" t="n">
        <v>0.560606060606061</v>
      </c>
      <c r="L349" s="10" t="n">
        <f aca="false">K349-J349</f>
        <v>0</v>
      </c>
      <c r="M349" s="10" t="n">
        <f aca="false">IF(I349="higher",L349,-L349)</f>
        <v>0</v>
      </c>
    </row>
    <row r="350" customFormat="false" ht="15" hidden="false" customHeight="false" outlineLevel="0" collapsed="false">
      <c r="A350" s="7" t="s">
        <v>48</v>
      </c>
      <c r="B350" s="7" t="s">
        <v>10</v>
      </c>
      <c r="C350" s="7" t="s">
        <v>49</v>
      </c>
      <c r="D350" s="7" t="s">
        <v>96</v>
      </c>
      <c r="E350" s="7" t="s">
        <v>51</v>
      </c>
      <c r="F350" s="8" t="b">
        <f aca="false">TRUE()</f>
        <v>1</v>
      </c>
      <c r="G350" s="7" t="s">
        <v>72</v>
      </c>
      <c r="H350" s="7" t="s">
        <v>73</v>
      </c>
      <c r="I350" s="7" t="s">
        <v>71</v>
      </c>
      <c r="J350" s="9" t="n">
        <v>0.939393939393939</v>
      </c>
      <c r="K350" s="9" t="n">
        <v>0.621212121212121</v>
      </c>
      <c r="L350" s="10" t="n">
        <f aca="false">K350-J350</f>
        <v>-0.318181818181818</v>
      </c>
      <c r="M350" s="10" t="n">
        <f aca="false">IF(I350="higher",L350,-L350)</f>
        <v>-0.318181818181818</v>
      </c>
    </row>
    <row r="351" customFormat="false" ht="15" hidden="false" customHeight="false" outlineLevel="0" collapsed="false">
      <c r="A351" s="7" t="s">
        <v>48</v>
      </c>
      <c r="B351" s="7" t="s">
        <v>10</v>
      </c>
      <c r="C351" s="7" t="s">
        <v>49</v>
      </c>
      <c r="D351" s="7" t="s">
        <v>96</v>
      </c>
      <c r="E351" s="7" t="s">
        <v>51</v>
      </c>
      <c r="F351" s="8" t="b">
        <f aca="false">TRUE()</f>
        <v>1</v>
      </c>
      <c r="G351" s="7" t="s">
        <v>74</v>
      </c>
      <c r="H351" s="7" t="s">
        <v>75</v>
      </c>
      <c r="I351" s="7" t="s">
        <v>54</v>
      </c>
      <c r="J351" s="9" t="n">
        <v>0.027027027027027</v>
      </c>
      <c r="K351" s="9" t="n">
        <v>0.0810810810810811</v>
      </c>
      <c r="L351" s="10" t="n">
        <f aca="false">K351-J351</f>
        <v>0.0540540540540541</v>
      </c>
      <c r="M351" s="10" t="n">
        <f aca="false">IF(I351="higher",L351,-L351)</f>
        <v>-0.0540540540540541</v>
      </c>
    </row>
    <row r="352" customFormat="false" ht="15" hidden="false" customHeight="false" outlineLevel="0" collapsed="false">
      <c r="A352" s="7" t="s">
        <v>48</v>
      </c>
      <c r="B352" s="7" t="s">
        <v>10</v>
      </c>
      <c r="C352" s="7" t="s">
        <v>49</v>
      </c>
      <c r="D352" s="7" t="s">
        <v>96</v>
      </c>
      <c r="E352" s="7" t="s">
        <v>51</v>
      </c>
      <c r="F352" s="8" t="b">
        <f aca="false">TRUE()</f>
        <v>1</v>
      </c>
      <c r="G352" s="7" t="s">
        <v>76</v>
      </c>
      <c r="H352" s="7" t="s">
        <v>77</v>
      </c>
      <c r="I352" s="7" t="s">
        <v>54</v>
      </c>
      <c r="J352" s="9" t="n">
        <v>0.302752293577982</v>
      </c>
      <c r="K352" s="9" t="n">
        <v>0.055045871559633</v>
      </c>
      <c r="L352" s="10" t="n">
        <f aca="false">K352-J352</f>
        <v>-0.247706422018349</v>
      </c>
      <c r="M352" s="10" t="n">
        <f aca="false">IF(I352="higher",L352,-L352)</f>
        <v>0.247706422018349</v>
      </c>
    </row>
    <row r="353" customFormat="false" ht="15" hidden="false" customHeight="false" outlineLevel="0" collapsed="false">
      <c r="A353" s="7" t="s">
        <v>48</v>
      </c>
      <c r="B353" s="7" t="s">
        <v>10</v>
      </c>
      <c r="C353" s="7" t="s">
        <v>49</v>
      </c>
      <c r="D353" s="7" t="s">
        <v>96</v>
      </c>
      <c r="E353" s="7" t="s">
        <v>51</v>
      </c>
      <c r="F353" s="8" t="b">
        <f aca="false">TRUE()</f>
        <v>1</v>
      </c>
      <c r="G353" s="7" t="s">
        <v>78</v>
      </c>
      <c r="H353" s="7" t="s">
        <v>79</v>
      </c>
      <c r="I353" s="7" t="s">
        <v>54</v>
      </c>
      <c r="J353" s="9" t="n">
        <v>0</v>
      </c>
      <c r="K353" s="9" t="n">
        <v>0</v>
      </c>
      <c r="L353" s="10" t="n">
        <f aca="false">K353-J353</f>
        <v>0</v>
      </c>
      <c r="M353" s="10" t="n">
        <f aca="false">IF(I353="higher",L353,-L353)</f>
        <v>-0</v>
      </c>
    </row>
    <row r="354" customFormat="false" ht="15" hidden="false" customHeight="false" outlineLevel="0" collapsed="false">
      <c r="A354" s="7" t="s">
        <v>48</v>
      </c>
      <c r="B354" s="7" t="s">
        <v>10</v>
      </c>
      <c r="C354" s="7" t="s">
        <v>49</v>
      </c>
      <c r="D354" s="7" t="s">
        <v>96</v>
      </c>
      <c r="E354" s="7" t="s">
        <v>51</v>
      </c>
      <c r="F354" s="8" t="b">
        <f aca="false">TRUE()</f>
        <v>1</v>
      </c>
      <c r="G354" s="7" t="s">
        <v>80</v>
      </c>
      <c r="H354" s="7" t="s">
        <v>81</v>
      </c>
      <c r="I354" s="7" t="s">
        <v>54</v>
      </c>
      <c r="J354" s="9" t="n">
        <v>0</v>
      </c>
      <c r="K354" s="9" t="n">
        <v>0</v>
      </c>
      <c r="L354" s="10" t="n">
        <f aca="false">K354-J354</f>
        <v>0</v>
      </c>
      <c r="M354" s="10" t="n">
        <f aca="false">IF(I354="higher",L354,-L354)</f>
        <v>-0</v>
      </c>
    </row>
    <row r="355" customFormat="false" ht="15" hidden="false" customHeight="false" outlineLevel="0" collapsed="false">
      <c r="A355" s="7" t="s">
        <v>82</v>
      </c>
      <c r="B355" s="7" t="s">
        <v>83</v>
      </c>
      <c r="C355" s="7" t="s">
        <v>49</v>
      </c>
      <c r="D355" s="7" t="s">
        <v>96</v>
      </c>
      <c r="E355" s="7" t="s">
        <v>51</v>
      </c>
      <c r="F355" s="8" t="b">
        <f aca="false">TRUE()</f>
        <v>1</v>
      </c>
      <c r="G355" s="7" t="s">
        <v>52</v>
      </c>
      <c r="H355" s="7" t="s">
        <v>53</v>
      </c>
      <c r="I355" s="7" t="s">
        <v>54</v>
      </c>
      <c r="J355" s="9" t="n">
        <v>4.43293874668389</v>
      </c>
      <c r="K355" s="9" t="n">
        <v>3.24955624772407</v>
      </c>
      <c r="L355" s="10" t="n">
        <f aca="false">K355-J355</f>
        <v>-1.18338249895982</v>
      </c>
      <c r="M355" s="10" t="n">
        <f aca="false">IF(I355="higher",L355,-L355)</f>
        <v>1.18338249895982</v>
      </c>
    </row>
    <row r="356" customFormat="false" ht="15" hidden="false" customHeight="false" outlineLevel="0" collapsed="false">
      <c r="A356" s="7" t="s">
        <v>82</v>
      </c>
      <c r="B356" s="7" t="s">
        <v>83</v>
      </c>
      <c r="C356" s="7" t="s">
        <v>49</v>
      </c>
      <c r="D356" s="7" t="s">
        <v>96</v>
      </c>
      <c r="E356" s="7" t="s">
        <v>51</v>
      </c>
      <c r="F356" s="8" t="b">
        <f aca="false">TRUE()</f>
        <v>1</v>
      </c>
      <c r="G356" s="7" t="s">
        <v>55</v>
      </c>
      <c r="H356" s="7" t="s">
        <v>56</v>
      </c>
      <c r="I356" s="7" t="s">
        <v>54</v>
      </c>
      <c r="J356" s="9" t="n">
        <v>8.42771227233249</v>
      </c>
      <c r="K356" s="9" t="n">
        <v>6.89512861344936</v>
      </c>
      <c r="L356" s="10" t="n">
        <f aca="false">K356-J356</f>
        <v>-1.53258365888313</v>
      </c>
      <c r="M356" s="10" t="n">
        <f aca="false">IF(I356="higher",L356,-L356)</f>
        <v>1.53258365888313</v>
      </c>
    </row>
    <row r="357" customFormat="false" ht="15" hidden="false" customHeight="false" outlineLevel="0" collapsed="false">
      <c r="A357" s="7" t="s">
        <v>82</v>
      </c>
      <c r="B357" s="7" t="s">
        <v>83</v>
      </c>
      <c r="C357" s="7" t="s">
        <v>49</v>
      </c>
      <c r="D357" s="7" t="s">
        <v>96</v>
      </c>
      <c r="E357" s="7" t="s">
        <v>51</v>
      </c>
      <c r="F357" s="8" t="b">
        <f aca="false">TRUE()</f>
        <v>1</v>
      </c>
      <c r="G357" s="7" t="s">
        <v>57</v>
      </c>
      <c r="H357" s="7" t="s">
        <v>58</v>
      </c>
      <c r="I357" s="7" t="s">
        <v>54</v>
      </c>
      <c r="J357" s="9" t="n">
        <v>9.95441917703526</v>
      </c>
      <c r="K357" s="9" t="n">
        <v>3.45824238604432</v>
      </c>
      <c r="L357" s="10" t="n">
        <f aca="false">K357-J357</f>
        <v>-6.49617679099094</v>
      </c>
      <c r="M357" s="10" t="n">
        <f aca="false">IF(I357="higher",L357,-L357)</f>
        <v>6.49617679099094</v>
      </c>
    </row>
    <row r="358" customFormat="false" ht="15" hidden="false" customHeight="false" outlineLevel="0" collapsed="false">
      <c r="A358" s="7" t="s">
        <v>82</v>
      </c>
      <c r="B358" s="7" t="s">
        <v>83</v>
      </c>
      <c r="C358" s="7" t="s">
        <v>49</v>
      </c>
      <c r="D358" s="7" t="s">
        <v>96</v>
      </c>
      <c r="E358" s="7" t="s">
        <v>51</v>
      </c>
      <c r="F358" s="8" t="b">
        <f aca="false">TRUE()</f>
        <v>1</v>
      </c>
      <c r="G358" s="7" t="s">
        <v>59</v>
      </c>
      <c r="H358" s="7" t="s">
        <v>60</v>
      </c>
      <c r="I358" s="7" t="s">
        <v>54</v>
      </c>
      <c r="J358" s="9" t="n">
        <v>0.0634047897779607</v>
      </c>
      <c r="K358" s="9" t="n">
        <v>0.0517629103213766</v>
      </c>
      <c r="L358" s="10" t="n">
        <f aca="false">K358-J358</f>
        <v>-0.0116418794565841</v>
      </c>
      <c r="M358" s="10" t="n">
        <f aca="false">IF(I358="higher",L358,-L358)</f>
        <v>0.0116418794565841</v>
      </c>
    </row>
    <row r="359" customFormat="false" ht="15" hidden="false" customHeight="false" outlineLevel="0" collapsed="false">
      <c r="A359" s="7" t="s">
        <v>82</v>
      </c>
      <c r="B359" s="7" t="s">
        <v>83</v>
      </c>
      <c r="C359" s="7" t="s">
        <v>49</v>
      </c>
      <c r="D359" s="7" t="s">
        <v>96</v>
      </c>
      <c r="E359" s="7" t="s">
        <v>51</v>
      </c>
      <c r="F359" s="8" t="b">
        <f aca="false">TRUE()</f>
        <v>1</v>
      </c>
      <c r="G359" s="7" t="s">
        <v>61</v>
      </c>
      <c r="H359" s="7" t="s">
        <v>62</v>
      </c>
      <c r="I359" s="7" t="s">
        <v>54</v>
      </c>
      <c r="J359" s="9" t="n">
        <v>19.5019532216655</v>
      </c>
      <c r="K359" s="9" t="n">
        <v>29.2538963779169</v>
      </c>
      <c r="L359" s="10" t="n">
        <f aca="false">K359-J359</f>
        <v>9.75194315625145</v>
      </c>
      <c r="M359" s="10" t="n">
        <f aca="false">IF(I359="higher",L359,-L359)</f>
        <v>-9.75194315625145</v>
      </c>
    </row>
    <row r="360" customFormat="false" ht="15" hidden="false" customHeight="false" outlineLevel="0" collapsed="false">
      <c r="A360" s="7" t="s">
        <v>82</v>
      </c>
      <c r="B360" s="7" t="s">
        <v>83</v>
      </c>
      <c r="C360" s="7" t="s">
        <v>49</v>
      </c>
      <c r="D360" s="7" t="s">
        <v>96</v>
      </c>
      <c r="E360" s="7" t="s">
        <v>51</v>
      </c>
      <c r="F360" s="8" t="b">
        <f aca="false">TRUE()</f>
        <v>1</v>
      </c>
      <c r="G360" s="7" t="s">
        <v>63</v>
      </c>
      <c r="H360" s="7" t="s">
        <v>64</v>
      </c>
      <c r="I360" s="7" t="s">
        <v>54</v>
      </c>
      <c r="J360" s="9" t="n">
        <v>8.51817743654942</v>
      </c>
      <c r="K360" s="9" t="n">
        <v>5.09531734439014</v>
      </c>
      <c r="L360" s="10" t="n">
        <f aca="false">K360-J360</f>
        <v>-3.42286009215928</v>
      </c>
      <c r="M360" s="10" t="n">
        <f aca="false">IF(I360="higher",L360,-L360)</f>
        <v>3.42286009215928</v>
      </c>
    </row>
    <row r="361" customFormat="false" ht="15" hidden="false" customHeight="false" outlineLevel="0" collapsed="false">
      <c r="A361" s="7" t="s">
        <v>82</v>
      </c>
      <c r="B361" s="7" t="s">
        <v>83</v>
      </c>
      <c r="C361" s="7" t="s">
        <v>49</v>
      </c>
      <c r="D361" s="7" t="s">
        <v>96</v>
      </c>
      <c r="E361" s="7" t="s">
        <v>51</v>
      </c>
      <c r="F361" s="8" t="b">
        <f aca="false">TRUE()</f>
        <v>1</v>
      </c>
      <c r="G361" s="7" t="s">
        <v>65</v>
      </c>
      <c r="H361" s="7" t="s">
        <v>66</v>
      </c>
      <c r="I361" s="7" t="s">
        <v>54</v>
      </c>
      <c r="J361" s="9" t="n">
        <v>22.5959581873205</v>
      </c>
      <c r="K361" s="9" t="n">
        <v>30.8017075888021</v>
      </c>
      <c r="L361" s="10" t="n">
        <f aca="false">K361-J361</f>
        <v>8.2057494014816</v>
      </c>
      <c r="M361" s="10" t="n">
        <f aca="false">IF(I361="higher",L361,-L361)</f>
        <v>-8.2057494014816</v>
      </c>
    </row>
    <row r="362" customFormat="false" ht="15" hidden="false" customHeight="false" outlineLevel="0" collapsed="false">
      <c r="A362" s="7" t="s">
        <v>82</v>
      </c>
      <c r="B362" s="7" t="s">
        <v>83</v>
      </c>
      <c r="C362" s="7" t="s">
        <v>49</v>
      </c>
      <c r="D362" s="7" t="s">
        <v>96</v>
      </c>
      <c r="E362" s="7" t="s">
        <v>51</v>
      </c>
      <c r="F362" s="8" t="b">
        <f aca="false">TRUE()</f>
        <v>1</v>
      </c>
      <c r="G362" s="7" t="s">
        <v>67</v>
      </c>
      <c r="H362" s="7" t="s">
        <v>68</v>
      </c>
      <c r="I362" s="7" t="s">
        <v>54</v>
      </c>
      <c r="J362" s="9" t="n">
        <v>22.5190653715227</v>
      </c>
      <c r="K362" s="9" t="n">
        <v>12.6783812707335</v>
      </c>
      <c r="L362" s="10" t="n">
        <f aca="false">K362-J362</f>
        <v>-9.84068410078918</v>
      </c>
      <c r="M362" s="10" t="n">
        <f aca="false">IF(I362="higher",L362,-L362)</f>
        <v>9.84068410078918</v>
      </c>
    </row>
    <row r="363" customFormat="false" ht="15" hidden="false" customHeight="false" outlineLevel="0" collapsed="false">
      <c r="A363" s="7" t="s">
        <v>82</v>
      </c>
      <c r="B363" s="7" t="s">
        <v>83</v>
      </c>
      <c r="C363" s="7" t="s">
        <v>49</v>
      </c>
      <c r="D363" s="7" t="s">
        <v>96</v>
      </c>
      <c r="E363" s="7" t="s">
        <v>51</v>
      </c>
      <c r="F363" s="8" t="b">
        <f aca="false">TRUE()</f>
        <v>1</v>
      </c>
      <c r="G363" s="7" t="s">
        <v>69</v>
      </c>
      <c r="H363" s="7" t="s">
        <v>70</v>
      </c>
      <c r="I363" s="7" t="s">
        <v>71</v>
      </c>
      <c r="J363" s="9" t="n">
        <v>0.378787878787879</v>
      </c>
      <c r="K363" s="9" t="n">
        <v>0.560606060606061</v>
      </c>
      <c r="L363" s="10" t="n">
        <f aca="false">K363-J363</f>
        <v>0.181818181818182</v>
      </c>
      <c r="M363" s="10" t="n">
        <f aca="false">IF(I363="higher",L363,-L363)</f>
        <v>0.181818181818182</v>
      </c>
    </row>
    <row r="364" customFormat="false" ht="15" hidden="false" customHeight="false" outlineLevel="0" collapsed="false">
      <c r="A364" s="7" t="s">
        <v>82</v>
      </c>
      <c r="B364" s="7" t="s">
        <v>83</v>
      </c>
      <c r="C364" s="7" t="s">
        <v>49</v>
      </c>
      <c r="D364" s="7" t="s">
        <v>96</v>
      </c>
      <c r="E364" s="7" t="s">
        <v>51</v>
      </c>
      <c r="F364" s="8" t="b">
        <f aca="false">TRUE()</f>
        <v>1</v>
      </c>
      <c r="G364" s="7" t="s">
        <v>72</v>
      </c>
      <c r="H364" s="7" t="s">
        <v>73</v>
      </c>
      <c r="I364" s="7" t="s">
        <v>71</v>
      </c>
      <c r="J364" s="9" t="n">
        <v>0.696969696969697</v>
      </c>
      <c r="K364" s="9" t="n">
        <v>0.621212121212121</v>
      </c>
      <c r="L364" s="10" t="n">
        <f aca="false">K364-J364</f>
        <v>-0.0757575757575758</v>
      </c>
      <c r="M364" s="10" t="n">
        <f aca="false">IF(I364="higher",L364,-L364)</f>
        <v>-0.0757575757575758</v>
      </c>
    </row>
    <row r="365" customFormat="false" ht="15" hidden="false" customHeight="false" outlineLevel="0" collapsed="false">
      <c r="A365" s="7" t="s">
        <v>82</v>
      </c>
      <c r="B365" s="7" t="s">
        <v>83</v>
      </c>
      <c r="C365" s="7" t="s">
        <v>49</v>
      </c>
      <c r="D365" s="7" t="s">
        <v>96</v>
      </c>
      <c r="E365" s="7" t="s">
        <v>51</v>
      </c>
      <c r="F365" s="8" t="b">
        <f aca="false">TRUE()</f>
        <v>1</v>
      </c>
      <c r="G365" s="7" t="s">
        <v>74</v>
      </c>
      <c r="H365" s="7" t="s">
        <v>75</v>
      </c>
      <c r="I365" s="7" t="s">
        <v>54</v>
      </c>
      <c r="J365" s="9" t="n">
        <v>0.216216216216216</v>
      </c>
      <c r="K365" s="9" t="n">
        <v>0.0810810810810811</v>
      </c>
      <c r="L365" s="10" t="n">
        <f aca="false">K365-J365</f>
        <v>-0.135135135135135</v>
      </c>
      <c r="M365" s="10" t="n">
        <f aca="false">IF(I365="higher",L365,-L365)</f>
        <v>0.135135135135135</v>
      </c>
    </row>
    <row r="366" customFormat="false" ht="15" hidden="false" customHeight="false" outlineLevel="0" collapsed="false">
      <c r="A366" s="7" t="s">
        <v>82</v>
      </c>
      <c r="B366" s="7" t="s">
        <v>83</v>
      </c>
      <c r="C366" s="7" t="s">
        <v>49</v>
      </c>
      <c r="D366" s="7" t="s">
        <v>96</v>
      </c>
      <c r="E366" s="7" t="s">
        <v>51</v>
      </c>
      <c r="F366" s="8" t="b">
        <f aca="false">TRUE()</f>
        <v>1</v>
      </c>
      <c r="G366" s="7" t="s">
        <v>76</v>
      </c>
      <c r="H366" s="7" t="s">
        <v>77</v>
      </c>
      <c r="I366" s="7" t="s">
        <v>54</v>
      </c>
      <c r="J366" s="9" t="n">
        <v>0.220183486238532</v>
      </c>
      <c r="K366" s="9" t="n">
        <v>0.055045871559633</v>
      </c>
      <c r="L366" s="10" t="n">
        <f aca="false">K366-J366</f>
        <v>-0.165137614678899</v>
      </c>
      <c r="M366" s="10" t="n">
        <f aca="false">IF(I366="higher",L366,-L366)</f>
        <v>0.165137614678899</v>
      </c>
    </row>
    <row r="367" customFormat="false" ht="15" hidden="false" customHeight="false" outlineLevel="0" collapsed="false">
      <c r="A367" s="7" t="s">
        <v>82</v>
      </c>
      <c r="B367" s="7" t="s">
        <v>83</v>
      </c>
      <c r="C367" s="7" t="s">
        <v>49</v>
      </c>
      <c r="D367" s="7" t="s">
        <v>96</v>
      </c>
      <c r="E367" s="7" t="s">
        <v>51</v>
      </c>
      <c r="F367" s="8" t="b">
        <f aca="false">TRUE()</f>
        <v>1</v>
      </c>
      <c r="G367" s="7" t="s">
        <v>78</v>
      </c>
      <c r="H367" s="7" t="s">
        <v>79</v>
      </c>
      <c r="I367" s="7" t="s">
        <v>54</v>
      </c>
      <c r="J367" s="9" t="n">
        <v>0</v>
      </c>
      <c r="K367" s="9" t="n">
        <v>0</v>
      </c>
      <c r="L367" s="10" t="n">
        <f aca="false">K367-J367</f>
        <v>0</v>
      </c>
      <c r="M367" s="10" t="n">
        <f aca="false">IF(I367="higher",L367,-L367)</f>
        <v>-0</v>
      </c>
    </row>
    <row r="368" customFormat="false" ht="15" hidden="false" customHeight="false" outlineLevel="0" collapsed="false">
      <c r="A368" s="7" t="s">
        <v>82</v>
      </c>
      <c r="B368" s="7" t="s">
        <v>83</v>
      </c>
      <c r="C368" s="7" t="s">
        <v>49</v>
      </c>
      <c r="D368" s="7" t="s">
        <v>96</v>
      </c>
      <c r="E368" s="7" t="s">
        <v>51</v>
      </c>
      <c r="F368" s="8" t="b">
        <f aca="false">TRUE()</f>
        <v>1</v>
      </c>
      <c r="G368" s="7" t="s">
        <v>80</v>
      </c>
      <c r="H368" s="7" t="s">
        <v>81</v>
      </c>
      <c r="I368" s="7" t="s">
        <v>54</v>
      </c>
      <c r="J368" s="9" t="n">
        <v>0</v>
      </c>
      <c r="K368" s="9" t="n">
        <v>0</v>
      </c>
      <c r="L368" s="10" t="n">
        <f aca="false">K368-J368</f>
        <v>0</v>
      </c>
      <c r="M368" s="10" t="n">
        <f aca="false">IF(I368="higher",L368,-L368)</f>
        <v>-0</v>
      </c>
    </row>
    <row r="369" customFormat="false" ht="15" hidden="false" customHeight="false" outlineLevel="0" collapsed="false">
      <c r="A369" s="7" t="s">
        <v>48</v>
      </c>
      <c r="B369" s="7" t="s">
        <v>10</v>
      </c>
      <c r="C369" s="7" t="s">
        <v>49</v>
      </c>
      <c r="D369" s="7" t="s">
        <v>97</v>
      </c>
      <c r="E369" s="7" t="s">
        <v>51</v>
      </c>
      <c r="F369" s="8" t="b">
        <f aca="false">TRUE()</f>
        <v>1</v>
      </c>
      <c r="G369" s="7" t="s">
        <v>52</v>
      </c>
      <c r="H369" s="7" t="s">
        <v>53</v>
      </c>
      <c r="I369" s="7" t="s">
        <v>54</v>
      </c>
      <c r="J369" s="9" t="n">
        <v>4.52695974344553</v>
      </c>
      <c r="K369" s="9" t="n">
        <v>2.82821410402475</v>
      </c>
      <c r="L369" s="10" t="n">
        <f aca="false">K369-J369</f>
        <v>-1.69874563942078</v>
      </c>
      <c r="M369" s="10" t="n">
        <f aca="false">IF(I369="higher",L369,-L369)</f>
        <v>1.69874563942078</v>
      </c>
    </row>
    <row r="370" customFormat="false" ht="15" hidden="false" customHeight="false" outlineLevel="0" collapsed="false">
      <c r="A370" s="7" t="s">
        <v>48</v>
      </c>
      <c r="B370" s="7" t="s">
        <v>10</v>
      </c>
      <c r="C370" s="7" t="s">
        <v>49</v>
      </c>
      <c r="D370" s="7" t="s">
        <v>97</v>
      </c>
      <c r="E370" s="7" t="s">
        <v>51</v>
      </c>
      <c r="F370" s="8" t="b">
        <f aca="false">TRUE()</f>
        <v>1</v>
      </c>
      <c r="G370" s="7" t="s">
        <v>55</v>
      </c>
      <c r="H370" s="7" t="s">
        <v>56</v>
      </c>
      <c r="I370" s="7" t="s">
        <v>54</v>
      </c>
      <c r="J370" s="9" t="n">
        <v>17.2256846430954</v>
      </c>
      <c r="K370" s="9" t="n">
        <v>11.6918214080153</v>
      </c>
      <c r="L370" s="10" t="n">
        <f aca="false">K370-J370</f>
        <v>-5.5338632350801</v>
      </c>
      <c r="M370" s="10" t="n">
        <f aca="false">IF(I370="higher",L370,-L370)</f>
        <v>5.5338632350801</v>
      </c>
    </row>
    <row r="371" customFormat="false" ht="15" hidden="false" customHeight="false" outlineLevel="0" collapsed="false">
      <c r="A371" s="7" t="s">
        <v>48</v>
      </c>
      <c r="B371" s="7" t="s">
        <v>10</v>
      </c>
      <c r="C371" s="7" t="s">
        <v>49</v>
      </c>
      <c r="D371" s="7" t="s">
        <v>97</v>
      </c>
      <c r="E371" s="7" t="s">
        <v>51</v>
      </c>
      <c r="F371" s="8" t="b">
        <f aca="false">TRUE()</f>
        <v>1</v>
      </c>
      <c r="G371" s="7" t="s">
        <v>57</v>
      </c>
      <c r="H371" s="7" t="s">
        <v>58</v>
      </c>
      <c r="I371" s="7" t="s">
        <v>54</v>
      </c>
      <c r="J371" s="9" t="n">
        <v>5.76767399386996</v>
      </c>
      <c r="K371" s="9" t="n">
        <v>5.15211384699927</v>
      </c>
      <c r="L371" s="10" t="n">
        <f aca="false">K371-J371</f>
        <v>-0.615560146870689</v>
      </c>
      <c r="M371" s="10" t="n">
        <f aca="false">IF(I371="higher",L371,-L371)</f>
        <v>0.615560146870689</v>
      </c>
    </row>
    <row r="372" customFormat="false" ht="15" hidden="false" customHeight="false" outlineLevel="0" collapsed="false">
      <c r="A372" s="7" t="s">
        <v>48</v>
      </c>
      <c r="B372" s="7" t="s">
        <v>10</v>
      </c>
      <c r="C372" s="7" t="s">
        <v>49</v>
      </c>
      <c r="D372" s="7" t="s">
        <v>97</v>
      </c>
      <c r="E372" s="7" t="s">
        <v>51</v>
      </c>
      <c r="F372" s="8" t="b">
        <f aca="false">TRUE()</f>
        <v>1</v>
      </c>
      <c r="G372" s="7" t="s">
        <v>59</v>
      </c>
      <c r="H372" s="7" t="s">
        <v>60</v>
      </c>
      <c r="I372" s="7" t="s">
        <v>54</v>
      </c>
      <c r="J372" s="9" t="n">
        <v>0.0570586634635582</v>
      </c>
      <c r="K372" s="9" t="n">
        <v>0.0526190537993364</v>
      </c>
      <c r="L372" s="10" t="n">
        <f aca="false">K372-J372</f>
        <v>-0.00443960966422183</v>
      </c>
      <c r="M372" s="10" t="n">
        <f aca="false">IF(I372="higher",L372,-L372)</f>
        <v>0.00443960966422183</v>
      </c>
    </row>
    <row r="373" customFormat="false" ht="15" hidden="false" customHeight="false" outlineLevel="0" collapsed="false">
      <c r="A373" s="7" t="s">
        <v>48</v>
      </c>
      <c r="B373" s="7" t="s">
        <v>10</v>
      </c>
      <c r="C373" s="7" t="s">
        <v>49</v>
      </c>
      <c r="D373" s="7" t="s">
        <v>97</v>
      </c>
      <c r="E373" s="7" t="s">
        <v>51</v>
      </c>
      <c r="F373" s="8" t="b">
        <f aca="false">TRUE()</f>
        <v>1</v>
      </c>
      <c r="G373" s="7" t="s">
        <v>61</v>
      </c>
      <c r="H373" s="7" t="s">
        <v>62</v>
      </c>
      <c r="I373" s="7" t="s">
        <v>54</v>
      </c>
      <c r="J373" s="9" t="n">
        <v>24.8840176706654</v>
      </c>
      <c r="K373" s="9" t="n">
        <v>20.1260299545665</v>
      </c>
      <c r="L373" s="10" t="n">
        <f aca="false">K373-J373</f>
        <v>-4.75798771609891</v>
      </c>
      <c r="M373" s="10" t="n">
        <f aca="false">IF(I373="higher",L373,-L373)</f>
        <v>4.75798771609891</v>
      </c>
    </row>
    <row r="374" customFormat="false" ht="15" hidden="false" customHeight="false" outlineLevel="0" collapsed="false">
      <c r="A374" s="7" t="s">
        <v>48</v>
      </c>
      <c r="B374" s="7" t="s">
        <v>10</v>
      </c>
      <c r="C374" s="7" t="s">
        <v>49</v>
      </c>
      <c r="D374" s="7" t="s">
        <v>97</v>
      </c>
      <c r="E374" s="7" t="s">
        <v>51</v>
      </c>
      <c r="F374" s="8" t="b">
        <f aca="false">TRUE()</f>
        <v>1</v>
      </c>
      <c r="G374" s="7" t="s">
        <v>63</v>
      </c>
      <c r="H374" s="7" t="s">
        <v>64</v>
      </c>
      <c r="I374" s="7" t="s">
        <v>54</v>
      </c>
      <c r="J374" s="9" t="n">
        <v>20.4741786115928</v>
      </c>
      <c r="K374" s="9" t="n">
        <v>19.0186054548146</v>
      </c>
      <c r="L374" s="10" t="n">
        <f aca="false">K374-J374</f>
        <v>-1.45557315677819</v>
      </c>
      <c r="M374" s="10" t="n">
        <f aca="false">IF(I374="higher",L374,-L374)</f>
        <v>1.45557315677819</v>
      </c>
    </row>
    <row r="375" customFormat="false" ht="15" hidden="false" customHeight="false" outlineLevel="0" collapsed="false">
      <c r="A375" s="7" t="s">
        <v>48</v>
      </c>
      <c r="B375" s="7" t="s">
        <v>10</v>
      </c>
      <c r="C375" s="7" t="s">
        <v>49</v>
      </c>
      <c r="D375" s="7" t="s">
        <v>97</v>
      </c>
      <c r="E375" s="7" t="s">
        <v>51</v>
      </c>
      <c r="F375" s="8" t="b">
        <f aca="false">TRUE()</f>
        <v>1</v>
      </c>
      <c r="G375" s="7" t="s">
        <v>65</v>
      </c>
      <c r="H375" s="7" t="s">
        <v>66</v>
      </c>
      <c r="I375" s="7" t="s">
        <v>54</v>
      </c>
      <c r="J375" s="9" t="n">
        <v>20.8059915904811</v>
      </c>
      <c r="K375" s="9" t="n">
        <v>17.157997060946</v>
      </c>
      <c r="L375" s="10" t="n">
        <f aca="false">K375-J375</f>
        <v>-3.64799452953511</v>
      </c>
      <c r="M375" s="10" t="n">
        <f aca="false">IF(I375="higher",L375,-L375)</f>
        <v>3.64799452953511</v>
      </c>
    </row>
    <row r="376" customFormat="false" ht="15" hidden="false" customHeight="false" outlineLevel="0" collapsed="false">
      <c r="A376" s="7" t="s">
        <v>48</v>
      </c>
      <c r="B376" s="7" t="s">
        <v>10</v>
      </c>
      <c r="C376" s="7" t="s">
        <v>49</v>
      </c>
      <c r="D376" s="7" t="s">
        <v>97</v>
      </c>
      <c r="E376" s="7" t="s">
        <v>51</v>
      </c>
      <c r="F376" s="8" t="b">
        <f aca="false">TRUE()</f>
        <v>1</v>
      </c>
      <c r="G376" s="7" t="s">
        <v>67</v>
      </c>
      <c r="H376" s="7" t="s">
        <v>68</v>
      </c>
      <c r="I376" s="7" t="s">
        <v>54</v>
      </c>
      <c r="J376" s="9" t="n">
        <v>25.0587350956642</v>
      </c>
      <c r="K376" s="9" t="n">
        <v>25.9579162308644</v>
      </c>
      <c r="L376" s="10" t="n">
        <f aca="false">K376-J376</f>
        <v>0.899181135200198</v>
      </c>
      <c r="M376" s="10" t="n">
        <f aca="false">IF(I376="higher",L376,-L376)</f>
        <v>-0.899181135200198</v>
      </c>
    </row>
    <row r="377" customFormat="false" ht="15" hidden="false" customHeight="false" outlineLevel="0" collapsed="false">
      <c r="A377" s="7" t="s">
        <v>48</v>
      </c>
      <c r="B377" s="7" t="s">
        <v>10</v>
      </c>
      <c r="C377" s="7" t="s">
        <v>49</v>
      </c>
      <c r="D377" s="7" t="s">
        <v>97</v>
      </c>
      <c r="E377" s="7" t="s">
        <v>51</v>
      </c>
      <c r="F377" s="8" t="b">
        <f aca="false">TRUE()</f>
        <v>1</v>
      </c>
      <c r="G377" s="7" t="s">
        <v>69</v>
      </c>
      <c r="H377" s="7" t="s">
        <v>70</v>
      </c>
      <c r="I377" s="7" t="s">
        <v>71</v>
      </c>
      <c r="J377" s="9" t="n">
        <v>0.517241379310345</v>
      </c>
      <c r="K377" s="9" t="n">
        <v>0.436781609195402</v>
      </c>
      <c r="L377" s="10" t="n">
        <f aca="false">K377-J377</f>
        <v>-0.0804597701149425</v>
      </c>
      <c r="M377" s="10" t="n">
        <f aca="false">IF(I377="higher",L377,-L377)</f>
        <v>-0.0804597701149425</v>
      </c>
    </row>
    <row r="378" customFormat="false" ht="15" hidden="false" customHeight="false" outlineLevel="0" collapsed="false">
      <c r="A378" s="7" t="s">
        <v>48</v>
      </c>
      <c r="B378" s="7" t="s">
        <v>10</v>
      </c>
      <c r="C378" s="7" t="s">
        <v>49</v>
      </c>
      <c r="D378" s="7" t="s">
        <v>97</v>
      </c>
      <c r="E378" s="7" t="s">
        <v>51</v>
      </c>
      <c r="F378" s="8" t="b">
        <f aca="false">TRUE()</f>
        <v>1</v>
      </c>
      <c r="G378" s="7" t="s">
        <v>72</v>
      </c>
      <c r="H378" s="7" t="s">
        <v>73</v>
      </c>
      <c r="I378" s="7" t="s">
        <v>71</v>
      </c>
      <c r="J378" s="9" t="n">
        <v>0.839080459770115</v>
      </c>
      <c r="K378" s="9" t="n">
        <v>0.839080459770115</v>
      </c>
      <c r="L378" s="10" t="n">
        <f aca="false">K378-J378</f>
        <v>0</v>
      </c>
      <c r="M378" s="10" t="n">
        <f aca="false">IF(I378="higher",L378,-L378)</f>
        <v>0</v>
      </c>
    </row>
    <row r="379" customFormat="false" ht="15" hidden="false" customHeight="false" outlineLevel="0" collapsed="false">
      <c r="A379" s="7" t="s">
        <v>48</v>
      </c>
      <c r="B379" s="7" t="s">
        <v>10</v>
      </c>
      <c r="C379" s="7" t="s">
        <v>49</v>
      </c>
      <c r="D379" s="7" t="s">
        <v>97</v>
      </c>
      <c r="E379" s="7" t="s">
        <v>51</v>
      </c>
      <c r="F379" s="8" t="b">
        <f aca="false">TRUE()</f>
        <v>1</v>
      </c>
      <c r="G379" s="7" t="s">
        <v>74</v>
      </c>
      <c r="H379" s="7" t="s">
        <v>75</v>
      </c>
      <c r="I379" s="7" t="s">
        <v>54</v>
      </c>
      <c r="J379" s="9" t="n">
        <v>0.0833333333333333</v>
      </c>
      <c r="K379" s="9" t="n">
        <v>0.0833333333333333</v>
      </c>
      <c r="L379" s="10" t="n">
        <f aca="false">K379-J379</f>
        <v>0</v>
      </c>
      <c r="M379" s="10" t="n">
        <f aca="false">IF(I379="higher",L379,-L379)</f>
        <v>-0</v>
      </c>
    </row>
    <row r="380" customFormat="false" ht="15" hidden="false" customHeight="false" outlineLevel="0" collapsed="false">
      <c r="A380" s="7" t="s">
        <v>48</v>
      </c>
      <c r="B380" s="7" t="s">
        <v>10</v>
      </c>
      <c r="C380" s="7" t="s">
        <v>49</v>
      </c>
      <c r="D380" s="7" t="s">
        <v>97</v>
      </c>
      <c r="E380" s="7" t="s">
        <v>51</v>
      </c>
      <c r="F380" s="8" t="b">
        <f aca="false">TRUE()</f>
        <v>1</v>
      </c>
      <c r="G380" s="7" t="s">
        <v>76</v>
      </c>
      <c r="H380" s="7" t="s">
        <v>77</v>
      </c>
      <c r="I380" s="7" t="s">
        <v>54</v>
      </c>
      <c r="J380" s="9" t="n">
        <v>0.243478260869565</v>
      </c>
      <c r="K380" s="9" t="n">
        <v>0.304347826086956</v>
      </c>
      <c r="L380" s="10" t="n">
        <f aca="false">K380-J380</f>
        <v>0.0608695652173913</v>
      </c>
      <c r="M380" s="10" t="n">
        <f aca="false">IF(I380="higher",L380,-L380)</f>
        <v>-0.0608695652173913</v>
      </c>
    </row>
    <row r="381" customFormat="false" ht="15" hidden="false" customHeight="false" outlineLevel="0" collapsed="false">
      <c r="A381" s="7" t="s">
        <v>48</v>
      </c>
      <c r="B381" s="7" t="s">
        <v>10</v>
      </c>
      <c r="C381" s="7" t="s">
        <v>49</v>
      </c>
      <c r="D381" s="7" t="s">
        <v>97</v>
      </c>
      <c r="E381" s="7" t="s">
        <v>51</v>
      </c>
      <c r="F381" s="8" t="b">
        <f aca="false">TRUE()</f>
        <v>1</v>
      </c>
      <c r="G381" s="7" t="s">
        <v>78</v>
      </c>
      <c r="H381" s="7" t="s">
        <v>79</v>
      </c>
      <c r="I381" s="7" t="s">
        <v>54</v>
      </c>
      <c r="J381" s="9" t="n">
        <v>0.382608695652174</v>
      </c>
      <c r="K381" s="9" t="n">
        <v>0.0260869565217391</v>
      </c>
      <c r="L381" s="10" t="n">
        <f aca="false">K381-J381</f>
        <v>-0.356521739130435</v>
      </c>
      <c r="M381" s="10" t="n">
        <f aca="false">IF(I381="higher",L381,-L381)</f>
        <v>0.356521739130435</v>
      </c>
    </row>
    <row r="382" customFormat="false" ht="15" hidden="false" customHeight="false" outlineLevel="0" collapsed="false">
      <c r="A382" s="7" t="s">
        <v>48</v>
      </c>
      <c r="B382" s="7" t="s">
        <v>10</v>
      </c>
      <c r="C382" s="7" t="s">
        <v>49</v>
      </c>
      <c r="D382" s="7" t="s">
        <v>97</v>
      </c>
      <c r="E382" s="7" t="s">
        <v>51</v>
      </c>
      <c r="F382" s="8" t="b">
        <f aca="false">TRUE()</f>
        <v>1</v>
      </c>
      <c r="G382" s="7" t="s">
        <v>80</v>
      </c>
      <c r="H382" s="7" t="s">
        <v>81</v>
      </c>
      <c r="I382" s="7" t="s">
        <v>54</v>
      </c>
      <c r="J382" s="9" t="n">
        <v>0</v>
      </c>
      <c r="K382" s="9" t="n">
        <v>0</v>
      </c>
      <c r="L382" s="10" t="n">
        <f aca="false">K382-J382</f>
        <v>0</v>
      </c>
      <c r="M382" s="10" t="n">
        <f aca="false">IF(I382="higher",L382,-L382)</f>
        <v>-0</v>
      </c>
    </row>
    <row r="383" customFormat="false" ht="15" hidden="false" customHeight="false" outlineLevel="0" collapsed="false">
      <c r="A383" s="7" t="s">
        <v>82</v>
      </c>
      <c r="B383" s="7" t="s">
        <v>83</v>
      </c>
      <c r="C383" s="7" t="s">
        <v>49</v>
      </c>
      <c r="D383" s="7" t="s">
        <v>97</v>
      </c>
      <c r="E383" s="7" t="s">
        <v>51</v>
      </c>
      <c r="F383" s="8" t="b">
        <f aca="false">TRUE()</f>
        <v>1</v>
      </c>
      <c r="G383" s="7" t="s">
        <v>52</v>
      </c>
      <c r="H383" s="7" t="s">
        <v>53</v>
      </c>
      <c r="I383" s="7" t="s">
        <v>54</v>
      </c>
      <c r="J383" s="9" t="n">
        <v>3.2000708431299</v>
      </c>
      <c r="K383" s="9" t="n">
        <v>2.82821410402475</v>
      </c>
      <c r="L383" s="10" t="n">
        <f aca="false">K383-J383</f>
        <v>-0.37185673910515</v>
      </c>
      <c r="M383" s="10" t="n">
        <f aca="false">IF(I383="higher",L383,-L383)</f>
        <v>0.37185673910515</v>
      </c>
    </row>
    <row r="384" customFormat="false" ht="15" hidden="false" customHeight="false" outlineLevel="0" collapsed="false">
      <c r="A384" s="7" t="s">
        <v>82</v>
      </c>
      <c r="B384" s="7" t="s">
        <v>83</v>
      </c>
      <c r="C384" s="7" t="s">
        <v>49</v>
      </c>
      <c r="D384" s="7" t="s">
        <v>97</v>
      </c>
      <c r="E384" s="7" t="s">
        <v>51</v>
      </c>
      <c r="F384" s="8" t="b">
        <f aca="false">TRUE()</f>
        <v>1</v>
      </c>
      <c r="G384" s="7" t="s">
        <v>55</v>
      </c>
      <c r="H384" s="7" t="s">
        <v>56</v>
      </c>
      <c r="I384" s="7" t="s">
        <v>54</v>
      </c>
      <c r="J384" s="9" t="n">
        <v>11.2734454920864</v>
      </c>
      <c r="K384" s="9" t="n">
        <v>11.6918214080153</v>
      </c>
      <c r="L384" s="10" t="n">
        <f aca="false">K384-J384</f>
        <v>0.418375915928889</v>
      </c>
      <c r="M384" s="10" t="n">
        <f aca="false">IF(I384="higher",L384,-L384)</f>
        <v>-0.418375915928889</v>
      </c>
    </row>
    <row r="385" customFormat="false" ht="15" hidden="false" customHeight="false" outlineLevel="0" collapsed="false">
      <c r="A385" s="7" t="s">
        <v>82</v>
      </c>
      <c r="B385" s="7" t="s">
        <v>83</v>
      </c>
      <c r="C385" s="7" t="s">
        <v>49</v>
      </c>
      <c r="D385" s="7" t="s">
        <v>97</v>
      </c>
      <c r="E385" s="7" t="s">
        <v>51</v>
      </c>
      <c r="F385" s="8" t="b">
        <f aca="false">TRUE()</f>
        <v>1</v>
      </c>
      <c r="G385" s="7" t="s">
        <v>57</v>
      </c>
      <c r="H385" s="7" t="s">
        <v>58</v>
      </c>
      <c r="I385" s="7" t="s">
        <v>54</v>
      </c>
      <c r="J385" s="9" t="n">
        <v>5.76227486283639</v>
      </c>
      <c r="K385" s="9" t="n">
        <v>5.15211384699927</v>
      </c>
      <c r="L385" s="10" t="n">
        <f aca="false">K385-J385</f>
        <v>-0.610161015837112</v>
      </c>
      <c r="M385" s="10" t="n">
        <f aca="false">IF(I385="higher",L385,-L385)</f>
        <v>0.610161015837112</v>
      </c>
    </row>
    <row r="386" customFormat="false" ht="15" hidden="false" customHeight="false" outlineLevel="0" collapsed="false">
      <c r="A386" s="7" t="s">
        <v>82</v>
      </c>
      <c r="B386" s="7" t="s">
        <v>83</v>
      </c>
      <c r="C386" s="7" t="s">
        <v>49</v>
      </c>
      <c r="D386" s="7" t="s">
        <v>97</v>
      </c>
      <c r="E386" s="7" t="s">
        <v>51</v>
      </c>
      <c r="F386" s="8" t="b">
        <f aca="false">TRUE()</f>
        <v>1</v>
      </c>
      <c r="G386" s="7" t="s">
        <v>59</v>
      </c>
      <c r="H386" s="7" t="s">
        <v>60</v>
      </c>
      <c r="I386" s="7" t="s">
        <v>54</v>
      </c>
      <c r="J386" s="9" t="n">
        <v>0.0535378545665554</v>
      </c>
      <c r="K386" s="9" t="n">
        <v>0.0526190537993364</v>
      </c>
      <c r="L386" s="10" t="n">
        <f aca="false">K386-J386</f>
        <v>-0.00091880076721898</v>
      </c>
      <c r="M386" s="10" t="n">
        <f aca="false">IF(I386="higher",L386,-L386)</f>
        <v>0.00091880076721898</v>
      </c>
    </row>
    <row r="387" customFormat="false" ht="15" hidden="false" customHeight="false" outlineLevel="0" collapsed="false">
      <c r="A387" s="7" t="s">
        <v>82</v>
      </c>
      <c r="B387" s="7" t="s">
        <v>83</v>
      </c>
      <c r="C387" s="7" t="s">
        <v>49</v>
      </c>
      <c r="D387" s="7" t="s">
        <v>97</v>
      </c>
      <c r="E387" s="7" t="s">
        <v>51</v>
      </c>
      <c r="F387" s="8" t="b">
        <f aca="false">TRUE()</f>
        <v>1</v>
      </c>
      <c r="G387" s="7" t="s">
        <v>61</v>
      </c>
      <c r="H387" s="7" t="s">
        <v>62</v>
      </c>
      <c r="I387" s="7" t="s">
        <v>54</v>
      </c>
      <c r="J387" s="9" t="n">
        <v>17.5579666910703</v>
      </c>
      <c r="K387" s="9" t="n">
        <v>20.1260299545665</v>
      </c>
      <c r="L387" s="10" t="n">
        <f aca="false">K387-J387</f>
        <v>2.5680632634962</v>
      </c>
      <c r="M387" s="10" t="n">
        <f aca="false">IF(I387="higher",L387,-L387)</f>
        <v>-2.5680632634962</v>
      </c>
    </row>
    <row r="388" customFormat="false" ht="15" hidden="false" customHeight="false" outlineLevel="0" collapsed="false">
      <c r="A388" s="7" t="s">
        <v>82</v>
      </c>
      <c r="B388" s="7" t="s">
        <v>83</v>
      </c>
      <c r="C388" s="7" t="s">
        <v>49</v>
      </c>
      <c r="D388" s="7" t="s">
        <v>97</v>
      </c>
      <c r="E388" s="7" t="s">
        <v>51</v>
      </c>
      <c r="F388" s="8" t="b">
        <f aca="false">TRUE()</f>
        <v>1</v>
      </c>
      <c r="G388" s="7" t="s">
        <v>63</v>
      </c>
      <c r="H388" s="7" t="s">
        <v>64</v>
      </c>
      <c r="I388" s="7" t="s">
        <v>54</v>
      </c>
      <c r="J388" s="9" t="n">
        <v>18.055263936229</v>
      </c>
      <c r="K388" s="9" t="n">
        <v>19.0186054548146</v>
      </c>
      <c r="L388" s="10" t="n">
        <f aca="false">K388-J388</f>
        <v>0.963341518585608</v>
      </c>
      <c r="M388" s="10" t="n">
        <f aca="false">IF(I388="higher",L388,-L388)</f>
        <v>-0.963341518585608</v>
      </c>
    </row>
    <row r="389" customFormat="false" ht="15" hidden="false" customHeight="false" outlineLevel="0" collapsed="false">
      <c r="A389" s="7" t="s">
        <v>82</v>
      </c>
      <c r="B389" s="7" t="s">
        <v>83</v>
      </c>
      <c r="C389" s="7" t="s">
        <v>49</v>
      </c>
      <c r="D389" s="7" t="s">
        <v>97</v>
      </c>
      <c r="E389" s="7" t="s">
        <v>51</v>
      </c>
      <c r="F389" s="8" t="b">
        <f aca="false">TRUE()</f>
        <v>1</v>
      </c>
      <c r="G389" s="7" t="s">
        <v>65</v>
      </c>
      <c r="H389" s="7" t="s">
        <v>66</v>
      </c>
      <c r="I389" s="7" t="s">
        <v>54</v>
      </c>
      <c r="J389" s="9" t="n">
        <v>15.4493343175558</v>
      </c>
      <c r="K389" s="9" t="n">
        <v>17.157997060946</v>
      </c>
      <c r="L389" s="10" t="n">
        <f aca="false">K389-J389</f>
        <v>1.70866274339019</v>
      </c>
      <c r="M389" s="10" t="n">
        <f aca="false">IF(I389="higher",L389,-L389)</f>
        <v>-1.70866274339019</v>
      </c>
    </row>
    <row r="390" customFormat="false" ht="15" hidden="false" customHeight="false" outlineLevel="0" collapsed="false">
      <c r="A390" s="7" t="s">
        <v>82</v>
      </c>
      <c r="B390" s="7" t="s">
        <v>83</v>
      </c>
      <c r="C390" s="7" t="s">
        <v>49</v>
      </c>
      <c r="D390" s="7" t="s">
        <v>97</v>
      </c>
      <c r="E390" s="7" t="s">
        <v>51</v>
      </c>
      <c r="F390" s="8" t="b">
        <f aca="false">TRUE()</f>
        <v>1</v>
      </c>
      <c r="G390" s="7" t="s">
        <v>67</v>
      </c>
      <c r="H390" s="7" t="s">
        <v>68</v>
      </c>
      <c r="I390" s="7" t="s">
        <v>54</v>
      </c>
      <c r="J390" s="9" t="n">
        <v>24.7817296379815</v>
      </c>
      <c r="K390" s="9" t="n">
        <v>25.9579162308644</v>
      </c>
      <c r="L390" s="10" t="n">
        <f aca="false">K390-J390</f>
        <v>1.17618659288284</v>
      </c>
      <c r="M390" s="10" t="n">
        <f aca="false">IF(I390="higher",L390,-L390)</f>
        <v>-1.17618659288284</v>
      </c>
    </row>
    <row r="391" customFormat="false" ht="15" hidden="false" customHeight="false" outlineLevel="0" collapsed="false">
      <c r="A391" s="7" t="s">
        <v>82</v>
      </c>
      <c r="B391" s="7" t="s">
        <v>83</v>
      </c>
      <c r="C391" s="7" t="s">
        <v>49</v>
      </c>
      <c r="D391" s="7" t="s">
        <v>97</v>
      </c>
      <c r="E391" s="7" t="s">
        <v>51</v>
      </c>
      <c r="F391" s="8" t="b">
        <f aca="false">TRUE()</f>
        <v>1</v>
      </c>
      <c r="G391" s="7" t="s">
        <v>69</v>
      </c>
      <c r="H391" s="7" t="s">
        <v>70</v>
      </c>
      <c r="I391" s="7" t="s">
        <v>71</v>
      </c>
      <c r="J391" s="9" t="n">
        <v>0.67816091954023</v>
      </c>
      <c r="K391" s="9" t="n">
        <v>0.436781609195402</v>
      </c>
      <c r="L391" s="10" t="n">
        <f aca="false">K391-J391</f>
        <v>-0.241379310344827</v>
      </c>
      <c r="M391" s="10" t="n">
        <f aca="false">IF(I391="higher",L391,-L391)</f>
        <v>-0.241379310344827</v>
      </c>
    </row>
    <row r="392" customFormat="false" ht="15" hidden="false" customHeight="false" outlineLevel="0" collapsed="false">
      <c r="A392" s="7" t="s">
        <v>82</v>
      </c>
      <c r="B392" s="7" t="s">
        <v>83</v>
      </c>
      <c r="C392" s="7" t="s">
        <v>49</v>
      </c>
      <c r="D392" s="7" t="s">
        <v>97</v>
      </c>
      <c r="E392" s="7" t="s">
        <v>51</v>
      </c>
      <c r="F392" s="8" t="b">
        <f aca="false">TRUE()</f>
        <v>1</v>
      </c>
      <c r="G392" s="7" t="s">
        <v>72</v>
      </c>
      <c r="H392" s="7" t="s">
        <v>73</v>
      </c>
      <c r="I392" s="7" t="s">
        <v>71</v>
      </c>
      <c r="J392" s="9" t="n">
        <v>0.862068965517241</v>
      </c>
      <c r="K392" s="9" t="n">
        <v>0.839080459770115</v>
      </c>
      <c r="L392" s="10" t="n">
        <f aca="false">K392-J392</f>
        <v>-0.0229885057471264</v>
      </c>
      <c r="M392" s="10" t="n">
        <f aca="false">IF(I392="higher",L392,-L392)</f>
        <v>-0.0229885057471264</v>
      </c>
    </row>
    <row r="393" customFormat="false" ht="15" hidden="false" customHeight="false" outlineLevel="0" collapsed="false">
      <c r="A393" s="7" t="s">
        <v>82</v>
      </c>
      <c r="B393" s="7" t="s">
        <v>83</v>
      </c>
      <c r="C393" s="7" t="s">
        <v>49</v>
      </c>
      <c r="D393" s="7" t="s">
        <v>97</v>
      </c>
      <c r="E393" s="7" t="s">
        <v>51</v>
      </c>
      <c r="F393" s="8" t="b">
        <f aca="false">TRUE()</f>
        <v>1</v>
      </c>
      <c r="G393" s="7" t="s">
        <v>74</v>
      </c>
      <c r="H393" s="7" t="s">
        <v>75</v>
      </c>
      <c r="I393" s="7" t="s">
        <v>54</v>
      </c>
      <c r="J393" s="9" t="n">
        <v>0</v>
      </c>
      <c r="K393" s="9" t="n">
        <v>0.0833333333333333</v>
      </c>
      <c r="L393" s="10" t="n">
        <f aca="false">K393-J393</f>
        <v>0.0833333333333333</v>
      </c>
      <c r="M393" s="10" t="n">
        <f aca="false">IF(I393="higher",L393,-L393)</f>
        <v>-0.0833333333333333</v>
      </c>
    </row>
    <row r="394" customFormat="false" ht="15" hidden="false" customHeight="false" outlineLevel="0" collapsed="false">
      <c r="A394" s="7" t="s">
        <v>82</v>
      </c>
      <c r="B394" s="7" t="s">
        <v>83</v>
      </c>
      <c r="C394" s="7" t="s">
        <v>49</v>
      </c>
      <c r="D394" s="7" t="s">
        <v>97</v>
      </c>
      <c r="E394" s="7" t="s">
        <v>51</v>
      </c>
      <c r="F394" s="8" t="b">
        <f aca="false">TRUE()</f>
        <v>1</v>
      </c>
      <c r="G394" s="7" t="s">
        <v>76</v>
      </c>
      <c r="H394" s="7" t="s">
        <v>77</v>
      </c>
      <c r="I394" s="7" t="s">
        <v>54</v>
      </c>
      <c r="J394" s="9" t="n">
        <v>0.139130434782609</v>
      </c>
      <c r="K394" s="9" t="n">
        <v>0.304347826086956</v>
      </c>
      <c r="L394" s="10" t="n">
        <f aca="false">K394-J394</f>
        <v>0.165217391304348</v>
      </c>
      <c r="M394" s="10" t="n">
        <f aca="false">IF(I394="higher",L394,-L394)</f>
        <v>-0.165217391304348</v>
      </c>
    </row>
    <row r="395" customFormat="false" ht="15" hidden="false" customHeight="false" outlineLevel="0" collapsed="false">
      <c r="A395" s="7" t="s">
        <v>82</v>
      </c>
      <c r="B395" s="7" t="s">
        <v>83</v>
      </c>
      <c r="C395" s="7" t="s">
        <v>49</v>
      </c>
      <c r="D395" s="7" t="s">
        <v>97</v>
      </c>
      <c r="E395" s="7" t="s">
        <v>51</v>
      </c>
      <c r="F395" s="8" t="b">
        <f aca="false">TRUE()</f>
        <v>1</v>
      </c>
      <c r="G395" s="7" t="s">
        <v>78</v>
      </c>
      <c r="H395" s="7" t="s">
        <v>79</v>
      </c>
      <c r="I395" s="7" t="s">
        <v>54</v>
      </c>
      <c r="J395" s="9" t="n">
        <v>0</v>
      </c>
      <c r="K395" s="9" t="n">
        <v>0.0260869565217391</v>
      </c>
      <c r="L395" s="10" t="n">
        <f aca="false">K395-J395</f>
        <v>0.0260869565217391</v>
      </c>
      <c r="M395" s="10" t="n">
        <f aca="false">IF(I395="higher",L395,-L395)</f>
        <v>-0.0260869565217391</v>
      </c>
    </row>
    <row r="396" customFormat="false" ht="15" hidden="false" customHeight="false" outlineLevel="0" collapsed="false">
      <c r="A396" s="7" t="s">
        <v>82</v>
      </c>
      <c r="B396" s="7" t="s">
        <v>83</v>
      </c>
      <c r="C396" s="7" t="s">
        <v>49</v>
      </c>
      <c r="D396" s="7" t="s">
        <v>97</v>
      </c>
      <c r="E396" s="7" t="s">
        <v>51</v>
      </c>
      <c r="F396" s="8" t="b">
        <f aca="false">TRUE()</f>
        <v>1</v>
      </c>
      <c r="G396" s="7" t="s">
        <v>80</v>
      </c>
      <c r="H396" s="7" t="s">
        <v>81</v>
      </c>
      <c r="I396" s="7" t="s">
        <v>54</v>
      </c>
      <c r="J396" s="9" t="n">
        <v>0</v>
      </c>
      <c r="K396" s="9" t="n">
        <v>0</v>
      </c>
      <c r="L396" s="10" t="n">
        <f aca="false">K396-J396</f>
        <v>0</v>
      </c>
      <c r="M396" s="10" t="n">
        <f aca="false">IF(I396="higher",L396,-L396)</f>
        <v>-0</v>
      </c>
    </row>
    <row r="397" customFormat="false" ht="15" hidden="false" customHeight="false" outlineLevel="0" collapsed="false">
      <c r="A397" s="7" t="s">
        <v>48</v>
      </c>
      <c r="B397" s="7" t="s">
        <v>10</v>
      </c>
      <c r="C397" s="7" t="s">
        <v>49</v>
      </c>
      <c r="D397" s="7" t="s">
        <v>98</v>
      </c>
      <c r="E397" s="7" t="s">
        <v>51</v>
      </c>
      <c r="F397" s="8" t="b">
        <f aca="false">TRUE()</f>
        <v>1</v>
      </c>
      <c r="G397" s="7" t="s">
        <v>52</v>
      </c>
      <c r="H397" s="7" t="s">
        <v>53</v>
      </c>
      <c r="I397" s="7" t="s">
        <v>54</v>
      </c>
      <c r="J397" s="9" t="n">
        <v>3.99653451715887</v>
      </c>
      <c r="K397" s="9" t="n">
        <v>3.24074265249285</v>
      </c>
      <c r="L397" s="10" t="n">
        <f aca="false">K397-J397</f>
        <v>-0.755791864666012</v>
      </c>
      <c r="M397" s="10" t="n">
        <f aca="false">IF(I397="higher",L397,-L397)</f>
        <v>0.755791864666012</v>
      </c>
    </row>
    <row r="398" customFormat="false" ht="15" hidden="false" customHeight="false" outlineLevel="0" collapsed="false">
      <c r="A398" s="7" t="s">
        <v>48</v>
      </c>
      <c r="B398" s="7" t="s">
        <v>10</v>
      </c>
      <c r="C398" s="7" t="s">
        <v>49</v>
      </c>
      <c r="D398" s="7" t="s">
        <v>98</v>
      </c>
      <c r="E398" s="7" t="s">
        <v>51</v>
      </c>
      <c r="F398" s="8" t="b">
        <f aca="false">TRUE()</f>
        <v>1</v>
      </c>
      <c r="G398" s="7" t="s">
        <v>55</v>
      </c>
      <c r="H398" s="7" t="s">
        <v>56</v>
      </c>
      <c r="I398" s="7" t="s">
        <v>54</v>
      </c>
      <c r="J398" s="9" t="n">
        <v>14.7215993671277</v>
      </c>
      <c r="K398" s="9" t="n">
        <v>12.4436881313831</v>
      </c>
      <c r="L398" s="10" t="n">
        <f aca="false">K398-J398</f>
        <v>-2.27791123574466</v>
      </c>
      <c r="M398" s="10" t="n">
        <f aca="false">IF(I398="higher",L398,-L398)</f>
        <v>2.27791123574466</v>
      </c>
    </row>
    <row r="399" customFormat="false" ht="15" hidden="false" customHeight="false" outlineLevel="0" collapsed="false">
      <c r="A399" s="7" t="s">
        <v>48</v>
      </c>
      <c r="B399" s="7" t="s">
        <v>10</v>
      </c>
      <c r="C399" s="7" t="s">
        <v>49</v>
      </c>
      <c r="D399" s="7" t="s">
        <v>98</v>
      </c>
      <c r="E399" s="7" t="s">
        <v>51</v>
      </c>
      <c r="F399" s="8" t="b">
        <f aca="false">TRUE()</f>
        <v>1</v>
      </c>
      <c r="G399" s="7" t="s">
        <v>57</v>
      </c>
      <c r="H399" s="7" t="s">
        <v>58</v>
      </c>
      <c r="I399" s="7" t="s">
        <v>54</v>
      </c>
      <c r="J399" s="9" t="n">
        <v>3.56250502669008</v>
      </c>
      <c r="K399" s="9" t="n">
        <v>4.30210145542853</v>
      </c>
      <c r="L399" s="10" t="n">
        <f aca="false">K399-J399</f>
        <v>0.739596428738454</v>
      </c>
      <c r="M399" s="10" t="n">
        <f aca="false">IF(I399="higher",L399,-L399)</f>
        <v>-0.739596428738454</v>
      </c>
    </row>
    <row r="400" customFormat="false" ht="15" hidden="false" customHeight="false" outlineLevel="0" collapsed="false">
      <c r="A400" s="7" t="s">
        <v>48</v>
      </c>
      <c r="B400" s="7" t="s">
        <v>10</v>
      </c>
      <c r="C400" s="7" t="s">
        <v>49</v>
      </c>
      <c r="D400" s="7" t="s">
        <v>98</v>
      </c>
      <c r="E400" s="7" t="s">
        <v>51</v>
      </c>
      <c r="F400" s="8" t="b">
        <f aca="false">TRUE()</f>
        <v>1</v>
      </c>
      <c r="G400" s="7" t="s">
        <v>59</v>
      </c>
      <c r="H400" s="7" t="s">
        <v>60</v>
      </c>
      <c r="I400" s="7" t="s">
        <v>54</v>
      </c>
      <c r="J400" s="9" t="n">
        <v>0.095308130614565</v>
      </c>
      <c r="K400" s="9" t="n">
        <v>0.0744915840902529</v>
      </c>
      <c r="L400" s="10" t="n">
        <f aca="false">K400-J400</f>
        <v>-0.0208165465243121</v>
      </c>
      <c r="M400" s="10" t="n">
        <f aca="false">IF(I400="higher",L400,-L400)</f>
        <v>0.0208165465243121</v>
      </c>
    </row>
    <row r="401" customFormat="false" ht="15" hidden="false" customHeight="false" outlineLevel="0" collapsed="false">
      <c r="A401" s="7" t="s">
        <v>48</v>
      </c>
      <c r="B401" s="7" t="s">
        <v>10</v>
      </c>
      <c r="C401" s="7" t="s">
        <v>49</v>
      </c>
      <c r="D401" s="7" t="s">
        <v>98</v>
      </c>
      <c r="E401" s="7" t="s">
        <v>51</v>
      </c>
      <c r="F401" s="8" t="b">
        <f aca="false">TRUE()</f>
        <v>1</v>
      </c>
      <c r="G401" s="7" t="s">
        <v>61</v>
      </c>
      <c r="H401" s="7" t="s">
        <v>62</v>
      </c>
      <c r="I401" s="7" t="s">
        <v>54</v>
      </c>
      <c r="J401" s="9" t="n">
        <v>21.7349332073471</v>
      </c>
      <c r="K401" s="9" t="n">
        <v>23.494650018378</v>
      </c>
      <c r="L401" s="10" t="n">
        <f aca="false">K401-J401</f>
        <v>1.75971681103094</v>
      </c>
      <c r="M401" s="10" t="n">
        <f aca="false">IF(I401="higher",L401,-L401)</f>
        <v>-1.75971681103094</v>
      </c>
    </row>
    <row r="402" customFormat="false" ht="15" hidden="false" customHeight="false" outlineLevel="0" collapsed="false">
      <c r="A402" s="7" t="s">
        <v>48</v>
      </c>
      <c r="B402" s="7" t="s">
        <v>10</v>
      </c>
      <c r="C402" s="7" t="s">
        <v>49</v>
      </c>
      <c r="D402" s="7" t="s">
        <v>98</v>
      </c>
      <c r="E402" s="7" t="s">
        <v>51</v>
      </c>
      <c r="F402" s="8" t="b">
        <f aca="false">TRUE()</f>
        <v>1</v>
      </c>
      <c r="G402" s="7" t="s">
        <v>63</v>
      </c>
      <c r="H402" s="7" t="s">
        <v>64</v>
      </c>
      <c r="I402" s="7" t="s">
        <v>54</v>
      </c>
      <c r="J402" s="9" t="n">
        <v>24.1638671500752</v>
      </c>
      <c r="K402" s="9" t="n">
        <v>29.2034483568086</v>
      </c>
      <c r="L402" s="10" t="n">
        <f aca="false">K402-J402</f>
        <v>5.0395812067334</v>
      </c>
      <c r="M402" s="10" t="n">
        <f aca="false">IF(I402="higher",L402,-L402)</f>
        <v>-5.0395812067334</v>
      </c>
    </row>
    <row r="403" customFormat="false" ht="15" hidden="false" customHeight="false" outlineLevel="0" collapsed="false">
      <c r="A403" s="7" t="s">
        <v>48</v>
      </c>
      <c r="B403" s="7" t="s">
        <v>10</v>
      </c>
      <c r="C403" s="7" t="s">
        <v>49</v>
      </c>
      <c r="D403" s="7" t="s">
        <v>98</v>
      </c>
      <c r="E403" s="7" t="s">
        <v>51</v>
      </c>
      <c r="F403" s="8" t="b">
        <f aca="false">TRUE()</f>
        <v>1</v>
      </c>
      <c r="G403" s="7" t="s">
        <v>65</v>
      </c>
      <c r="H403" s="7" t="s">
        <v>66</v>
      </c>
      <c r="I403" s="7" t="s">
        <v>54</v>
      </c>
      <c r="J403" s="9" t="n">
        <v>19.2056681710684</v>
      </c>
      <c r="K403" s="9" t="n">
        <v>20.1602782741841</v>
      </c>
      <c r="L403" s="10" t="n">
        <f aca="false">K403-J403</f>
        <v>0.954610103115741</v>
      </c>
      <c r="M403" s="10" t="n">
        <f aca="false">IF(I403="higher",L403,-L403)</f>
        <v>-0.954610103115741</v>
      </c>
    </row>
    <row r="404" customFormat="false" ht="15" hidden="false" customHeight="false" outlineLevel="0" collapsed="false">
      <c r="A404" s="7" t="s">
        <v>48</v>
      </c>
      <c r="B404" s="7" t="s">
        <v>10</v>
      </c>
      <c r="C404" s="7" t="s">
        <v>49</v>
      </c>
      <c r="D404" s="7" t="s">
        <v>98</v>
      </c>
      <c r="E404" s="7" t="s">
        <v>51</v>
      </c>
      <c r="F404" s="8" t="b">
        <f aca="false">TRUE()</f>
        <v>1</v>
      </c>
      <c r="G404" s="7" t="s">
        <v>67</v>
      </c>
      <c r="H404" s="7" t="s">
        <v>68</v>
      </c>
      <c r="I404" s="7" t="s">
        <v>54</v>
      </c>
      <c r="J404" s="9" t="n">
        <v>36.4826081762436</v>
      </c>
      <c r="K404" s="9" t="n">
        <v>37.7204116924521</v>
      </c>
      <c r="L404" s="10" t="n">
        <f aca="false">K404-J404</f>
        <v>1.23780351620851</v>
      </c>
      <c r="M404" s="10" t="n">
        <f aca="false">IF(I404="higher",L404,-L404)</f>
        <v>-1.23780351620851</v>
      </c>
    </row>
    <row r="405" customFormat="false" ht="15" hidden="false" customHeight="false" outlineLevel="0" collapsed="false">
      <c r="A405" s="7" t="s">
        <v>48</v>
      </c>
      <c r="B405" s="7" t="s">
        <v>10</v>
      </c>
      <c r="C405" s="7" t="s">
        <v>49</v>
      </c>
      <c r="D405" s="7" t="s">
        <v>98</v>
      </c>
      <c r="E405" s="7" t="s">
        <v>51</v>
      </c>
      <c r="F405" s="8" t="b">
        <f aca="false">TRUE()</f>
        <v>1</v>
      </c>
      <c r="G405" s="7" t="s">
        <v>69</v>
      </c>
      <c r="H405" s="7" t="s">
        <v>70</v>
      </c>
      <c r="I405" s="7" t="s">
        <v>71</v>
      </c>
      <c r="J405" s="9" t="n">
        <v>0.625</v>
      </c>
      <c r="K405" s="9" t="n">
        <v>0.703125</v>
      </c>
      <c r="L405" s="10" t="n">
        <f aca="false">K405-J405</f>
        <v>0.078125</v>
      </c>
      <c r="M405" s="10" t="n">
        <f aca="false">IF(I405="higher",L405,-L405)</f>
        <v>0.078125</v>
      </c>
    </row>
    <row r="406" customFormat="false" ht="15" hidden="false" customHeight="false" outlineLevel="0" collapsed="false">
      <c r="A406" s="7" t="s">
        <v>48</v>
      </c>
      <c r="B406" s="7" t="s">
        <v>10</v>
      </c>
      <c r="C406" s="7" t="s">
        <v>49</v>
      </c>
      <c r="D406" s="7" t="s">
        <v>98</v>
      </c>
      <c r="E406" s="7" t="s">
        <v>51</v>
      </c>
      <c r="F406" s="8" t="b">
        <f aca="false">TRUE()</f>
        <v>1</v>
      </c>
      <c r="G406" s="7" t="s">
        <v>72</v>
      </c>
      <c r="H406" s="7" t="s">
        <v>73</v>
      </c>
      <c r="I406" s="7" t="s">
        <v>71</v>
      </c>
      <c r="J406" s="9" t="n">
        <v>0.75</v>
      </c>
      <c r="K406" s="9" t="n">
        <v>0.8125</v>
      </c>
      <c r="L406" s="10" t="n">
        <f aca="false">K406-J406</f>
        <v>0.0625</v>
      </c>
      <c r="M406" s="10" t="n">
        <f aca="false">IF(I406="higher",L406,-L406)</f>
        <v>0.0625</v>
      </c>
    </row>
    <row r="407" customFormat="false" ht="15" hidden="false" customHeight="false" outlineLevel="0" collapsed="false">
      <c r="A407" s="7" t="s">
        <v>48</v>
      </c>
      <c r="B407" s="7" t="s">
        <v>10</v>
      </c>
      <c r="C407" s="7" t="s">
        <v>49</v>
      </c>
      <c r="D407" s="7" t="s">
        <v>98</v>
      </c>
      <c r="E407" s="7" t="s">
        <v>51</v>
      </c>
      <c r="F407" s="8" t="b">
        <f aca="false">TRUE()</f>
        <v>1</v>
      </c>
      <c r="G407" s="7" t="s">
        <v>74</v>
      </c>
      <c r="H407" s="7" t="s">
        <v>75</v>
      </c>
      <c r="I407" s="7" t="s">
        <v>54</v>
      </c>
      <c r="J407" s="9" t="n">
        <v>0.0526315789473684</v>
      </c>
      <c r="K407" s="9" t="n">
        <v>0.0526315789473684</v>
      </c>
      <c r="L407" s="10" t="n">
        <f aca="false">K407-J407</f>
        <v>0</v>
      </c>
      <c r="M407" s="10" t="n">
        <f aca="false">IF(I407="higher",L407,-L407)</f>
        <v>-0</v>
      </c>
    </row>
    <row r="408" customFormat="false" ht="15" hidden="false" customHeight="false" outlineLevel="0" collapsed="false">
      <c r="A408" s="7" t="s">
        <v>48</v>
      </c>
      <c r="B408" s="7" t="s">
        <v>10</v>
      </c>
      <c r="C408" s="7" t="s">
        <v>49</v>
      </c>
      <c r="D408" s="7" t="s">
        <v>98</v>
      </c>
      <c r="E408" s="7" t="s">
        <v>51</v>
      </c>
      <c r="F408" s="8" t="b">
        <f aca="false">TRUE()</f>
        <v>1</v>
      </c>
      <c r="G408" s="7" t="s">
        <v>76</v>
      </c>
      <c r="H408" s="7" t="s">
        <v>77</v>
      </c>
      <c r="I408" s="7" t="s">
        <v>54</v>
      </c>
      <c r="J408" s="9" t="n">
        <v>0.0808080808080808</v>
      </c>
      <c r="K408" s="9" t="n">
        <v>0.0707070707070707</v>
      </c>
      <c r="L408" s="10" t="n">
        <f aca="false">K408-J408</f>
        <v>-0.0101010101010101</v>
      </c>
      <c r="M408" s="10" t="n">
        <f aca="false">IF(I408="higher",L408,-L408)</f>
        <v>0.0101010101010101</v>
      </c>
    </row>
    <row r="409" customFormat="false" ht="15" hidden="false" customHeight="false" outlineLevel="0" collapsed="false">
      <c r="A409" s="7" t="s">
        <v>48</v>
      </c>
      <c r="B409" s="7" t="s">
        <v>10</v>
      </c>
      <c r="C409" s="7" t="s">
        <v>49</v>
      </c>
      <c r="D409" s="7" t="s">
        <v>98</v>
      </c>
      <c r="E409" s="7" t="s">
        <v>51</v>
      </c>
      <c r="F409" s="8" t="b">
        <f aca="false">TRUE()</f>
        <v>1</v>
      </c>
      <c r="G409" s="7" t="s">
        <v>78</v>
      </c>
      <c r="H409" s="7" t="s">
        <v>79</v>
      </c>
      <c r="I409" s="7" t="s">
        <v>54</v>
      </c>
      <c r="J409" s="9" t="n">
        <v>0.131313131313131</v>
      </c>
      <c r="K409" s="9" t="n">
        <v>0.0909090909090909</v>
      </c>
      <c r="L409" s="10" t="n">
        <f aca="false">K409-J409</f>
        <v>-0.0404040404040404</v>
      </c>
      <c r="M409" s="10" t="n">
        <f aca="false">IF(I409="higher",L409,-L409)</f>
        <v>0.0404040404040404</v>
      </c>
    </row>
    <row r="410" customFormat="false" ht="15" hidden="false" customHeight="false" outlineLevel="0" collapsed="false">
      <c r="A410" s="7" t="s">
        <v>48</v>
      </c>
      <c r="B410" s="7" t="s">
        <v>10</v>
      </c>
      <c r="C410" s="7" t="s">
        <v>49</v>
      </c>
      <c r="D410" s="7" t="s">
        <v>98</v>
      </c>
      <c r="E410" s="7" t="s">
        <v>51</v>
      </c>
      <c r="F410" s="8" t="b">
        <f aca="false">TRUE()</f>
        <v>1</v>
      </c>
      <c r="G410" s="7" t="s">
        <v>80</v>
      </c>
      <c r="H410" s="7" t="s">
        <v>81</v>
      </c>
      <c r="I410" s="7" t="s">
        <v>54</v>
      </c>
      <c r="J410" s="9" t="n">
        <v>0</v>
      </c>
      <c r="K410" s="9" t="n">
        <v>0</v>
      </c>
      <c r="L410" s="10" t="n">
        <f aca="false">K410-J410</f>
        <v>0</v>
      </c>
      <c r="M410" s="10" t="n">
        <f aca="false">IF(I410="higher",L410,-L410)</f>
        <v>-0</v>
      </c>
    </row>
    <row r="411" customFormat="false" ht="15" hidden="false" customHeight="false" outlineLevel="0" collapsed="false">
      <c r="A411" s="7" t="s">
        <v>82</v>
      </c>
      <c r="B411" s="7" t="s">
        <v>83</v>
      </c>
      <c r="C411" s="7" t="s">
        <v>49</v>
      </c>
      <c r="D411" s="7" t="s">
        <v>98</v>
      </c>
      <c r="E411" s="7" t="s">
        <v>51</v>
      </c>
      <c r="F411" s="8" t="b">
        <f aca="false">TRUE()</f>
        <v>1</v>
      </c>
      <c r="G411" s="7" t="s">
        <v>52</v>
      </c>
      <c r="H411" s="7" t="s">
        <v>53</v>
      </c>
      <c r="I411" s="7" t="s">
        <v>54</v>
      </c>
      <c r="J411" s="9" t="n">
        <v>4.01556678939207</v>
      </c>
      <c r="K411" s="9" t="n">
        <v>3.24074265249285</v>
      </c>
      <c r="L411" s="10" t="n">
        <f aca="false">K411-J411</f>
        <v>-0.77482413689922</v>
      </c>
      <c r="M411" s="10" t="n">
        <f aca="false">IF(I411="higher",L411,-L411)</f>
        <v>0.77482413689922</v>
      </c>
    </row>
    <row r="412" customFormat="false" ht="15" hidden="false" customHeight="false" outlineLevel="0" collapsed="false">
      <c r="A412" s="7" t="s">
        <v>82</v>
      </c>
      <c r="B412" s="7" t="s">
        <v>83</v>
      </c>
      <c r="C412" s="7" t="s">
        <v>49</v>
      </c>
      <c r="D412" s="7" t="s">
        <v>98</v>
      </c>
      <c r="E412" s="7" t="s">
        <v>51</v>
      </c>
      <c r="F412" s="8" t="b">
        <f aca="false">TRUE()</f>
        <v>1</v>
      </c>
      <c r="G412" s="7" t="s">
        <v>55</v>
      </c>
      <c r="H412" s="7" t="s">
        <v>56</v>
      </c>
      <c r="I412" s="7" t="s">
        <v>54</v>
      </c>
      <c r="J412" s="9" t="n">
        <v>14.1128945090528</v>
      </c>
      <c r="K412" s="9" t="n">
        <v>12.4436881313831</v>
      </c>
      <c r="L412" s="10" t="n">
        <f aca="false">K412-J412</f>
        <v>-1.66920637766969</v>
      </c>
      <c r="M412" s="10" t="n">
        <f aca="false">IF(I412="higher",L412,-L412)</f>
        <v>1.66920637766969</v>
      </c>
    </row>
    <row r="413" customFormat="false" ht="15" hidden="false" customHeight="false" outlineLevel="0" collapsed="false">
      <c r="A413" s="7" t="s">
        <v>82</v>
      </c>
      <c r="B413" s="7" t="s">
        <v>83</v>
      </c>
      <c r="C413" s="7" t="s">
        <v>49</v>
      </c>
      <c r="D413" s="7" t="s">
        <v>98</v>
      </c>
      <c r="E413" s="7" t="s">
        <v>51</v>
      </c>
      <c r="F413" s="8" t="b">
        <f aca="false">TRUE()</f>
        <v>1</v>
      </c>
      <c r="G413" s="7" t="s">
        <v>57</v>
      </c>
      <c r="H413" s="7" t="s">
        <v>58</v>
      </c>
      <c r="I413" s="7" t="s">
        <v>54</v>
      </c>
      <c r="J413" s="9" t="n">
        <v>6.78355612909578</v>
      </c>
      <c r="K413" s="9" t="n">
        <v>4.30210145542853</v>
      </c>
      <c r="L413" s="10" t="n">
        <f aca="false">K413-J413</f>
        <v>-2.48145467366724</v>
      </c>
      <c r="M413" s="10" t="n">
        <f aca="false">IF(I413="higher",L413,-L413)</f>
        <v>2.48145467366724</v>
      </c>
    </row>
    <row r="414" customFormat="false" ht="15" hidden="false" customHeight="false" outlineLevel="0" collapsed="false">
      <c r="A414" s="7" t="s">
        <v>82</v>
      </c>
      <c r="B414" s="7" t="s">
        <v>83</v>
      </c>
      <c r="C414" s="7" t="s">
        <v>49</v>
      </c>
      <c r="D414" s="7" t="s">
        <v>98</v>
      </c>
      <c r="E414" s="7" t="s">
        <v>51</v>
      </c>
      <c r="F414" s="8" t="b">
        <f aca="false">TRUE()</f>
        <v>1</v>
      </c>
      <c r="G414" s="7" t="s">
        <v>59</v>
      </c>
      <c r="H414" s="7" t="s">
        <v>60</v>
      </c>
      <c r="I414" s="7" t="s">
        <v>54</v>
      </c>
      <c r="J414" s="9" t="n">
        <v>0.0789869007259339</v>
      </c>
      <c r="K414" s="9" t="n">
        <v>0.0744915840902529</v>
      </c>
      <c r="L414" s="10" t="n">
        <f aca="false">K414-J414</f>
        <v>-0.00449531663568095</v>
      </c>
      <c r="M414" s="10" t="n">
        <f aca="false">IF(I414="higher",L414,-L414)</f>
        <v>0.00449531663568095</v>
      </c>
    </row>
    <row r="415" customFormat="false" ht="15" hidden="false" customHeight="false" outlineLevel="0" collapsed="false">
      <c r="A415" s="7" t="s">
        <v>82</v>
      </c>
      <c r="B415" s="7" t="s">
        <v>83</v>
      </c>
      <c r="C415" s="7" t="s">
        <v>49</v>
      </c>
      <c r="D415" s="7" t="s">
        <v>98</v>
      </c>
      <c r="E415" s="7" t="s">
        <v>51</v>
      </c>
      <c r="F415" s="8" t="b">
        <f aca="false">TRUE()</f>
        <v>1</v>
      </c>
      <c r="G415" s="7" t="s">
        <v>61</v>
      </c>
      <c r="H415" s="7" t="s">
        <v>62</v>
      </c>
      <c r="I415" s="7" t="s">
        <v>54</v>
      </c>
      <c r="J415" s="9" t="n">
        <v>31.5456259390952</v>
      </c>
      <c r="K415" s="9" t="n">
        <v>23.494650018378</v>
      </c>
      <c r="L415" s="10" t="n">
        <f aca="false">K415-J415</f>
        <v>-8.05097592071721</v>
      </c>
      <c r="M415" s="10" t="n">
        <f aca="false">IF(I415="higher",L415,-L415)</f>
        <v>8.05097592071721</v>
      </c>
    </row>
    <row r="416" customFormat="false" ht="15" hidden="false" customHeight="false" outlineLevel="0" collapsed="false">
      <c r="A416" s="7" t="s">
        <v>82</v>
      </c>
      <c r="B416" s="7" t="s">
        <v>83</v>
      </c>
      <c r="C416" s="7" t="s">
        <v>49</v>
      </c>
      <c r="D416" s="7" t="s">
        <v>98</v>
      </c>
      <c r="E416" s="7" t="s">
        <v>51</v>
      </c>
      <c r="F416" s="8" t="b">
        <f aca="false">TRUE()</f>
        <v>1</v>
      </c>
      <c r="G416" s="7" t="s">
        <v>63</v>
      </c>
      <c r="H416" s="7" t="s">
        <v>64</v>
      </c>
      <c r="I416" s="7" t="s">
        <v>54</v>
      </c>
      <c r="J416" s="9" t="n">
        <v>42.4183116886898</v>
      </c>
      <c r="K416" s="9" t="n">
        <v>29.2034483568086</v>
      </c>
      <c r="L416" s="10" t="n">
        <f aca="false">K416-J416</f>
        <v>-13.2148633318812</v>
      </c>
      <c r="M416" s="10" t="n">
        <f aca="false">IF(I416="higher",L416,-L416)</f>
        <v>13.2148633318812</v>
      </c>
    </row>
    <row r="417" customFormat="false" ht="15" hidden="false" customHeight="false" outlineLevel="0" collapsed="false">
      <c r="A417" s="7" t="s">
        <v>82</v>
      </c>
      <c r="B417" s="7" t="s">
        <v>83</v>
      </c>
      <c r="C417" s="7" t="s">
        <v>49</v>
      </c>
      <c r="D417" s="7" t="s">
        <v>98</v>
      </c>
      <c r="E417" s="7" t="s">
        <v>51</v>
      </c>
      <c r="F417" s="8" t="b">
        <f aca="false">TRUE()</f>
        <v>1</v>
      </c>
      <c r="G417" s="7" t="s">
        <v>65</v>
      </c>
      <c r="H417" s="7" t="s">
        <v>66</v>
      </c>
      <c r="I417" s="7" t="s">
        <v>54</v>
      </c>
      <c r="J417" s="9" t="n">
        <v>24.1502870434455</v>
      </c>
      <c r="K417" s="9" t="n">
        <v>20.1602782741841</v>
      </c>
      <c r="L417" s="10" t="n">
        <f aca="false">K417-J417</f>
        <v>-3.99000876926143</v>
      </c>
      <c r="M417" s="10" t="n">
        <f aca="false">IF(I417="higher",L417,-L417)</f>
        <v>3.99000876926143</v>
      </c>
    </row>
    <row r="418" customFormat="false" ht="15" hidden="false" customHeight="false" outlineLevel="0" collapsed="false">
      <c r="A418" s="7" t="s">
        <v>82</v>
      </c>
      <c r="B418" s="7" t="s">
        <v>83</v>
      </c>
      <c r="C418" s="7" t="s">
        <v>49</v>
      </c>
      <c r="D418" s="7" t="s">
        <v>98</v>
      </c>
      <c r="E418" s="7" t="s">
        <v>51</v>
      </c>
      <c r="F418" s="8" t="b">
        <f aca="false">TRUE()</f>
        <v>1</v>
      </c>
      <c r="G418" s="7" t="s">
        <v>67</v>
      </c>
      <c r="H418" s="7" t="s">
        <v>68</v>
      </c>
      <c r="I418" s="7" t="s">
        <v>54</v>
      </c>
      <c r="J418" s="9" t="n">
        <v>49.3860832454766</v>
      </c>
      <c r="K418" s="9" t="n">
        <v>37.7204116924521</v>
      </c>
      <c r="L418" s="10" t="n">
        <f aca="false">K418-J418</f>
        <v>-11.6656715530244</v>
      </c>
      <c r="M418" s="10" t="n">
        <f aca="false">IF(I418="higher",L418,-L418)</f>
        <v>11.6656715530244</v>
      </c>
    </row>
    <row r="419" customFormat="false" ht="15" hidden="false" customHeight="false" outlineLevel="0" collapsed="false">
      <c r="A419" s="7" t="s">
        <v>82</v>
      </c>
      <c r="B419" s="7" t="s">
        <v>83</v>
      </c>
      <c r="C419" s="7" t="s">
        <v>49</v>
      </c>
      <c r="D419" s="7" t="s">
        <v>98</v>
      </c>
      <c r="E419" s="7" t="s">
        <v>51</v>
      </c>
      <c r="F419" s="8" t="b">
        <f aca="false">TRUE()</f>
        <v>1</v>
      </c>
      <c r="G419" s="7" t="s">
        <v>69</v>
      </c>
      <c r="H419" s="7" t="s">
        <v>70</v>
      </c>
      <c r="I419" s="7" t="s">
        <v>71</v>
      </c>
      <c r="J419" s="9" t="n">
        <v>0.5</v>
      </c>
      <c r="K419" s="9" t="n">
        <v>0.703125</v>
      </c>
      <c r="L419" s="10" t="n">
        <f aca="false">K419-J419</f>
        <v>0.203125</v>
      </c>
      <c r="M419" s="10" t="n">
        <f aca="false">IF(I419="higher",L419,-L419)</f>
        <v>0.203125</v>
      </c>
    </row>
    <row r="420" customFormat="false" ht="15" hidden="false" customHeight="false" outlineLevel="0" collapsed="false">
      <c r="A420" s="7" t="s">
        <v>82</v>
      </c>
      <c r="B420" s="7" t="s">
        <v>83</v>
      </c>
      <c r="C420" s="7" t="s">
        <v>49</v>
      </c>
      <c r="D420" s="7" t="s">
        <v>98</v>
      </c>
      <c r="E420" s="7" t="s">
        <v>51</v>
      </c>
      <c r="F420" s="8" t="b">
        <f aca="false">TRUE()</f>
        <v>1</v>
      </c>
      <c r="G420" s="7" t="s">
        <v>72</v>
      </c>
      <c r="H420" s="7" t="s">
        <v>73</v>
      </c>
      <c r="I420" s="7" t="s">
        <v>71</v>
      </c>
      <c r="J420" s="9" t="n">
        <v>0.71875</v>
      </c>
      <c r="K420" s="9" t="n">
        <v>0.8125</v>
      </c>
      <c r="L420" s="10" t="n">
        <f aca="false">K420-J420</f>
        <v>0.09375</v>
      </c>
      <c r="M420" s="10" t="n">
        <f aca="false">IF(I420="higher",L420,-L420)</f>
        <v>0.09375</v>
      </c>
    </row>
    <row r="421" customFormat="false" ht="15" hidden="false" customHeight="false" outlineLevel="0" collapsed="false">
      <c r="A421" s="7" t="s">
        <v>82</v>
      </c>
      <c r="B421" s="7" t="s">
        <v>83</v>
      </c>
      <c r="C421" s="7" t="s">
        <v>49</v>
      </c>
      <c r="D421" s="7" t="s">
        <v>98</v>
      </c>
      <c r="E421" s="7" t="s">
        <v>51</v>
      </c>
      <c r="F421" s="8" t="b">
        <f aca="false">TRUE()</f>
        <v>1</v>
      </c>
      <c r="G421" s="7" t="s">
        <v>74</v>
      </c>
      <c r="H421" s="7" t="s">
        <v>75</v>
      </c>
      <c r="I421" s="7" t="s">
        <v>54</v>
      </c>
      <c r="J421" s="9" t="n">
        <v>0</v>
      </c>
      <c r="K421" s="9" t="n">
        <v>0.0526315789473684</v>
      </c>
      <c r="L421" s="10" t="n">
        <f aca="false">K421-J421</f>
        <v>0.0526315789473684</v>
      </c>
      <c r="M421" s="10" t="n">
        <f aca="false">IF(I421="higher",L421,-L421)</f>
        <v>-0.0526315789473684</v>
      </c>
    </row>
    <row r="422" customFormat="false" ht="15" hidden="false" customHeight="false" outlineLevel="0" collapsed="false">
      <c r="A422" s="7" t="s">
        <v>82</v>
      </c>
      <c r="B422" s="7" t="s">
        <v>83</v>
      </c>
      <c r="C422" s="7" t="s">
        <v>49</v>
      </c>
      <c r="D422" s="7" t="s">
        <v>98</v>
      </c>
      <c r="E422" s="7" t="s">
        <v>51</v>
      </c>
      <c r="F422" s="8" t="b">
        <f aca="false">TRUE()</f>
        <v>1</v>
      </c>
      <c r="G422" s="7" t="s">
        <v>76</v>
      </c>
      <c r="H422" s="7" t="s">
        <v>77</v>
      </c>
      <c r="I422" s="7" t="s">
        <v>54</v>
      </c>
      <c r="J422" s="9" t="n">
        <v>0.141414141414141</v>
      </c>
      <c r="K422" s="9" t="n">
        <v>0.0707070707070707</v>
      </c>
      <c r="L422" s="10" t="n">
        <f aca="false">K422-J422</f>
        <v>-0.0707070707070707</v>
      </c>
      <c r="M422" s="10" t="n">
        <f aca="false">IF(I422="higher",L422,-L422)</f>
        <v>0.0707070707070707</v>
      </c>
    </row>
    <row r="423" customFormat="false" ht="15" hidden="false" customHeight="false" outlineLevel="0" collapsed="false">
      <c r="A423" s="7" t="s">
        <v>82</v>
      </c>
      <c r="B423" s="7" t="s">
        <v>83</v>
      </c>
      <c r="C423" s="7" t="s">
        <v>49</v>
      </c>
      <c r="D423" s="7" t="s">
        <v>98</v>
      </c>
      <c r="E423" s="7" t="s">
        <v>51</v>
      </c>
      <c r="F423" s="8" t="b">
        <f aca="false">TRUE()</f>
        <v>1</v>
      </c>
      <c r="G423" s="7" t="s">
        <v>78</v>
      </c>
      <c r="H423" s="7" t="s">
        <v>79</v>
      </c>
      <c r="I423" s="7" t="s">
        <v>54</v>
      </c>
      <c r="J423" s="9" t="n">
        <v>0.212121212121212</v>
      </c>
      <c r="K423" s="9" t="n">
        <v>0.0909090909090909</v>
      </c>
      <c r="L423" s="10" t="n">
        <f aca="false">K423-J423</f>
        <v>-0.121212121212121</v>
      </c>
      <c r="M423" s="10" t="n">
        <f aca="false">IF(I423="higher",L423,-L423)</f>
        <v>0.121212121212121</v>
      </c>
    </row>
    <row r="424" customFormat="false" ht="15" hidden="false" customHeight="false" outlineLevel="0" collapsed="false">
      <c r="A424" s="7" t="s">
        <v>82</v>
      </c>
      <c r="B424" s="7" t="s">
        <v>83</v>
      </c>
      <c r="C424" s="7" t="s">
        <v>49</v>
      </c>
      <c r="D424" s="7" t="s">
        <v>98</v>
      </c>
      <c r="E424" s="7" t="s">
        <v>51</v>
      </c>
      <c r="F424" s="8" t="b">
        <f aca="false">TRUE()</f>
        <v>1</v>
      </c>
      <c r="G424" s="7" t="s">
        <v>80</v>
      </c>
      <c r="H424" s="7" t="s">
        <v>81</v>
      </c>
      <c r="I424" s="7" t="s">
        <v>54</v>
      </c>
      <c r="J424" s="9" t="n">
        <v>0</v>
      </c>
      <c r="K424" s="9" t="n">
        <v>0</v>
      </c>
      <c r="L424" s="10" t="n">
        <f aca="false">K424-J424</f>
        <v>0</v>
      </c>
      <c r="M424" s="10" t="n">
        <f aca="false">IF(I424="higher",L424,-L424)</f>
        <v>-0</v>
      </c>
    </row>
    <row r="425" customFormat="false" ht="15" hidden="false" customHeight="false" outlineLevel="0" collapsed="false">
      <c r="A425" s="7" t="s">
        <v>48</v>
      </c>
      <c r="B425" s="7" t="s">
        <v>10</v>
      </c>
      <c r="C425" s="7" t="s">
        <v>49</v>
      </c>
      <c r="D425" s="7" t="s">
        <v>99</v>
      </c>
      <c r="E425" s="7" t="s">
        <v>51</v>
      </c>
      <c r="F425" s="8" t="b">
        <f aca="false">TRUE()</f>
        <v>1</v>
      </c>
      <c r="G425" s="7" t="s">
        <v>52</v>
      </c>
      <c r="H425" s="7" t="s">
        <v>53</v>
      </c>
      <c r="I425" s="7" t="s">
        <v>54</v>
      </c>
      <c r="J425" s="9" t="n">
        <v>4.84328086349573</v>
      </c>
      <c r="K425" s="9" t="n">
        <v>2.22913001517656</v>
      </c>
      <c r="L425" s="10" t="n">
        <f aca="false">K425-J425</f>
        <v>-2.61415084831918</v>
      </c>
      <c r="M425" s="10" t="n">
        <f aca="false">IF(I425="higher",L425,-L425)</f>
        <v>2.61415084831918</v>
      </c>
    </row>
    <row r="426" customFormat="false" ht="15" hidden="false" customHeight="false" outlineLevel="0" collapsed="false">
      <c r="A426" s="7" t="s">
        <v>48</v>
      </c>
      <c r="B426" s="7" t="s">
        <v>10</v>
      </c>
      <c r="C426" s="7" t="s">
        <v>49</v>
      </c>
      <c r="D426" s="7" t="s">
        <v>99</v>
      </c>
      <c r="E426" s="7" t="s">
        <v>51</v>
      </c>
      <c r="F426" s="8" t="b">
        <f aca="false">TRUE()</f>
        <v>1</v>
      </c>
      <c r="G426" s="7" t="s">
        <v>55</v>
      </c>
      <c r="H426" s="7" t="s">
        <v>56</v>
      </c>
      <c r="I426" s="7" t="s">
        <v>54</v>
      </c>
      <c r="J426" s="9" t="n">
        <v>10.3613790317046</v>
      </c>
      <c r="K426" s="9" t="n">
        <v>8.32166305474996</v>
      </c>
      <c r="L426" s="10" t="n">
        <f aca="false">K426-J426</f>
        <v>-2.03971597695466</v>
      </c>
      <c r="M426" s="10" t="n">
        <f aca="false">IF(I426="higher",L426,-L426)</f>
        <v>2.03971597695466</v>
      </c>
    </row>
    <row r="427" customFormat="false" ht="15" hidden="false" customHeight="false" outlineLevel="0" collapsed="false">
      <c r="A427" s="7" t="s">
        <v>48</v>
      </c>
      <c r="B427" s="7" t="s">
        <v>10</v>
      </c>
      <c r="C427" s="7" t="s">
        <v>49</v>
      </c>
      <c r="D427" s="7" t="s">
        <v>99</v>
      </c>
      <c r="E427" s="7" t="s">
        <v>51</v>
      </c>
      <c r="F427" s="8" t="b">
        <f aca="false">TRUE()</f>
        <v>1</v>
      </c>
      <c r="G427" s="7" t="s">
        <v>57</v>
      </c>
      <c r="H427" s="7" t="s">
        <v>58</v>
      </c>
      <c r="I427" s="7" t="s">
        <v>54</v>
      </c>
      <c r="J427" s="9" t="n">
        <v>6.81385203905223</v>
      </c>
      <c r="K427" s="9" t="n">
        <v>5.21440027565348</v>
      </c>
      <c r="L427" s="10" t="n">
        <f aca="false">K427-J427</f>
        <v>-1.59945176339875</v>
      </c>
      <c r="M427" s="10" t="n">
        <f aca="false">IF(I427="higher",L427,-L427)</f>
        <v>1.59945176339875</v>
      </c>
    </row>
    <row r="428" customFormat="false" ht="15" hidden="false" customHeight="false" outlineLevel="0" collapsed="false">
      <c r="A428" s="7" t="s">
        <v>48</v>
      </c>
      <c r="B428" s="7" t="s">
        <v>10</v>
      </c>
      <c r="C428" s="7" t="s">
        <v>49</v>
      </c>
      <c r="D428" s="7" t="s">
        <v>99</v>
      </c>
      <c r="E428" s="7" t="s">
        <v>51</v>
      </c>
      <c r="F428" s="8" t="b">
        <f aca="false">TRUE()</f>
        <v>1</v>
      </c>
      <c r="G428" s="7" t="s">
        <v>59</v>
      </c>
      <c r="H428" s="7" t="s">
        <v>60</v>
      </c>
      <c r="I428" s="7" t="s">
        <v>54</v>
      </c>
      <c r="J428" s="9" t="n">
        <v>0.0800343161956466</v>
      </c>
      <c r="K428" s="9" t="n">
        <v>0.0597893670611958</v>
      </c>
      <c r="L428" s="10" t="n">
        <f aca="false">K428-J428</f>
        <v>-0.0202449491344508</v>
      </c>
      <c r="M428" s="10" t="n">
        <f aca="false">IF(I428="higher",L428,-L428)</f>
        <v>0.0202449491344508</v>
      </c>
    </row>
    <row r="429" customFormat="false" ht="15" hidden="false" customHeight="false" outlineLevel="0" collapsed="false">
      <c r="A429" s="7" t="s">
        <v>48</v>
      </c>
      <c r="B429" s="7" t="s">
        <v>10</v>
      </c>
      <c r="C429" s="7" t="s">
        <v>49</v>
      </c>
      <c r="D429" s="7" t="s">
        <v>99</v>
      </c>
      <c r="E429" s="7" t="s">
        <v>51</v>
      </c>
      <c r="F429" s="8" t="b">
        <f aca="false">TRUE()</f>
        <v>1</v>
      </c>
      <c r="G429" s="7" t="s">
        <v>61</v>
      </c>
      <c r="H429" s="7" t="s">
        <v>62</v>
      </c>
      <c r="I429" s="7" t="s">
        <v>54</v>
      </c>
      <c r="J429" s="9" t="n">
        <v>13.2618021718811</v>
      </c>
      <c r="K429" s="9" t="n">
        <v>12.092300089018</v>
      </c>
      <c r="L429" s="10" t="n">
        <f aca="false">K429-J429</f>
        <v>-1.16950208286306</v>
      </c>
      <c r="M429" s="10" t="n">
        <f aca="false">IF(I429="higher",L429,-L429)</f>
        <v>1.16950208286306</v>
      </c>
    </row>
    <row r="430" customFormat="false" ht="15" hidden="false" customHeight="false" outlineLevel="0" collapsed="false">
      <c r="A430" s="7" t="s">
        <v>48</v>
      </c>
      <c r="B430" s="7" t="s">
        <v>10</v>
      </c>
      <c r="C430" s="7" t="s">
        <v>49</v>
      </c>
      <c r="D430" s="7" t="s">
        <v>99</v>
      </c>
      <c r="E430" s="7" t="s">
        <v>51</v>
      </c>
      <c r="F430" s="8" t="b">
        <f aca="false">TRUE()</f>
        <v>1</v>
      </c>
      <c r="G430" s="7" t="s">
        <v>63</v>
      </c>
      <c r="H430" s="7" t="s">
        <v>64</v>
      </c>
      <c r="I430" s="7" t="s">
        <v>54</v>
      </c>
      <c r="J430" s="9" t="n">
        <v>9.02236040592155</v>
      </c>
      <c r="K430" s="9" t="n">
        <v>5.17126782808735</v>
      </c>
      <c r="L430" s="10" t="n">
        <f aca="false">K430-J430</f>
        <v>-3.8510925778342</v>
      </c>
      <c r="M430" s="10" t="n">
        <f aca="false">IF(I430="higher",L430,-L430)</f>
        <v>3.8510925778342</v>
      </c>
    </row>
    <row r="431" customFormat="false" ht="15" hidden="false" customHeight="false" outlineLevel="0" collapsed="false">
      <c r="A431" s="7" t="s">
        <v>48</v>
      </c>
      <c r="B431" s="7" t="s">
        <v>10</v>
      </c>
      <c r="C431" s="7" t="s">
        <v>49</v>
      </c>
      <c r="D431" s="7" t="s">
        <v>99</v>
      </c>
      <c r="E431" s="7" t="s">
        <v>51</v>
      </c>
      <c r="F431" s="8" t="b">
        <f aca="false">TRUE()</f>
        <v>1</v>
      </c>
      <c r="G431" s="7" t="s">
        <v>65</v>
      </c>
      <c r="H431" s="7" t="s">
        <v>66</v>
      </c>
      <c r="I431" s="7" t="s">
        <v>54</v>
      </c>
      <c r="J431" s="9" t="n">
        <v>12.2489143702842</v>
      </c>
      <c r="K431" s="9" t="n">
        <v>11.4662033026847</v>
      </c>
      <c r="L431" s="10" t="n">
        <f aca="false">K431-J431</f>
        <v>-0.782711067599559</v>
      </c>
      <c r="M431" s="10" t="n">
        <f aca="false">IF(I431="higher",L431,-L431)</f>
        <v>0.782711067599559</v>
      </c>
    </row>
    <row r="432" customFormat="false" ht="15" hidden="false" customHeight="false" outlineLevel="0" collapsed="false">
      <c r="A432" s="7" t="s">
        <v>48</v>
      </c>
      <c r="B432" s="7" t="s">
        <v>10</v>
      </c>
      <c r="C432" s="7" t="s">
        <v>49</v>
      </c>
      <c r="D432" s="7" t="s">
        <v>99</v>
      </c>
      <c r="E432" s="7" t="s">
        <v>51</v>
      </c>
      <c r="F432" s="8" t="b">
        <f aca="false">TRUE()</f>
        <v>1</v>
      </c>
      <c r="G432" s="7" t="s">
        <v>67</v>
      </c>
      <c r="H432" s="7" t="s">
        <v>68</v>
      </c>
      <c r="I432" s="7" t="s">
        <v>54</v>
      </c>
      <c r="J432" s="9" t="n">
        <v>18.420279583465</v>
      </c>
      <c r="K432" s="9" t="n">
        <v>15.0043285318115</v>
      </c>
      <c r="L432" s="10" t="n">
        <f aca="false">K432-J432</f>
        <v>-3.41595105165357</v>
      </c>
      <c r="M432" s="10" t="n">
        <f aca="false">IF(I432="higher",L432,-L432)</f>
        <v>3.41595105165357</v>
      </c>
    </row>
    <row r="433" customFormat="false" ht="15" hidden="false" customHeight="false" outlineLevel="0" collapsed="false">
      <c r="A433" s="7" t="s">
        <v>48</v>
      </c>
      <c r="B433" s="7" t="s">
        <v>10</v>
      </c>
      <c r="C433" s="7" t="s">
        <v>49</v>
      </c>
      <c r="D433" s="7" t="s">
        <v>99</v>
      </c>
      <c r="E433" s="7" t="s">
        <v>51</v>
      </c>
      <c r="F433" s="8" t="b">
        <f aca="false">TRUE()</f>
        <v>1</v>
      </c>
      <c r="G433" s="7" t="s">
        <v>69</v>
      </c>
      <c r="H433" s="7" t="s">
        <v>70</v>
      </c>
      <c r="I433" s="7" t="s">
        <v>71</v>
      </c>
      <c r="J433" s="9" t="n">
        <v>0.440476190476191</v>
      </c>
      <c r="K433" s="9" t="n">
        <v>0.666666666666667</v>
      </c>
      <c r="L433" s="10" t="n">
        <f aca="false">K433-J433</f>
        <v>0.226190476190476</v>
      </c>
      <c r="M433" s="10" t="n">
        <f aca="false">IF(I433="higher",L433,-L433)</f>
        <v>0.226190476190476</v>
      </c>
    </row>
    <row r="434" customFormat="false" ht="15" hidden="false" customHeight="false" outlineLevel="0" collapsed="false">
      <c r="A434" s="7" t="s">
        <v>48</v>
      </c>
      <c r="B434" s="7" t="s">
        <v>10</v>
      </c>
      <c r="C434" s="7" t="s">
        <v>49</v>
      </c>
      <c r="D434" s="7" t="s">
        <v>99</v>
      </c>
      <c r="E434" s="7" t="s">
        <v>51</v>
      </c>
      <c r="F434" s="8" t="b">
        <f aca="false">TRUE()</f>
        <v>1</v>
      </c>
      <c r="G434" s="7" t="s">
        <v>72</v>
      </c>
      <c r="H434" s="7" t="s">
        <v>73</v>
      </c>
      <c r="I434" s="7" t="s">
        <v>71</v>
      </c>
      <c r="J434" s="9" t="n">
        <v>0.892857142857143</v>
      </c>
      <c r="K434" s="9" t="n">
        <v>0.80952380952381</v>
      </c>
      <c r="L434" s="10" t="n">
        <f aca="false">K434-J434</f>
        <v>-0.0833333333333334</v>
      </c>
      <c r="M434" s="10" t="n">
        <f aca="false">IF(I434="higher",L434,-L434)</f>
        <v>-0.0833333333333334</v>
      </c>
    </row>
    <row r="435" customFormat="false" ht="15" hidden="false" customHeight="false" outlineLevel="0" collapsed="false">
      <c r="A435" s="7" t="s">
        <v>48</v>
      </c>
      <c r="B435" s="7" t="s">
        <v>10</v>
      </c>
      <c r="C435" s="7" t="s">
        <v>49</v>
      </c>
      <c r="D435" s="7" t="s">
        <v>99</v>
      </c>
      <c r="E435" s="7" t="s">
        <v>51</v>
      </c>
      <c r="F435" s="8" t="b">
        <f aca="false">TRUE()</f>
        <v>1</v>
      </c>
      <c r="G435" s="7" t="s">
        <v>74</v>
      </c>
      <c r="H435" s="7" t="s">
        <v>75</v>
      </c>
      <c r="I435" s="7" t="s">
        <v>54</v>
      </c>
      <c r="J435" s="9" t="n">
        <v>0</v>
      </c>
      <c r="K435" s="9" t="n">
        <v>0</v>
      </c>
      <c r="L435" s="10" t="n">
        <f aca="false">K435-J435</f>
        <v>0</v>
      </c>
      <c r="M435" s="10" t="n">
        <f aca="false">IF(I435="higher",L435,-L435)</f>
        <v>-0</v>
      </c>
    </row>
    <row r="436" customFormat="false" ht="15" hidden="false" customHeight="false" outlineLevel="0" collapsed="false">
      <c r="A436" s="7" t="s">
        <v>48</v>
      </c>
      <c r="B436" s="7" t="s">
        <v>10</v>
      </c>
      <c r="C436" s="7" t="s">
        <v>49</v>
      </c>
      <c r="D436" s="7" t="s">
        <v>99</v>
      </c>
      <c r="E436" s="7" t="s">
        <v>51</v>
      </c>
      <c r="F436" s="8" t="b">
        <f aca="false">TRUE()</f>
        <v>1</v>
      </c>
      <c r="G436" s="7" t="s">
        <v>76</v>
      </c>
      <c r="H436" s="7" t="s">
        <v>77</v>
      </c>
      <c r="I436" s="7" t="s">
        <v>54</v>
      </c>
      <c r="J436" s="9" t="n">
        <v>0.319327731092437</v>
      </c>
      <c r="K436" s="9" t="n">
        <v>0.100840336134454</v>
      </c>
      <c r="L436" s="10" t="n">
        <f aca="false">K436-J436</f>
        <v>-0.218487394957983</v>
      </c>
      <c r="M436" s="10" t="n">
        <f aca="false">IF(I436="higher",L436,-L436)</f>
        <v>0.218487394957983</v>
      </c>
    </row>
    <row r="437" customFormat="false" ht="15" hidden="false" customHeight="false" outlineLevel="0" collapsed="false">
      <c r="A437" s="7" t="s">
        <v>48</v>
      </c>
      <c r="B437" s="7" t="s">
        <v>10</v>
      </c>
      <c r="C437" s="7" t="s">
        <v>49</v>
      </c>
      <c r="D437" s="7" t="s">
        <v>99</v>
      </c>
      <c r="E437" s="7" t="s">
        <v>51</v>
      </c>
      <c r="F437" s="8" t="b">
        <f aca="false">TRUE()</f>
        <v>1</v>
      </c>
      <c r="G437" s="7" t="s">
        <v>78</v>
      </c>
      <c r="H437" s="7" t="s">
        <v>79</v>
      </c>
      <c r="I437" s="7" t="s">
        <v>54</v>
      </c>
      <c r="J437" s="9" t="n">
        <v>0</v>
      </c>
      <c r="K437" s="9" t="n">
        <v>0</v>
      </c>
      <c r="L437" s="10" t="n">
        <f aca="false">K437-J437</f>
        <v>0</v>
      </c>
      <c r="M437" s="10" t="n">
        <f aca="false">IF(I437="higher",L437,-L437)</f>
        <v>-0</v>
      </c>
    </row>
    <row r="438" customFormat="false" ht="15" hidden="false" customHeight="false" outlineLevel="0" collapsed="false">
      <c r="A438" s="7" t="s">
        <v>48</v>
      </c>
      <c r="B438" s="7" t="s">
        <v>10</v>
      </c>
      <c r="C438" s="7" t="s">
        <v>49</v>
      </c>
      <c r="D438" s="7" t="s">
        <v>99</v>
      </c>
      <c r="E438" s="7" t="s">
        <v>51</v>
      </c>
      <c r="F438" s="8" t="b">
        <f aca="false">TRUE()</f>
        <v>1</v>
      </c>
      <c r="G438" s="7" t="s">
        <v>80</v>
      </c>
      <c r="H438" s="7" t="s">
        <v>81</v>
      </c>
      <c r="I438" s="7" t="s">
        <v>54</v>
      </c>
      <c r="J438" s="9" t="n">
        <v>0</v>
      </c>
      <c r="K438" s="9" t="n">
        <v>0</v>
      </c>
      <c r="L438" s="10" t="n">
        <f aca="false">K438-J438</f>
        <v>0</v>
      </c>
      <c r="M438" s="10" t="n">
        <f aca="false">IF(I438="higher",L438,-L438)</f>
        <v>-0</v>
      </c>
    </row>
    <row r="439" customFormat="false" ht="15" hidden="false" customHeight="false" outlineLevel="0" collapsed="false">
      <c r="A439" s="7" t="s">
        <v>82</v>
      </c>
      <c r="B439" s="7" t="s">
        <v>83</v>
      </c>
      <c r="C439" s="7" t="s">
        <v>49</v>
      </c>
      <c r="D439" s="7" t="s">
        <v>99</v>
      </c>
      <c r="E439" s="7" t="s">
        <v>51</v>
      </c>
      <c r="F439" s="8" t="b">
        <f aca="false">TRUE()</f>
        <v>1</v>
      </c>
      <c r="G439" s="7" t="s">
        <v>52</v>
      </c>
      <c r="H439" s="7" t="s">
        <v>53</v>
      </c>
      <c r="I439" s="7" t="s">
        <v>54</v>
      </c>
      <c r="J439" s="9" t="n">
        <v>2.34329188512728</v>
      </c>
      <c r="K439" s="9" t="n">
        <v>2.22913001517656</v>
      </c>
      <c r="L439" s="10" t="n">
        <f aca="false">K439-J439</f>
        <v>-0.114161869950727</v>
      </c>
      <c r="M439" s="10" t="n">
        <f aca="false">IF(I439="higher",L439,-L439)</f>
        <v>0.114161869950727</v>
      </c>
    </row>
    <row r="440" customFormat="false" ht="15" hidden="false" customHeight="false" outlineLevel="0" collapsed="false">
      <c r="A440" s="7" t="s">
        <v>82</v>
      </c>
      <c r="B440" s="7" t="s">
        <v>83</v>
      </c>
      <c r="C440" s="7" t="s">
        <v>49</v>
      </c>
      <c r="D440" s="7" t="s">
        <v>99</v>
      </c>
      <c r="E440" s="7" t="s">
        <v>51</v>
      </c>
      <c r="F440" s="8" t="b">
        <f aca="false">TRUE()</f>
        <v>1</v>
      </c>
      <c r="G440" s="7" t="s">
        <v>55</v>
      </c>
      <c r="H440" s="7" t="s">
        <v>56</v>
      </c>
      <c r="I440" s="7" t="s">
        <v>54</v>
      </c>
      <c r="J440" s="9" t="n">
        <v>8.97576515380658</v>
      </c>
      <c r="K440" s="9" t="n">
        <v>8.32166305474996</v>
      </c>
      <c r="L440" s="10" t="n">
        <f aca="false">K440-J440</f>
        <v>-0.65410209905663</v>
      </c>
      <c r="M440" s="10" t="n">
        <f aca="false">IF(I440="higher",L440,-L440)</f>
        <v>0.65410209905663</v>
      </c>
    </row>
    <row r="441" customFormat="false" ht="15" hidden="false" customHeight="false" outlineLevel="0" collapsed="false">
      <c r="A441" s="7" t="s">
        <v>82</v>
      </c>
      <c r="B441" s="7" t="s">
        <v>83</v>
      </c>
      <c r="C441" s="7" t="s">
        <v>49</v>
      </c>
      <c r="D441" s="7" t="s">
        <v>99</v>
      </c>
      <c r="E441" s="7" t="s">
        <v>51</v>
      </c>
      <c r="F441" s="8" t="b">
        <f aca="false">TRUE()</f>
        <v>1</v>
      </c>
      <c r="G441" s="7" t="s">
        <v>57</v>
      </c>
      <c r="H441" s="7" t="s">
        <v>58</v>
      </c>
      <c r="I441" s="7" t="s">
        <v>54</v>
      </c>
      <c r="J441" s="9" t="n">
        <v>5.7363941158155</v>
      </c>
      <c r="K441" s="9" t="n">
        <v>5.21440027565348</v>
      </c>
      <c r="L441" s="10" t="n">
        <f aca="false">K441-J441</f>
        <v>-0.521993840162018</v>
      </c>
      <c r="M441" s="10" t="n">
        <f aca="false">IF(I441="higher",L441,-L441)</f>
        <v>0.521993840162018</v>
      </c>
    </row>
    <row r="442" customFormat="false" ht="15" hidden="false" customHeight="false" outlineLevel="0" collapsed="false">
      <c r="A442" s="7" t="s">
        <v>82</v>
      </c>
      <c r="B442" s="7" t="s">
        <v>83</v>
      </c>
      <c r="C442" s="7" t="s">
        <v>49</v>
      </c>
      <c r="D442" s="7" t="s">
        <v>99</v>
      </c>
      <c r="E442" s="7" t="s">
        <v>51</v>
      </c>
      <c r="F442" s="8" t="b">
        <f aca="false">TRUE()</f>
        <v>1</v>
      </c>
      <c r="G442" s="7" t="s">
        <v>59</v>
      </c>
      <c r="H442" s="7" t="s">
        <v>60</v>
      </c>
      <c r="I442" s="7" t="s">
        <v>54</v>
      </c>
      <c r="J442" s="9" t="n">
        <v>0.0656378160000335</v>
      </c>
      <c r="K442" s="9" t="n">
        <v>0.0597893670611958</v>
      </c>
      <c r="L442" s="10" t="n">
        <f aca="false">K442-J442</f>
        <v>-0.00584844893883769</v>
      </c>
      <c r="M442" s="10" t="n">
        <f aca="false">IF(I442="higher",L442,-L442)</f>
        <v>0.00584844893883769</v>
      </c>
    </row>
    <row r="443" customFormat="false" ht="15" hidden="false" customHeight="false" outlineLevel="0" collapsed="false">
      <c r="A443" s="7" t="s">
        <v>82</v>
      </c>
      <c r="B443" s="7" t="s">
        <v>83</v>
      </c>
      <c r="C443" s="7" t="s">
        <v>49</v>
      </c>
      <c r="D443" s="7" t="s">
        <v>99</v>
      </c>
      <c r="E443" s="7" t="s">
        <v>51</v>
      </c>
      <c r="F443" s="8" t="b">
        <f aca="false">TRUE()</f>
        <v>1</v>
      </c>
      <c r="G443" s="7" t="s">
        <v>61</v>
      </c>
      <c r="H443" s="7" t="s">
        <v>62</v>
      </c>
      <c r="I443" s="7" t="s">
        <v>54</v>
      </c>
      <c r="J443" s="9" t="n">
        <v>13.2527931857779</v>
      </c>
      <c r="K443" s="9" t="n">
        <v>12.092300089018</v>
      </c>
      <c r="L443" s="10" t="n">
        <f aca="false">K443-J443</f>
        <v>-1.16049309675982</v>
      </c>
      <c r="M443" s="10" t="n">
        <f aca="false">IF(I443="higher",L443,-L443)</f>
        <v>1.16049309675982</v>
      </c>
    </row>
    <row r="444" customFormat="false" ht="15" hidden="false" customHeight="false" outlineLevel="0" collapsed="false">
      <c r="A444" s="7" t="s">
        <v>82</v>
      </c>
      <c r="B444" s="7" t="s">
        <v>83</v>
      </c>
      <c r="C444" s="7" t="s">
        <v>49</v>
      </c>
      <c r="D444" s="7" t="s">
        <v>99</v>
      </c>
      <c r="E444" s="7" t="s">
        <v>51</v>
      </c>
      <c r="F444" s="8" t="b">
        <f aca="false">TRUE()</f>
        <v>1</v>
      </c>
      <c r="G444" s="7" t="s">
        <v>63</v>
      </c>
      <c r="H444" s="7" t="s">
        <v>64</v>
      </c>
      <c r="I444" s="7" t="s">
        <v>54</v>
      </c>
      <c r="J444" s="9" t="n">
        <v>5.99506045761748</v>
      </c>
      <c r="K444" s="9" t="n">
        <v>5.17126782808735</v>
      </c>
      <c r="L444" s="10" t="n">
        <f aca="false">K444-J444</f>
        <v>-0.823792629530138</v>
      </c>
      <c r="M444" s="10" t="n">
        <f aca="false">IF(I444="higher",L444,-L444)</f>
        <v>0.823792629530138</v>
      </c>
    </row>
    <row r="445" customFormat="false" ht="15" hidden="false" customHeight="false" outlineLevel="0" collapsed="false">
      <c r="A445" s="7" t="s">
        <v>82</v>
      </c>
      <c r="B445" s="7" t="s">
        <v>83</v>
      </c>
      <c r="C445" s="7" t="s">
        <v>49</v>
      </c>
      <c r="D445" s="7" t="s">
        <v>99</v>
      </c>
      <c r="E445" s="7" t="s">
        <v>51</v>
      </c>
      <c r="F445" s="8" t="b">
        <f aca="false">TRUE()</f>
        <v>1</v>
      </c>
      <c r="G445" s="7" t="s">
        <v>65</v>
      </c>
      <c r="H445" s="7" t="s">
        <v>66</v>
      </c>
      <c r="I445" s="7" t="s">
        <v>54</v>
      </c>
      <c r="J445" s="9" t="n">
        <v>12.8344940127319</v>
      </c>
      <c r="K445" s="9" t="n">
        <v>11.4662033026847</v>
      </c>
      <c r="L445" s="10" t="n">
        <f aca="false">K445-J445</f>
        <v>-1.36829071004718</v>
      </c>
      <c r="M445" s="10" t="n">
        <f aca="false">IF(I445="higher",L445,-L445)</f>
        <v>1.36829071004718</v>
      </c>
    </row>
    <row r="446" customFormat="false" ht="15" hidden="false" customHeight="false" outlineLevel="0" collapsed="false">
      <c r="A446" s="7" t="s">
        <v>82</v>
      </c>
      <c r="B446" s="7" t="s">
        <v>83</v>
      </c>
      <c r="C446" s="7" t="s">
        <v>49</v>
      </c>
      <c r="D446" s="7" t="s">
        <v>99</v>
      </c>
      <c r="E446" s="7" t="s">
        <v>51</v>
      </c>
      <c r="F446" s="8" t="b">
        <f aca="false">TRUE()</f>
        <v>1</v>
      </c>
      <c r="G446" s="7" t="s">
        <v>67</v>
      </c>
      <c r="H446" s="7" t="s">
        <v>68</v>
      </c>
      <c r="I446" s="7" t="s">
        <v>54</v>
      </c>
      <c r="J446" s="9" t="n">
        <v>16.046618234451</v>
      </c>
      <c r="K446" s="9" t="n">
        <v>15.0043285318115</v>
      </c>
      <c r="L446" s="10" t="n">
        <f aca="false">K446-J446</f>
        <v>-1.0422897026395</v>
      </c>
      <c r="M446" s="10" t="n">
        <f aca="false">IF(I446="higher",L446,-L446)</f>
        <v>1.0422897026395</v>
      </c>
    </row>
    <row r="447" customFormat="false" ht="15" hidden="false" customHeight="false" outlineLevel="0" collapsed="false">
      <c r="A447" s="7" t="s">
        <v>82</v>
      </c>
      <c r="B447" s="7" t="s">
        <v>83</v>
      </c>
      <c r="C447" s="7" t="s">
        <v>49</v>
      </c>
      <c r="D447" s="7" t="s">
        <v>99</v>
      </c>
      <c r="E447" s="7" t="s">
        <v>51</v>
      </c>
      <c r="F447" s="8" t="b">
        <f aca="false">TRUE()</f>
        <v>1</v>
      </c>
      <c r="G447" s="7" t="s">
        <v>69</v>
      </c>
      <c r="H447" s="7" t="s">
        <v>70</v>
      </c>
      <c r="I447" s="7" t="s">
        <v>71</v>
      </c>
      <c r="J447" s="9" t="n">
        <v>0.571428571428571</v>
      </c>
      <c r="K447" s="9" t="n">
        <v>0.666666666666667</v>
      </c>
      <c r="L447" s="10" t="n">
        <f aca="false">K447-J447</f>
        <v>0.0952380952380952</v>
      </c>
      <c r="M447" s="10" t="n">
        <f aca="false">IF(I447="higher",L447,-L447)</f>
        <v>0.0952380952380952</v>
      </c>
    </row>
    <row r="448" customFormat="false" ht="15" hidden="false" customHeight="false" outlineLevel="0" collapsed="false">
      <c r="A448" s="7" t="s">
        <v>82</v>
      </c>
      <c r="B448" s="7" t="s">
        <v>83</v>
      </c>
      <c r="C448" s="7" t="s">
        <v>49</v>
      </c>
      <c r="D448" s="7" t="s">
        <v>99</v>
      </c>
      <c r="E448" s="7" t="s">
        <v>51</v>
      </c>
      <c r="F448" s="8" t="b">
        <f aca="false">TRUE()</f>
        <v>1</v>
      </c>
      <c r="G448" s="7" t="s">
        <v>72</v>
      </c>
      <c r="H448" s="7" t="s">
        <v>73</v>
      </c>
      <c r="I448" s="7" t="s">
        <v>71</v>
      </c>
      <c r="J448" s="9" t="n">
        <v>0.880952380952381</v>
      </c>
      <c r="K448" s="9" t="n">
        <v>0.80952380952381</v>
      </c>
      <c r="L448" s="10" t="n">
        <f aca="false">K448-J448</f>
        <v>-0.0714285714285714</v>
      </c>
      <c r="M448" s="10" t="n">
        <f aca="false">IF(I448="higher",L448,-L448)</f>
        <v>-0.0714285714285714</v>
      </c>
    </row>
    <row r="449" customFormat="false" ht="15" hidden="false" customHeight="false" outlineLevel="0" collapsed="false">
      <c r="A449" s="7" t="s">
        <v>82</v>
      </c>
      <c r="B449" s="7" t="s">
        <v>83</v>
      </c>
      <c r="C449" s="7" t="s">
        <v>49</v>
      </c>
      <c r="D449" s="7" t="s">
        <v>99</v>
      </c>
      <c r="E449" s="7" t="s">
        <v>51</v>
      </c>
      <c r="F449" s="8" t="b">
        <f aca="false">TRUE()</f>
        <v>1</v>
      </c>
      <c r="G449" s="7" t="s">
        <v>74</v>
      </c>
      <c r="H449" s="7" t="s">
        <v>75</v>
      </c>
      <c r="I449" s="7" t="s">
        <v>54</v>
      </c>
      <c r="J449" s="9" t="n">
        <v>0</v>
      </c>
      <c r="K449" s="9" t="n">
        <v>0</v>
      </c>
      <c r="L449" s="10" t="n">
        <f aca="false">K449-J449</f>
        <v>0</v>
      </c>
      <c r="M449" s="10" t="n">
        <f aca="false">IF(I449="higher",L449,-L449)</f>
        <v>-0</v>
      </c>
    </row>
    <row r="450" customFormat="false" ht="15" hidden="false" customHeight="false" outlineLevel="0" collapsed="false">
      <c r="A450" s="7" t="s">
        <v>82</v>
      </c>
      <c r="B450" s="7" t="s">
        <v>83</v>
      </c>
      <c r="C450" s="7" t="s">
        <v>49</v>
      </c>
      <c r="D450" s="7" t="s">
        <v>99</v>
      </c>
      <c r="E450" s="7" t="s">
        <v>51</v>
      </c>
      <c r="F450" s="8" t="b">
        <f aca="false">TRUE()</f>
        <v>1</v>
      </c>
      <c r="G450" s="7" t="s">
        <v>76</v>
      </c>
      <c r="H450" s="7" t="s">
        <v>77</v>
      </c>
      <c r="I450" s="7" t="s">
        <v>54</v>
      </c>
      <c r="J450" s="9" t="n">
        <v>0.218487394957983</v>
      </c>
      <c r="K450" s="9" t="n">
        <v>0.100840336134454</v>
      </c>
      <c r="L450" s="10" t="n">
        <f aca="false">K450-J450</f>
        <v>-0.117647058823529</v>
      </c>
      <c r="M450" s="10" t="n">
        <f aca="false">IF(I450="higher",L450,-L450)</f>
        <v>0.117647058823529</v>
      </c>
    </row>
    <row r="451" customFormat="false" ht="15" hidden="false" customHeight="false" outlineLevel="0" collapsed="false">
      <c r="A451" s="7" t="s">
        <v>82</v>
      </c>
      <c r="B451" s="7" t="s">
        <v>83</v>
      </c>
      <c r="C451" s="7" t="s">
        <v>49</v>
      </c>
      <c r="D451" s="7" t="s">
        <v>99</v>
      </c>
      <c r="E451" s="7" t="s">
        <v>51</v>
      </c>
      <c r="F451" s="8" t="b">
        <f aca="false">TRUE()</f>
        <v>1</v>
      </c>
      <c r="G451" s="7" t="s">
        <v>78</v>
      </c>
      <c r="H451" s="7" t="s">
        <v>79</v>
      </c>
      <c r="I451" s="7" t="s">
        <v>54</v>
      </c>
      <c r="J451" s="9" t="n">
        <v>0</v>
      </c>
      <c r="K451" s="9" t="n">
        <v>0</v>
      </c>
      <c r="L451" s="10" t="n">
        <f aca="false">K451-J451</f>
        <v>0</v>
      </c>
      <c r="M451" s="10" t="n">
        <f aca="false">IF(I451="higher",L451,-L451)</f>
        <v>-0</v>
      </c>
    </row>
    <row r="452" customFormat="false" ht="15" hidden="false" customHeight="false" outlineLevel="0" collapsed="false">
      <c r="A452" s="7" t="s">
        <v>82</v>
      </c>
      <c r="B452" s="7" t="s">
        <v>83</v>
      </c>
      <c r="C452" s="7" t="s">
        <v>49</v>
      </c>
      <c r="D452" s="7" t="s">
        <v>99</v>
      </c>
      <c r="E452" s="7" t="s">
        <v>51</v>
      </c>
      <c r="F452" s="8" t="b">
        <f aca="false">TRUE()</f>
        <v>1</v>
      </c>
      <c r="G452" s="7" t="s">
        <v>80</v>
      </c>
      <c r="H452" s="7" t="s">
        <v>81</v>
      </c>
      <c r="I452" s="7" t="s">
        <v>54</v>
      </c>
      <c r="J452" s="9" t="n">
        <v>0</v>
      </c>
      <c r="K452" s="9" t="n">
        <v>0</v>
      </c>
      <c r="L452" s="10" t="n">
        <f aca="false">K452-J452</f>
        <v>0</v>
      </c>
      <c r="M452" s="10" t="n">
        <f aca="false">IF(I452="higher",L452,-L452)</f>
        <v>-0</v>
      </c>
    </row>
    <row r="453" customFormat="false" ht="15" hidden="false" customHeight="false" outlineLevel="0" collapsed="false">
      <c r="A453" s="7" t="s">
        <v>48</v>
      </c>
      <c r="B453" s="7" t="s">
        <v>10</v>
      </c>
      <c r="C453" s="7" t="s">
        <v>49</v>
      </c>
      <c r="D453" s="7" t="s">
        <v>100</v>
      </c>
      <c r="E453" s="7" t="s">
        <v>51</v>
      </c>
      <c r="F453" s="8" t="b">
        <f aca="false">FALSE()</f>
        <v>0</v>
      </c>
      <c r="G453" s="7" t="s">
        <v>52</v>
      </c>
      <c r="H453" s="7" t="s">
        <v>53</v>
      </c>
      <c r="I453" s="7" t="s">
        <v>54</v>
      </c>
      <c r="J453" s="9" t="n">
        <v>3.72482400817427</v>
      </c>
      <c r="K453" s="9" t="n">
        <v>1.71899701837163</v>
      </c>
      <c r="L453" s="10" t="n">
        <f aca="false">K453-J453</f>
        <v>-2.00582698980265</v>
      </c>
      <c r="M453" s="10" t="n">
        <f aca="false">IF(I453="higher",L453,-L453)</f>
        <v>2.00582698980265</v>
      </c>
    </row>
    <row r="454" customFormat="false" ht="15" hidden="false" customHeight="false" outlineLevel="0" collapsed="false">
      <c r="A454" s="7" t="s">
        <v>48</v>
      </c>
      <c r="B454" s="7" t="s">
        <v>10</v>
      </c>
      <c r="C454" s="7" t="s">
        <v>49</v>
      </c>
      <c r="D454" s="7" t="s">
        <v>100</v>
      </c>
      <c r="E454" s="7" t="s">
        <v>51</v>
      </c>
      <c r="F454" s="8" t="b">
        <f aca="false">FALSE()</f>
        <v>0</v>
      </c>
      <c r="G454" s="7" t="s">
        <v>55</v>
      </c>
      <c r="H454" s="7" t="s">
        <v>56</v>
      </c>
      <c r="I454" s="7" t="s">
        <v>54</v>
      </c>
      <c r="J454" s="9" t="n">
        <v>7.95841056954231</v>
      </c>
      <c r="K454" s="9" t="n">
        <v>5.14751538764995</v>
      </c>
      <c r="L454" s="10" t="n">
        <f aca="false">K454-J454</f>
        <v>-2.81089518189236</v>
      </c>
      <c r="M454" s="10" t="n">
        <f aca="false">IF(I454="higher",L454,-L454)</f>
        <v>2.81089518189236</v>
      </c>
    </row>
    <row r="455" customFormat="false" ht="15" hidden="false" customHeight="false" outlineLevel="0" collapsed="false">
      <c r="A455" s="7" t="s">
        <v>48</v>
      </c>
      <c r="B455" s="7" t="s">
        <v>10</v>
      </c>
      <c r="C455" s="7" t="s">
        <v>49</v>
      </c>
      <c r="D455" s="7" t="s">
        <v>100</v>
      </c>
      <c r="E455" s="7" t="s">
        <v>51</v>
      </c>
      <c r="F455" s="8" t="b">
        <f aca="false">FALSE()</f>
        <v>0</v>
      </c>
      <c r="G455" s="7" t="s">
        <v>57</v>
      </c>
      <c r="H455" s="7" t="s">
        <v>58</v>
      </c>
      <c r="I455" s="7" t="s">
        <v>54</v>
      </c>
      <c r="J455" s="9" t="n">
        <v>5.45099581956756</v>
      </c>
      <c r="K455" s="9" t="n">
        <v>3.99399788491561</v>
      </c>
      <c r="L455" s="10" t="n">
        <f aca="false">K455-J455</f>
        <v>-1.45699793465195</v>
      </c>
      <c r="M455" s="10" t="n">
        <f aca="false">IF(I455="higher",L455,-L455)</f>
        <v>1.45699793465195</v>
      </c>
    </row>
    <row r="456" customFormat="false" ht="15" hidden="false" customHeight="false" outlineLevel="0" collapsed="false">
      <c r="A456" s="7" t="s">
        <v>48</v>
      </c>
      <c r="B456" s="7" t="s">
        <v>10</v>
      </c>
      <c r="C456" s="7" t="s">
        <v>49</v>
      </c>
      <c r="D456" s="7" t="s">
        <v>100</v>
      </c>
      <c r="E456" s="7" t="s">
        <v>51</v>
      </c>
      <c r="F456" s="8" t="b">
        <f aca="false">FALSE()</f>
        <v>0</v>
      </c>
      <c r="G456" s="7" t="s">
        <v>59</v>
      </c>
      <c r="H456" s="7" t="s">
        <v>60</v>
      </c>
      <c r="I456" s="7" t="s">
        <v>54</v>
      </c>
      <c r="J456" s="9" t="n">
        <v>0.454850223768836</v>
      </c>
      <c r="K456" s="9" t="n">
        <v>0.468342184595551</v>
      </c>
      <c r="L456" s="10" t="n">
        <f aca="false">K456-J456</f>
        <v>0.0134919608267153</v>
      </c>
      <c r="M456" s="10" t="n">
        <f aca="false">IF(I456="higher",L456,-L456)</f>
        <v>-0.0134919608267153</v>
      </c>
    </row>
    <row r="457" customFormat="false" ht="15" hidden="false" customHeight="false" outlineLevel="0" collapsed="false">
      <c r="A457" s="7" t="s">
        <v>48</v>
      </c>
      <c r="B457" s="7" t="s">
        <v>10</v>
      </c>
      <c r="C457" s="7" t="s">
        <v>49</v>
      </c>
      <c r="D457" s="7" t="s">
        <v>100</v>
      </c>
      <c r="E457" s="7" t="s">
        <v>51</v>
      </c>
      <c r="F457" s="8" t="b">
        <f aca="false">FALSE()</f>
        <v>0</v>
      </c>
      <c r="G457" s="7" t="s">
        <v>61</v>
      </c>
      <c r="H457" s="7" t="s">
        <v>62</v>
      </c>
      <c r="I457" s="7" t="s">
        <v>54</v>
      </c>
      <c r="J457" s="9" t="n">
        <v>563.143721419789</v>
      </c>
      <c r="K457" s="9" t="n">
        <v>535.783424762487</v>
      </c>
      <c r="L457" s="10" t="n">
        <f aca="false">K457-J457</f>
        <v>-27.360296657302</v>
      </c>
      <c r="M457" s="10" t="n">
        <f aca="false">IF(I457="higher",L457,-L457)</f>
        <v>27.360296657302</v>
      </c>
    </row>
    <row r="458" customFormat="false" ht="15" hidden="false" customHeight="false" outlineLevel="0" collapsed="false">
      <c r="A458" s="7" t="s">
        <v>48</v>
      </c>
      <c r="B458" s="7" t="s">
        <v>10</v>
      </c>
      <c r="C458" s="7" t="s">
        <v>49</v>
      </c>
      <c r="D458" s="7" t="s">
        <v>100</v>
      </c>
      <c r="E458" s="7" t="s">
        <v>51</v>
      </c>
      <c r="F458" s="8" t="b">
        <f aca="false">FALSE()</f>
        <v>0</v>
      </c>
      <c r="G458" s="7" t="s">
        <v>63</v>
      </c>
      <c r="H458" s="7" t="s">
        <v>64</v>
      </c>
      <c r="I458" s="7" t="s">
        <v>54</v>
      </c>
      <c r="J458" s="9" t="n">
        <v>124.538244765484</v>
      </c>
      <c r="K458" s="9" t="n">
        <v>127.461027500168</v>
      </c>
      <c r="L458" s="10" t="n">
        <f aca="false">K458-J458</f>
        <v>2.92278273468371</v>
      </c>
      <c r="M458" s="10" t="n">
        <f aca="false">IF(I458="higher",L458,-L458)</f>
        <v>-2.92278273468371</v>
      </c>
    </row>
    <row r="459" customFormat="false" ht="15" hidden="false" customHeight="false" outlineLevel="0" collapsed="false">
      <c r="A459" s="7" t="s">
        <v>48</v>
      </c>
      <c r="B459" s="7" t="s">
        <v>10</v>
      </c>
      <c r="C459" s="7" t="s">
        <v>49</v>
      </c>
      <c r="D459" s="7" t="s">
        <v>100</v>
      </c>
      <c r="E459" s="7" t="s">
        <v>51</v>
      </c>
      <c r="F459" s="8" t="b">
        <f aca="false">FALSE()</f>
        <v>0</v>
      </c>
      <c r="G459" s="7" t="s">
        <v>65</v>
      </c>
      <c r="H459" s="7" t="s">
        <v>66</v>
      </c>
      <c r="I459" s="7" t="s">
        <v>54</v>
      </c>
      <c r="J459" s="9" t="n">
        <v>579.233257713379</v>
      </c>
      <c r="K459" s="9" t="n">
        <v>553.008660954953</v>
      </c>
      <c r="L459" s="10" t="n">
        <f aca="false">K459-J459</f>
        <v>-26.2245967584263</v>
      </c>
      <c r="M459" s="10" t="n">
        <f aca="false">IF(I459="higher",L459,-L459)</f>
        <v>26.2245967584263</v>
      </c>
    </row>
    <row r="460" customFormat="false" ht="15" hidden="false" customHeight="false" outlineLevel="0" collapsed="false">
      <c r="A460" s="7" t="s">
        <v>48</v>
      </c>
      <c r="B460" s="7" t="s">
        <v>10</v>
      </c>
      <c r="C460" s="7" t="s">
        <v>49</v>
      </c>
      <c r="D460" s="7" t="s">
        <v>100</v>
      </c>
      <c r="E460" s="7" t="s">
        <v>51</v>
      </c>
      <c r="F460" s="8" t="b">
        <f aca="false">FALSE()</f>
        <v>0</v>
      </c>
      <c r="G460" s="7" t="s">
        <v>67</v>
      </c>
      <c r="H460" s="7" t="s">
        <v>68</v>
      </c>
      <c r="I460" s="7" t="s">
        <v>54</v>
      </c>
      <c r="J460" s="9" t="n">
        <v>126.192057459372</v>
      </c>
      <c r="K460" s="9" t="n">
        <v>127.025627510674</v>
      </c>
      <c r="L460" s="10" t="n">
        <f aca="false">K460-J460</f>
        <v>0.833570051302004</v>
      </c>
      <c r="M460" s="10" t="n">
        <f aca="false">IF(I460="higher",L460,-L460)</f>
        <v>-0.833570051302004</v>
      </c>
    </row>
    <row r="461" customFormat="false" ht="15" hidden="false" customHeight="false" outlineLevel="0" collapsed="false">
      <c r="A461" s="7" t="s">
        <v>48</v>
      </c>
      <c r="B461" s="7" t="s">
        <v>10</v>
      </c>
      <c r="C461" s="7" t="s">
        <v>49</v>
      </c>
      <c r="D461" s="7" t="s">
        <v>100</v>
      </c>
      <c r="E461" s="7" t="s">
        <v>51</v>
      </c>
      <c r="F461" s="8" t="b">
        <f aca="false">FALSE()</f>
        <v>0</v>
      </c>
      <c r="G461" s="7" t="s">
        <v>69</v>
      </c>
      <c r="H461" s="7" t="s">
        <v>70</v>
      </c>
      <c r="I461" s="7" t="s">
        <v>71</v>
      </c>
      <c r="J461" s="9" t="n">
        <v>0</v>
      </c>
      <c r="K461" s="9" t="n">
        <v>0</v>
      </c>
      <c r="L461" s="10" t="n">
        <f aca="false">K461-J461</f>
        <v>0</v>
      </c>
      <c r="M461" s="10" t="n">
        <f aca="false">IF(I461="higher",L461,-L461)</f>
        <v>0</v>
      </c>
    </row>
    <row r="462" customFormat="false" ht="15" hidden="false" customHeight="false" outlineLevel="0" collapsed="false">
      <c r="A462" s="7" t="s">
        <v>48</v>
      </c>
      <c r="B462" s="7" t="s">
        <v>10</v>
      </c>
      <c r="C462" s="7" t="s">
        <v>49</v>
      </c>
      <c r="D462" s="7" t="s">
        <v>100</v>
      </c>
      <c r="E462" s="7" t="s">
        <v>51</v>
      </c>
      <c r="F462" s="8" t="b">
        <f aca="false">FALSE()</f>
        <v>0</v>
      </c>
      <c r="G462" s="7" t="s">
        <v>72</v>
      </c>
      <c r="H462" s="7" t="s">
        <v>73</v>
      </c>
      <c r="I462" s="7" t="s">
        <v>71</v>
      </c>
      <c r="J462" s="9" t="n">
        <v>0</v>
      </c>
      <c r="K462" s="9" t="n">
        <v>0</v>
      </c>
      <c r="L462" s="10" t="n">
        <f aca="false">K462-J462</f>
        <v>0</v>
      </c>
      <c r="M462" s="10" t="n">
        <f aca="false">IF(I462="higher",L462,-L462)</f>
        <v>0</v>
      </c>
    </row>
    <row r="463" customFormat="false" ht="15" hidden="false" customHeight="false" outlineLevel="0" collapsed="false">
      <c r="A463" s="7" t="s">
        <v>48</v>
      </c>
      <c r="B463" s="7" t="s">
        <v>10</v>
      </c>
      <c r="C463" s="7" t="s">
        <v>49</v>
      </c>
      <c r="D463" s="7" t="s">
        <v>100</v>
      </c>
      <c r="E463" s="7" t="s">
        <v>51</v>
      </c>
      <c r="F463" s="8" t="b">
        <f aca="false">FALSE()</f>
        <v>0</v>
      </c>
      <c r="G463" s="7" t="s">
        <v>74</v>
      </c>
      <c r="H463" s="7" t="s">
        <v>75</v>
      </c>
      <c r="I463" s="7" t="s">
        <v>54</v>
      </c>
      <c r="J463" s="9" t="n">
        <v>0</v>
      </c>
      <c r="K463" s="9" t="n">
        <v>0</v>
      </c>
      <c r="L463" s="10" t="n">
        <f aca="false">K463-J463</f>
        <v>0</v>
      </c>
      <c r="M463" s="10" t="n">
        <f aca="false">IF(I463="higher",L463,-L463)</f>
        <v>-0</v>
      </c>
    </row>
    <row r="464" customFormat="false" ht="15" hidden="false" customHeight="false" outlineLevel="0" collapsed="false">
      <c r="A464" s="7" t="s">
        <v>48</v>
      </c>
      <c r="B464" s="7" t="s">
        <v>10</v>
      </c>
      <c r="C464" s="7" t="s">
        <v>49</v>
      </c>
      <c r="D464" s="7" t="s">
        <v>100</v>
      </c>
      <c r="E464" s="7" t="s">
        <v>51</v>
      </c>
      <c r="F464" s="8" t="b">
        <f aca="false">FALSE()</f>
        <v>0</v>
      </c>
      <c r="G464" s="7" t="s">
        <v>76</v>
      </c>
      <c r="H464" s="7" t="s">
        <v>77</v>
      </c>
      <c r="I464" s="7" t="s">
        <v>54</v>
      </c>
      <c r="J464" s="9" t="n">
        <v>0</v>
      </c>
      <c r="K464" s="9" t="n">
        <v>0</v>
      </c>
      <c r="L464" s="10" t="n">
        <f aca="false">K464-J464</f>
        <v>0</v>
      </c>
      <c r="M464" s="10" t="n">
        <f aca="false">IF(I464="higher",L464,-L464)</f>
        <v>-0</v>
      </c>
    </row>
    <row r="465" customFormat="false" ht="15" hidden="false" customHeight="false" outlineLevel="0" collapsed="false">
      <c r="A465" s="7" t="s">
        <v>48</v>
      </c>
      <c r="B465" s="7" t="s">
        <v>10</v>
      </c>
      <c r="C465" s="7" t="s">
        <v>49</v>
      </c>
      <c r="D465" s="7" t="s">
        <v>100</v>
      </c>
      <c r="E465" s="7" t="s">
        <v>51</v>
      </c>
      <c r="F465" s="8" t="b">
        <f aca="false">FALSE()</f>
        <v>0</v>
      </c>
      <c r="G465" s="7" t="s">
        <v>78</v>
      </c>
      <c r="H465" s="7" t="s">
        <v>79</v>
      </c>
      <c r="I465" s="7" t="s">
        <v>54</v>
      </c>
      <c r="J465" s="9" t="n">
        <v>0</v>
      </c>
      <c r="K465" s="9" t="n">
        <v>0</v>
      </c>
      <c r="L465" s="10" t="n">
        <f aca="false">K465-J465</f>
        <v>0</v>
      </c>
      <c r="M465" s="10" t="n">
        <f aca="false">IF(I465="higher",L465,-L465)</f>
        <v>-0</v>
      </c>
    </row>
    <row r="466" customFormat="false" ht="15" hidden="false" customHeight="false" outlineLevel="0" collapsed="false">
      <c r="A466" s="7" t="s">
        <v>48</v>
      </c>
      <c r="B466" s="7" t="s">
        <v>10</v>
      </c>
      <c r="C466" s="7" t="s">
        <v>49</v>
      </c>
      <c r="D466" s="7" t="s">
        <v>100</v>
      </c>
      <c r="E466" s="7" t="s">
        <v>51</v>
      </c>
      <c r="F466" s="8" t="b">
        <f aca="false">FALSE()</f>
        <v>0</v>
      </c>
      <c r="G466" s="7" t="s">
        <v>80</v>
      </c>
      <c r="H466" s="7" t="s">
        <v>81</v>
      </c>
      <c r="I466" s="7" t="s">
        <v>54</v>
      </c>
      <c r="J466" s="9" t="n">
        <v>1</v>
      </c>
      <c r="K466" s="9" t="n">
        <v>1</v>
      </c>
      <c r="L466" s="10" t="n">
        <f aca="false">K466-J466</f>
        <v>0</v>
      </c>
      <c r="M466" s="10" t="n">
        <f aca="false">IF(I466="higher",L466,-L466)</f>
        <v>-0</v>
      </c>
    </row>
    <row r="467" customFormat="false" ht="15" hidden="false" customHeight="false" outlineLevel="0" collapsed="false">
      <c r="A467" s="7" t="s">
        <v>82</v>
      </c>
      <c r="B467" s="7" t="s">
        <v>83</v>
      </c>
      <c r="C467" s="7" t="s">
        <v>49</v>
      </c>
      <c r="D467" s="7" t="s">
        <v>100</v>
      </c>
      <c r="E467" s="7" t="s">
        <v>51</v>
      </c>
      <c r="F467" s="8" t="b">
        <f aca="false">FALSE()</f>
        <v>0</v>
      </c>
      <c r="G467" s="7" t="s">
        <v>52</v>
      </c>
      <c r="H467" s="7" t="s">
        <v>53</v>
      </c>
      <c r="I467" s="7" t="s">
        <v>54</v>
      </c>
      <c r="J467" s="9" t="n">
        <v>2.62755199996229</v>
      </c>
      <c r="K467" s="9" t="n">
        <v>1.71899701837163</v>
      </c>
      <c r="L467" s="10" t="n">
        <f aca="false">K467-J467</f>
        <v>-0.908554981590665</v>
      </c>
      <c r="M467" s="10" t="n">
        <f aca="false">IF(I467="higher",L467,-L467)</f>
        <v>0.908554981590665</v>
      </c>
    </row>
    <row r="468" customFormat="false" ht="15" hidden="false" customHeight="false" outlineLevel="0" collapsed="false">
      <c r="A468" s="7" t="s">
        <v>82</v>
      </c>
      <c r="B468" s="7" t="s">
        <v>83</v>
      </c>
      <c r="C468" s="7" t="s">
        <v>49</v>
      </c>
      <c r="D468" s="7" t="s">
        <v>100</v>
      </c>
      <c r="E468" s="7" t="s">
        <v>51</v>
      </c>
      <c r="F468" s="8" t="b">
        <f aca="false">FALSE()</f>
        <v>0</v>
      </c>
      <c r="G468" s="7" t="s">
        <v>55</v>
      </c>
      <c r="H468" s="7" t="s">
        <v>56</v>
      </c>
      <c r="I468" s="7" t="s">
        <v>54</v>
      </c>
      <c r="J468" s="9" t="n">
        <v>6.00674160505032</v>
      </c>
      <c r="K468" s="9" t="n">
        <v>5.14751538764995</v>
      </c>
      <c r="L468" s="10" t="n">
        <f aca="false">K468-J468</f>
        <v>-0.859226217400368</v>
      </c>
      <c r="M468" s="10" t="n">
        <f aca="false">IF(I468="higher",L468,-L468)</f>
        <v>0.859226217400368</v>
      </c>
    </row>
    <row r="469" customFormat="false" ht="15" hidden="false" customHeight="false" outlineLevel="0" collapsed="false">
      <c r="A469" s="7" t="s">
        <v>82</v>
      </c>
      <c r="B469" s="7" t="s">
        <v>83</v>
      </c>
      <c r="C469" s="7" t="s">
        <v>49</v>
      </c>
      <c r="D469" s="7" t="s">
        <v>100</v>
      </c>
      <c r="E469" s="7" t="s">
        <v>51</v>
      </c>
      <c r="F469" s="8" t="b">
        <f aca="false">FALSE()</f>
        <v>0</v>
      </c>
      <c r="G469" s="7" t="s">
        <v>57</v>
      </c>
      <c r="H469" s="7" t="s">
        <v>58</v>
      </c>
      <c r="I469" s="7" t="s">
        <v>54</v>
      </c>
      <c r="J469" s="9" t="n">
        <v>11.0057428973875</v>
      </c>
      <c r="K469" s="9" t="n">
        <v>3.99399788491561</v>
      </c>
      <c r="L469" s="10" t="n">
        <f aca="false">K469-J469</f>
        <v>-7.01174501247193</v>
      </c>
      <c r="M469" s="10" t="n">
        <f aca="false">IF(I469="higher",L469,-L469)</f>
        <v>7.01174501247193</v>
      </c>
    </row>
    <row r="470" customFormat="false" ht="15" hidden="false" customHeight="false" outlineLevel="0" collapsed="false">
      <c r="A470" s="7" t="s">
        <v>82</v>
      </c>
      <c r="B470" s="7" t="s">
        <v>83</v>
      </c>
      <c r="C470" s="7" t="s">
        <v>49</v>
      </c>
      <c r="D470" s="7" t="s">
        <v>100</v>
      </c>
      <c r="E470" s="7" t="s">
        <v>51</v>
      </c>
      <c r="F470" s="8" t="b">
        <f aca="false">FALSE()</f>
        <v>0</v>
      </c>
      <c r="G470" s="7" t="s">
        <v>59</v>
      </c>
      <c r="H470" s="7" t="s">
        <v>60</v>
      </c>
      <c r="I470" s="7" t="s">
        <v>54</v>
      </c>
      <c r="J470" s="9" t="n">
        <v>0.47855012343755</v>
      </c>
      <c r="K470" s="9" t="n">
        <v>0.468342184595551</v>
      </c>
      <c r="L470" s="10" t="n">
        <f aca="false">K470-J470</f>
        <v>-0.010207938841999</v>
      </c>
      <c r="M470" s="10" t="n">
        <f aca="false">IF(I470="higher",L470,-L470)</f>
        <v>0.010207938841999</v>
      </c>
    </row>
    <row r="471" customFormat="false" ht="15" hidden="false" customHeight="false" outlineLevel="0" collapsed="false">
      <c r="A471" s="7" t="s">
        <v>82</v>
      </c>
      <c r="B471" s="7" t="s">
        <v>83</v>
      </c>
      <c r="C471" s="7" t="s">
        <v>49</v>
      </c>
      <c r="D471" s="7" t="s">
        <v>100</v>
      </c>
      <c r="E471" s="7" t="s">
        <v>51</v>
      </c>
      <c r="F471" s="8" t="b">
        <f aca="false">FALSE()</f>
        <v>0</v>
      </c>
      <c r="G471" s="7" t="s">
        <v>61</v>
      </c>
      <c r="H471" s="7" t="s">
        <v>62</v>
      </c>
      <c r="I471" s="7" t="s">
        <v>54</v>
      </c>
      <c r="J471" s="9" t="n">
        <v>528.140185540388</v>
      </c>
      <c r="K471" s="9" t="n">
        <v>535.783424762487</v>
      </c>
      <c r="L471" s="10" t="n">
        <f aca="false">K471-J471</f>
        <v>7.64323922209894</v>
      </c>
      <c r="M471" s="10" t="n">
        <f aca="false">IF(I471="higher",L471,-L471)</f>
        <v>-7.64323922209894</v>
      </c>
    </row>
    <row r="472" customFormat="false" ht="15" hidden="false" customHeight="false" outlineLevel="0" collapsed="false">
      <c r="A472" s="7" t="s">
        <v>82</v>
      </c>
      <c r="B472" s="7" t="s">
        <v>83</v>
      </c>
      <c r="C472" s="7" t="s">
        <v>49</v>
      </c>
      <c r="D472" s="7" t="s">
        <v>100</v>
      </c>
      <c r="E472" s="7" t="s">
        <v>51</v>
      </c>
      <c r="F472" s="8" t="b">
        <f aca="false">FALSE()</f>
        <v>0</v>
      </c>
      <c r="G472" s="7" t="s">
        <v>63</v>
      </c>
      <c r="H472" s="7" t="s">
        <v>64</v>
      </c>
      <c r="I472" s="7" t="s">
        <v>54</v>
      </c>
      <c r="J472" s="9" t="n">
        <v>123.14967713756</v>
      </c>
      <c r="K472" s="9" t="n">
        <v>127.461027500168</v>
      </c>
      <c r="L472" s="10" t="n">
        <f aca="false">K472-J472</f>
        <v>4.3113503626079</v>
      </c>
      <c r="M472" s="10" t="n">
        <f aca="false">IF(I472="higher",L472,-L472)</f>
        <v>-4.3113503626079</v>
      </c>
    </row>
    <row r="473" customFormat="false" ht="15" hidden="false" customHeight="false" outlineLevel="0" collapsed="false">
      <c r="A473" s="7" t="s">
        <v>82</v>
      </c>
      <c r="B473" s="7" t="s">
        <v>83</v>
      </c>
      <c r="C473" s="7" t="s">
        <v>49</v>
      </c>
      <c r="D473" s="7" t="s">
        <v>100</v>
      </c>
      <c r="E473" s="7" t="s">
        <v>51</v>
      </c>
      <c r="F473" s="8" t="b">
        <f aca="false">FALSE()</f>
        <v>0</v>
      </c>
      <c r="G473" s="7" t="s">
        <v>65</v>
      </c>
      <c r="H473" s="7" t="s">
        <v>66</v>
      </c>
      <c r="I473" s="7" t="s">
        <v>54</v>
      </c>
      <c r="J473" s="9" t="n">
        <v>544.691268922021</v>
      </c>
      <c r="K473" s="9" t="n">
        <v>553.008660954953</v>
      </c>
      <c r="L473" s="10" t="n">
        <f aca="false">K473-J473</f>
        <v>8.31739203293182</v>
      </c>
      <c r="M473" s="10" t="n">
        <f aca="false">IF(I473="higher",L473,-L473)</f>
        <v>-8.31739203293182</v>
      </c>
    </row>
    <row r="474" customFormat="false" ht="15" hidden="false" customHeight="false" outlineLevel="0" collapsed="false">
      <c r="A474" s="7" t="s">
        <v>82</v>
      </c>
      <c r="B474" s="7" t="s">
        <v>83</v>
      </c>
      <c r="C474" s="7" t="s">
        <v>49</v>
      </c>
      <c r="D474" s="7" t="s">
        <v>100</v>
      </c>
      <c r="E474" s="7" t="s">
        <v>51</v>
      </c>
      <c r="F474" s="8" t="b">
        <f aca="false">FALSE()</f>
        <v>0</v>
      </c>
      <c r="G474" s="7" t="s">
        <v>67</v>
      </c>
      <c r="H474" s="7" t="s">
        <v>68</v>
      </c>
      <c r="I474" s="7" t="s">
        <v>54</v>
      </c>
      <c r="J474" s="9" t="n">
        <v>124.612333960435</v>
      </c>
      <c r="K474" s="9" t="n">
        <v>127.025627510674</v>
      </c>
      <c r="L474" s="10" t="n">
        <f aca="false">K474-J474</f>
        <v>2.413293550239</v>
      </c>
      <c r="M474" s="10" t="n">
        <f aca="false">IF(I474="higher",L474,-L474)</f>
        <v>-2.413293550239</v>
      </c>
    </row>
    <row r="475" customFormat="false" ht="15" hidden="false" customHeight="false" outlineLevel="0" collapsed="false">
      <c r="A475" s="7" t="s">
        <v>82</v>
      </c>
      <c r="B475" s="7" t="s">
        <v>83</v>
      </c>
      <c r="C475" s="7" t="s">
        <v>49</v>
      </c>
      <c r="D475" s="7" t="s">
        <v>100</v>
      </c>
      <c r="E475" s="7" t="s">
        <v>51</v>
      </c>
      <c r="F475" s="8" t="b">
        <f aca="false">FALSE()</f>
        <v>0</v>
      </c>
      <c r="G475" s="7" t="s">
        <v>69</v>
      </c>
      <c r="H475" s="7" t="s">
        <v>70</v>
      </c>
      <c r="I475" s="7" t="s">
        <v>71</v>
      </c>
      <c r="J475" s="9" t="n">
        <v>0</v>
      </c>
      <c r="K475" s="9" t="n">
        <v>0</v>
      </c>
      <c r="L475" s="10" t="n">
        <f aca="false">K475-J475</f>
        <v>0</v>
      </c>
      <c r="M475" s="10" t="n">
        <f aca="false">IF(I475="higher",L475,-L475)</f>
        <v>0</v>
      </c>
    </row>
    <row r="476" customFormat="false" ht="15" hidden="false" customHeight="false" outlineLevel="0" collapsed="false">
      <c r="A476" s="7" t="s">
        <v>82</v>
      </c>
      <c r="B476" s="7" t="s">
        <v>83</v>
      </c>
      <c r="C476" s="7" t="s">
        <v>49</v>
      </c>
      <c r="D476" s="7" t="s">
        <v>100</v>
      </c>
      <c r="E476" s="7" t="s">
        <v>51</v>
      </c>
      <c r="F476" s="8" t="b">
        <f aca="false">FALSE()</f>
        <v>0</v>
      </c>
      <c r="G476" s="7" t="s">
        <v>72</v>
      </c>
      <c r="H476" s="7" t="s">
        <v>73</v>
      </c>
      <c r="I476" s="7" t="s">
        <v>71</v>
      </c>
      <c r="J476" s="9" t="n">
        <v>0</v>
      </c>
      <c r="K476" s="9" t="n">
        <v>0</v>
      </c>
      <c r="L476" s="10" t="n">
        <f aca="false">K476-J476</f>
        <v>0</v>
      </c>
      <c r="M476" s="10" t="n">
        <f aca="false">IF(I476="higher",L476,-L476)</f>
        <v>0</v>
      </c>
    </row>
    <row r="477" customFormat="false" ht="15" hidden="false" customHeight="false" outlineLevel="0" collapsed="false">
      <c r="A477" s="7" t="s">
        <v>82</v>
      </c>
      <c r="B477" s="7" t="s">
        <v>83</v>
      </c>
      <c r="C477" s="7" t="s">
        <v>49</v>
      </c>
      <c r="D477" s="7" t="s">
        <v>100</v>
      </c>
      <c r="E477" s="7" t="s">
        <v>51</v>
      </c>
      <c r="F477" s="8" t="b">
        <f aca="false">FALSE()</f>
        <v>0</v>
      </c>
      <c r="G477" s="7" t="s">
        <v>74</v>
      </c>
      <c r="H477" s="7" t="s">
        <v>75</v>
      </c>
      <c r="I477" s="7" t="s">
        <v>54</v>
      </c>
      <c r="J477" s="9" t="n">
        <v>0</v>
      </c>
      <c r="K477" s="9" t="n">
        <v>0</v>
      </c>
      <c r="L477" s="10" t="n">
        <f aca="false">K477-J477</f>
        <v>0</v>
      </c>
      <c r="M477" s="10" t="n">
        <f aca="false">IF(I477="higher",L477,-L477)</f>
        <v>-0</v>
      </c>
    </row>
    <row r="478" customFormat="false" ht="15" hidden="false" customHeight="false" outlineLevel="0" collapsed="false">
      <c r="A478" s="7" t="s">
        <v>82</v>
      </c>
      <c r="B478" s="7" t="s">
        <v>83</v>
      </c>
      <c r="C478" s="7" t="s">
        <v>49</v>
      </c>
      <c r="D478" s="7" t="s">
        <v>100</v>
      </c>
      <c r="E478" s="7" t="s">
        <v>51</v>
      </c>
      <c r="F478" s="8" t="b">
        <f aca="false">FALSE()</f>
        <v>0</v>
      </c>
      <c r="G478" s="7" t="s">
        <v>76</v>
      </c>
      <c r="H478" s="7" t="s">
        <v>77</v>
      </c>
      <c r="I478" s="7" t="s">
        <v>54</v>
      </c>
      <c r="J478" s="9" t="n">
        <v>0</v>
      </c>
      <c r="K478" s="9" t="n">
        <v>0</v>
      </c>
      <c r="L478" s="10" t="n">
        <f aca="false">K478-J478</f>
        <v>0</v>
      </c>
      <c r="M478" s="10" t="n">
        <f aca="false">IF(I478="higher",L478,-L478)</f>
        <v>-0</v>
      </c>
    </row>
    <row r="479" customFormat="false" ht="15" hidden="false" customHeight="false" outlineLevel="0" collapsed="false">
      <c r="A479" s="7" t="s">
        <v>82</v>
      </c>
      <c r="B479" s="7" t="s">
        <v>83</v>
      </c>
      <c r="C479" s="7" t="s">
        <v>49</v>
      </c>
      <c r="D479" s="7" t="s">
        <v>100</v>
      </c>
      <c r="E479" s="7" t="s">
        <v>51</v>
      </c>
      <c r="F479" s="8" t="b">
        <f aca="false">FALSE()</f>
        <v>0</v>
      </c>
      <c r="G479" s="7" t="s">
        <v>78</v>
      </c>
      <c r="H479" s="7" t="s">
        <v>79</v>
      </c>
      <c r="I479" s="7" t="s">
        <v>54</v>
      </c>
      <c r="J479" s="9" t="n">
        <v>0</v>
      </c>
      <c r="K479" s="9" t="n">
        <v>0</v>
      </c>
      <c r="L479" s="10" t="n">
        <f aca="false">K479-J479</f>
        <v>0</v>
      </c>
      <c r="M479" s="10" t="n">
        <f aca="false">IF(I479="higher",L479,-L479)</f>
        <v>-0</v>
      </c>
    </row>
    <row r="480" customFormat="false" ht="15" hidden="false" customHeight="false" outlineLevel="0" collapsed="false">
      <c r="A480" s="7" t="s">
        <v>82</v>
      </c>
      <c r="B480" s="7" t="s">
        <v>83</v>
      </c>
      <c r="C480" s="7" t="s">
        <v>49</v>
      </c>
      <c r="D480" s="7" t="s">
        <v>100</v>
      </c>
      <c r="E480" s="7" t="s">
        <v>51</v>
      </c>
      <c r="F480" s="8" t="b">
        <f aca="false">FALSE()</f>
        <v>0</v>
      </c>
      <c r="G480" s="7" t="s">
        <v>80</v>
      </c>
      <c r="H480" s="7" t="s">
        <v>81</v>
      </c>
      <c r="I480" s="7" t="s">
        <v>54</v>
      </c>
      <c r="J480" s="9" t="n">
        <v>1</v>
      </c>
      <c r="K480" s="9" t="n">
        <v>1</v>
      </c>
      <c r="L480" s="10" t="n">
        <f aca="false">K480-J480</f>
        <v>0</v>
      </c>
      <c r="M480" s="10" t="n">
        <f aca="false">IF(I480="higher",L480,-L480)</f>
        <v>-0</v>
      </c>
    </row>
    <row r="481" customFormat="false" ht="15" hidden="false" customHeight="false" outlineLevel="0" collapsed="false">
      <c r="A481" s="7" t="s">
        <v>48</v>
      </c>
      <c r="B481" s="7" t="s">
        <v>10</v>
      </c>
      <c r="C481" s="7" t="s">
        <v>49</v>
      </c>
      <c r="D481" s="7" t="s">
        <v>101</v>
      </c>
      <c r="E481" s="7" t="s">
        <v>91</v>
      </c>
      <c r="F481" s="8" t="b">
        <f aca="false">TRUE()</f>
        <v>1</v>
      </c>
      <c r="G481" s="7" t="s">
        <v>52</v>
      </c>
      <c r="H481" s="7" t="s">
        <v>53</v>
      </c>
      <c r="I481" s="7" t="s">
        <v>54</v>
      </c>
      <c r="J481" s="9" t="n">
        <v>4.79846588361147</v>
      </c>
      <c r="K481" s="9" t="n">
        <v>5.52260180349751</v>
      </c>
      <c r="L481" s="10" t="n">
        <f aca="false">K481-J481</f>
        <v>0.724135919886041</v>
      </c>
      <c r="M481" s="10" t="n">
        <f aca="false">IF(I481="higher",L481,-L481)</f>
        <v>-0.724135919886041</v>
      </c>
    </row>
    <row r="482" customFormat="false" ht="15" hidden="false" customHeight="false" outlineLevel="0" collapsed="false">
      <c r="A482" s="7" t="s">
        <v>48</v>
      </c>
      <c r="B482" s="7" t="s">
        <v>10</v>
      </c>
      <c r="C482" s="7" t="s">
        <v>49</v>
      </c>
      <c r="D482" s="7" t="s">
        <v>101</v>
      </c>
      <c r="E482" s="7" t="s">
        <v>91</v>
      </c>
      <c r="F482" s="8" t="b">
        <f aca="false">TRUE()</f>
        <v>1</v>
      </c>
      <c r="G482" s="7" t="s">
        <v>55</v>
      </c>
      <c r="H482" s="7" t="s">
        <v>56</v>
      </c>
      <c r="I482" s="7" t="s">
        <v>54</v>
      </c>
      <c r="J482" s="9" t="n">
        <v>6.84161491189635</v>
      </c>
      <c r="K482" s="9" t="n">
        <v>7.28770907687805</v>
      </c>
      <c r="L482" s="10" t="n">
        <f aca="false">K482-J482</f>
        <v>0.446094164981709</v>
      </c>
      <c r="M482" s="10" t="n">
        <f aca="false">IF(I482="higher",L482,-L482)</f>
        <v>-0.446094164981709</v>
      </c>
    </row>
    <row r="483" customFormat="false" ht="15" hidden="false" customHeight="false" outlineLevel="0" collapsed="false">
      <c r="A483" s="7" t="s">
        <v>48</v>
      </c>
      <c r="B483" s="7" t="s">
        <v>10</v>
      </c>
      <c r="C483" s="7" t="s">
        <v>49</v>
      </c>
      <c r="D483" s="7" t="s">
        <v>101</v>
      </c>
      <c r="E483" s="7" t="s">
        <v>91</v>
      </c>
      <c r="F483" s="8" t="b">
        <f aca="false">TRUE()</f>
        <v>1</v>
      </c>
      <c r="G483" s="7" t="s">
        <v>57</v>
      </c>
      <c r="H483" s="7" t="s">
        <v>58</v>
      </c>
      <c r="I483" s="7" t="s">
        <v>54</v>
      </c>
      <c r="J483" s="9" t="n">
        <v>4.56046810919258</v>
      </c>
      <c r="K483" s="9" t="n">
        <v>5.13921159931191</v>
      </c>
      <c r="L483" s="10" t="n">
        <f aca="false">K483-J483</f>
        <v>0.578743490119336</v>
      </c>
      <c r="M483" s="10" t="n">
        <f aca="false">IF(I483="higher",L483,-L483)</f>
        <v>-0.578743490119336</v>
      </c>
    </row>
    <row r="484" customFormat="false" ht="15" hidden="false" customHeight="false" outlineLevel="0" collapsed="false">
      <c r="A484" s="7" t="s">
        <v>48</v>
      </c>
      <c r="B484" s="7" t="s">
        <v>10</v>
      </c>
      <c r="C484" s="7" t="s">
        <v>49</v>
      </c>
      <c r="D484" s="7" t="s">
        <v>101</v>
      </c>
      <c r="E484" s="7" t="s">
        <v>91</v>
      </c>
      <c r="F484" s="8" t="b">
        <f aca="false">TRUE()</f>
        <v>1</v>
      </c>
      <c r="G484" s="7" t="s">
        <v>59</v>
      </c>
      <c r="H484" s="7" t="s">
        <v>60</v>
      </c>
      <c r="I484" s="7" t="s">
        <v>54</v>
      </c>
      <c r="J484" s="9" t="n">
        <v>0.166733594484847</v>
      </c>
      <c r="K484" s="9" t="n">
        <v>0.176920787862728</v>
      </c>
      <c r="L484" s="10" t="n">
        <f aca="false">K484-J484</f>
        <v>0.0101871933778815</v>
      </c>
      <c r="M484" s="10" t="n">
        <f aca="false">IF(I484="higher",L484,-L484)</f>
        <v>-0.0101871933778815</v>
      </c>
    </row>
    <row r="485" customFormat="false" ht="15" hidden="false" customHeight="false" outlineLevel="0" collapsed="false">
      <c r="A485" s="7" t="s">
        <v>48</v>
      </c>
      <c r="B485" s="7" t="s">
        <v>10</v>
      </c>
      <c r="C485" s="7" t="s">
        <v>49</v>
      </c>
      <c r="D485" s="7" t="s">
        <v>101</v>
      </c>
      <c r="E485" s="7" t="s">
        <v>91</v>
      </c>
      <c r="F485" s="8" t="b">
        <f aca="false">TRUE()</f>
        <v>1</v>
      </c>
      <c r="G485" s="7" t="s">
        <v>61</v>
      </c>
      <c r="H485" s="7" t="s">
        <v>62</v>
      </c>
      <c r="I485" s="7" t="s">
        <v>54</v>
      </c>
      <c r="J485" s="9" t="n">
        <v>12.468614817136</v>
      </c>
      <c r="K485" s="9" t="n">
        <v>13.9234871601899</v>
      </c>
      <c r="L485" s="10" t="n">
        <f aca="false">K485-J485</f>
        <v>1.4548723430539</v>
      </c>
      <c r="M485" s="10" t="n">
        <f aca="false">IF(I485="higher",L485,-L485)</f>
        <v>-1.4548723430539</v>
      </c>
    </row>
    <row r="486" customFormat="false" ht="15" hidden="false" customHeight="false" outlineLevel="0" collapsed="false">
      <c r="A486" s="7" t="s">
        <v>48</v>
      </c>
      <c r="B486" s="7" t="s">
        <v>10</v>
      </c>
      <c r="C486" s="7" t="s">
        <v>49</v>
      </c>
      <c r="D486" s="7" t="s">
        <v>101</v>
      </c>
      <c r="E486" s="7" t="s">
        <v>91</v>
      </c>
      <c r="F486" s="8" t="b">
        <f aca="false">TRUE()</f>
        <v>1</v>
      </c>
      <c r="G486" s="7" t="s">
        <v>63</v>
      </c>
      <c r="H486" s="7" t="s">
        <v>64</v>
      </c>
      <c r="I486" s="7" t="s">
        <v>54</v>
      </c>
      <c r="J486" s="9" t="n">
        <v>17.0186005374987</v>
      </c>
      <c r="K486" s="9" t="n">
        <v>14.3767687458026</v>
      </c>
      <c r="L486" s="10" t="n">
        <f aca="false">K486-J486</f>
        <v>-2.64183179169607</v>
      </c>
      <c r="M486" s="10" t="n">
        <f aca="false">IF(I486="higher",L486,-L486)</f>
        <v>2.64183179169607</v>
      </c>
    </row>
    <row r="487" customFormat="false" ht="15" hidden="false" customHeight="false" outlineLevel="0" collapsed="false">
      <c r="A487" s="7" t="s">
        <v>48</v>
      </c>
      <c r="B487" s="7" t="s">
        <v>10</v>
      </c>
      <c r="C487" s="7" t="s">
        <v>49</v>
      </c>
      <c r="D487" s="7" t="s">
        <v>101</v>
      </c>
      <c r="E487" s="7" t="s">
        <v>91</v>
      </c>
      <c r="F487" s="8" t="b">
        <f aca="false">TRUE()</f>
        <v>1</v>
      </c>
      <c r="G487" s="7" t="s">
        <v>65</v>
      </c>
      <c r="H487" s="7" t="s">
        <v>66</v>
      </c>
      <c r="I487" s="7" t="s">
        <v>54</v>
      </c>
      <c r="J487" s="9" t="n">
        <v>11.8622078889902</v>
      </c>
      <c r="K487" s="9" t="n">
        <v>13.523941246696</v>
      </c>
      <c r="L487" s="10" t="n">
        <f aca="false">K487-J487</f>
        <v>1.66173335770577</v>
      </c>
      <c r="M487" s="10" t="n">
        <f aca="false">IF(I487="higher",L487,-L487)</f>
        <v>-1.66173335770577</v>
      </c>
    </row>
    <row r="488" customFormat="false" ht="15" hidden="false" customHeight="false" outlineLevel="0" collapsed="false">
      <c r="A488" s="7" t="s">
        <v>48</v>
      </c>
      <c r="B488" s="7" t="s">
        <v>10</v>
      </c>
      <c r="C488" s="7" t="s">
        <v>49</v>
      </c>
      <c r="D488" s="7" t="s">
        <v>101</v>
      </c>
      <c r="E488" s="7" t="s">
        <v>91</v>
      </c>
      <c r="F488" s="8" t="b">
        <f aca="false">TRUE()</f>
        <v>1</v>
      </c>
      <c r="G488" s="7" t="s">
        <v>67</v>
      </c>
      <c r="H488" s="7" t="s">
        <v>68</v>
      </c>
      <c r="I488" s="7" t="s">
        <v>54</v>
      </c>
      <c r="J488" s="9" t="n">
        <v>23.6685140106803</v>
      </c>
      <c r="K488" s="9" t="n">
        <v>22.9164476416668</v>
      </c>
      <c r="L488" s="10" t="n">
        <f aca="false">K488-J488</f>
        <v>-0.752066369013541</v>
      </c>
      <c r="M488" s="10" t="n">
        <f aca="false">IF(I488="higher",L488,-L488)</f>
        <v>0.752066369013541</v>
      </c>
    </row>
    <row r="489" customFormat="false" ht="15" hidden="false" customHeight="false" outlineLevel="0" collapsed="false">
      <c r="A489" s="7" t="s">
        <v>48</v>
      </c>
      <c r="B489" s="7" t="s">
        <v>10</v>
      </c>
      <c r="C489" s="7" t="s">
        <v>49</v>
      </c>
      <c r="D489" s="7" t="s">
        <v>101</v>
      </c>
      <c r="E489" s="7" t="s">
        <v>91</v>
      </c>
      <c r="F489" s="8" t="b">
        <f aca="false">TRUE()</f>
        <v>1</v>
      </c>
      <c r="G489" s="7" t="s">
        <v>69</v>
      </c>
      <c r="H489" s="7" t="s">
        <v>70</v>
      </c>
      <c r="I489" s="7" t="s">
        <v>71</v>
      </c>
      <c r="J489" s="9" t="n">
        <v>0.441860465116279</v>
      </c>
      <c r="K489" s="9" t="n">
        <v>0.488372093023256</v>
      </c>
      <c r="L489" s="10" t="n">
        <f aca="false">K489-J489</f>
        <v>0.0465116279069767</v>
      </c>
      <c r="M489" s="10" t="n">
        <f aca="false">IF(I489="higher",L489,-L489)</f>
        <v>0.0465116279069767</v>
      </c>
    </row>
    <row r="490" customFormat="false" ht="15" hidden="false" customHeight="false" outlineLevel="0" collapsed="false">
      <c r="A490" s="7" t="s">
        <v>48</v>
      </c>
      <c r="B490" s="7" t="s">
        <v>10</v>
      </c>
      <c r="C490" s="7" t="s">
        <v>49</v>
      </c>
      <c r="D490" s="7" t="s">
        <v>101</v>
      </c>
      <c r="E490" s="7" t="s">
        <v>91</v>
      </c>
      <c r="F490" s="8" t="b">
        <f aca="false">TRUE()</f>
        <v>1</v>
      </c>
      <c r="G490" s="7" t="s">
        <v>72</v>
      </c>
      <c r="H490" s="7" t="s">
        <v>73</v>
      </c>
      <c r="I490" s="7" t="s">
        <v>71</v>
      </c>
      <c r="J490" s="9" t="n">
        <v>0.534883720930232</v>
      </c>
      <c r="K490" s="9" t="n">
        <v>0.651162790697674</v>
      </c>
      <c r="L490" s="10" t="n">
        <f aca="false">K490-J490</f>
        <v>0.116279069767442</v>
      </c>
      <c r="M490" s="10" t="n">
        <f aca="false">IF(I490="higher",L490,-L490)</f>
        <v>0.116279069767442</v>
      </c>
    </row>
    <row r="491" customFormat="false" ht="15" hidden="false" customHeight="false" outlineLevel="0" collapsed="false">
      <c r="A491" s="7" t="s">
        <v>48</v>
      </c>
      <c r="B491" s="7" t="s">
        <v>10</v>
      </c>
      <c r="C491" s="7" t="s">
        <v>49</v>
      </c>
      <c r="D491" s="7" t="s">
        <v>101</v>
      </c>
      <c r="E491" s="7" t="s">
        <v>91</v>
      </c>
      <c r="F491" s="8" t="b">
        <f aca="false">TRUE()</f>
        <v>1</v>
      </c>
      <c r="G491" s="7" t="s">
        <v>74</v>
      </c>
      <c r="H491" s="7" t="s">
        <v>75</v>
      </c>
      <c r="I491" s="7" t="s">
        <v>54</v>
      </c>
      <c r="J491" s="9" t="n">
        <v>0.0526315789473684</v>
      </c>
      <c r="K491" s="9" t="n">
        <v>0.0526315789473684</v>
      </c>
      <c r="L491" s="10" t="n">
        <f aca="false">K491-J491</f>
        <v>0</v>
      </c>
      <c r="M491" s="10" t="n">
        <f aca="false">IF(I491="higher",L491,-L491)</f>
        <v>-0</v>
      </c>
    </row>
    <row r="492" customFormat="false" ht="15" hidden="false" customHeight="false" outlineLevel="0" collapsed="false">
      <c r="A492" s="7" t="s">
        <v>48</v>
      </c>
      <c r="B492" s="7" t="s">
        <v>10</v>
      </c>
      <c r="C492" s="7" t="s">
        <v>49</v>
      </c>
      <c r="D492" s="7" t="s">
        <v>101</v>
      </c>
      <c r="E492" s="7" t="s">
        <v>91</v>
      </c>
      <c r="F492" s="8" t="b">
        <f aca="false">TRUE()</f>
        <v>1</v>
      </c>
      <c r="G492" s="7" t="s">
        <v>76</v>
      </c>
      <c r="H492" s="7" t="s">
        <v>77</v>
      </c>
      <c r="I492" s="7" t="s">
        <v>54</v>
      </c>
      <c r="J492" s="9" t="n">
        <v>0.0769230769230769</v>
      </c>
      <c r="K492" s="9" t="n">
        <v>0.141025641025641</v>
      </c>
      <c r="L492" s="10" t="n">
        <f aca="false">K492-J492</f>
        <v>0.0641025641025641</v>
      </c>
      <c r="M492" s="10" t="n">
        <f aca="false">IF(I492="higher",L492,-L492)</f>
        <v>-0.0641025641025641</v>
      </c>
    </row>
    <row r="493" customFormat="false" ht="15" hidden="false" customHeight="false" outlineLevel="0" collapsed="false">
      <c r="A493" s="7" t="s">
        <v>48</v>
      </c>
      <c r="B493" s="7" t="s">
        <v>10</v>
      </c>
      <c r="C493" s="7" t="s">
        <v>49</v>
      </c>
      <c r="D493" s="7" t="s">
        <v>101</v>
      </c>
      <c r="E493" s="7" t="s">
        <v>91</v>
      </c>
      <c r="F493" s="8" t="b">
        <f aca="false">TRUE()</f>
        <v>1</v>
      </c>
      <c r="G493" s="7" t="s">
        <v>78</v>
      </c>
      <c r="H493" s="7" t="s">
        <v>79</v>
      </c>
      <c r="I493" s="7" t="s">
        <v>54</v>
      </c>
      <c r="J493" s="9" t="n">
        <v>0</v>
      </c>
      <c r="K493" s="9" t="n">
        <v>0</v>
      </c>
      <c r="L493" s="10" t="n">
        <f aca="false">K493-J493</f>
        <v>0</v>
      </c>
      <c r="M493" s="10" t="n">
        <f aca="false">IF(I493="higher",L493,-L493)</f>
        <v>-0</v>
      </c>
    </row>
    <row r="494" customFormat="false" ht="15" hidden="false" customHeight="false" outlineLevel="0" collapsed="false">
      <c r="A494" s="7" t="s">
        <v>48</v>
      </c>
      <c r="B494" s="7" t="s">
        <v>10</v>
      </c>
      <c r="C494" s="7" t="s">
        <v>49</v>
      </c>
      <c r="D494" s="7" t="s">
        <v>101</v>
      </c>
      <c r="E494" s="7" t="s">
        <v>91</v>
      </c>
      <c r="F494" s="8" t="b">
        <f aca="false">TRUE()</f>
        <v>1</v>
      </c>
      <c r="G494" s="7" t="s">
        <v>80</v>
      </c>
      <c r="H494" s="7" t="s">
        <v>81</v>
      </c>
      <c r="I494" s="7" t="s">
        <v>54</v>
      </c>
      <c r="J494" s="9" t="n">
        <v>0</v>
      </c>
      <c r="K494" s="9" t="n">
        <v>0</v>
      </c>
      <c r="L494" s="10" t="n">
        <f aca="false">K494-J494</f>
        <v>0</v>
      </c>
      <c r="M494" s="10" t="n">
        <f aca="false">IF(I494="higher",L494,-L494)</f>
        <v>-0</v>
      </c>
    </row>
    <row r="495" customFormat="false" ht="15" hidden="false" customHeight="false" outlineLevel="0" collapsed="false">
      <c r="A495" s="7" t="s">
        <v>82</v>
      </c>
      <c r="B495" s="7" t="s">
        <v>83</v>
      </c>
      <c r="C495" s="7" t="s">
        <v>49</v>
      </c>
      <c r="D495" s="7" t="s">
        <v>101</v>
      </c>
      <c r="E495" s="7" t="s">
        <v>91</v>
      </c>
      <c r="F495" s="8" t="b">
        <f aca="false">TRUE()</f>
        <v>1</v>
      </c>
      <c r="G495" s="7" t="s">
        <v>52</v>
      </c>
      <c r="H495" s="7" t="s">
        <v>53</v>
      </c>
      <c r="I495" s="7" t="s">
        <v>54</v>
      </c>
      <c r="J495" s="9" t="n">
        <v>4.81904880351113</v>
      </c>
      <c r="K495" s="9" t="n">
        <v>5.52260180349751</v>
      </c>
      <c r="L495" s="10" t="n">
        <f aca="false">K495-J495</f>
        <v>0.703552999986379</v>
      </c>
      <c r="M495" s="10" t="n">
        <f aca="false">IF(I495="higher",L495,-L495)</f>
        <v>-0.703552999986379</v>
      </c>
    </row>
    <row r="496" customFormat="false" ht="15" hidden="false" customHeight="false" outlineLevel="0" collapsed="false">
      <c r="A496" s="7" t="s">
        <v>82</v>
      </c>
      <c r="B496" s="7" t="s">
        <v>83</v>
      </c>
      <c r="C496" s="7" t="s">
        <v>49</v>
      </c>
      <c r="D496" s="7" t="s">
        <v>101</v>
      </c>
      <c r="E496" s="7" t="s">
        <v>91</v>
      </c>
      <c r="F496" s="8" t="b">
        <f aca="false">TRUE()</f>
        <v>1</v>
      </c>
      <c r="G496" s="7" t="s">
        <v>55</v>
      </c>
      <c r="H496" s="7" t="s">
        <v>56</v>
      </c>
      <c r="I496" s="7" t="s">
        <v>54</v>
      </c>
      <c r="J496" s="9" t="n">
        <v>7.56125382566066</v>
      </c>
      <c r="K496" s="9" t="n">
        <v>7.28770907687805</v>
      </c>
      <c r="L496" s="10" t="n">
        <f aca="false">K496-J496</f>
        <v>-0.273544748782601</v>
      </c>
      <c r="M496" s="10" t="n">
        <f aca="false">IF(I496="higher",L496,-L496)</f>
        <v>0.273544748782601</v>
      </c>
    </row>
    <row r="497" customFormat="false" ht="15" hidden="false" customHeight="false" outlineLevel="0" collapsed="false">
      <c r="A497" s="7" t="s">
        <v>82</v>
      </c>
      <c r="B497" s="7" t="s">
        <v>83</v>
      </c>
      <c r="C497" s="7" t="s">
        <v>49</v>
      </c>
      <c r="D497" s="7" t="s">
        <v>101</v>
      </c>
      <c r="E497" s="7" t="s">
        <v>91</v>
      </c>
      <c r="F497" s="8" t="b">
        <f aca="false">TRUE()</f>
        <v>1</v>
      </c>
      <c r="G497" s="7" t="s">
        <v>57</v>
      </c>
      <c r="H497" s="7" t="s">
        <v>58</v>
      </c>
      <c r="I497" s="7" t="s">
        <v>54</v>
      </c>
      <c r="J497" s="9" t="n">
        <v>5.87664197593269</v>
      </c>
      <c r="K497" s="9" t="n">
        <v>5.13921159931191</v>
      </c>
      <c r="L497" s="10" t="n">
        <f aca="false">K497-J497</f>
        <v>-0.737430376620774</v>
      </c>
      <c r="M497" s="10" t="n">
        <f aca="false">IF(I497="higher",L497,-L497)</f>
        <v>0.737430376620774</v>
      </c>
    </row>
    <row r="498" customFormat="false" ht="15" hidden="false" customHeight="false" outlineLevel="0" collapsed="false">
      <c r="A498" s="7" t="s">
        <v>82</v>
      </c>
      <c r="B498" s="7" t="s">
        <v>83</v>
      </c>
      <c r="C498" s="7" t="s">
        <v>49</v>
      </c>
      <c r="D498" s="7" t="s">
        <v>101</v>
      </c>
      <c r="E498" s="7" t="s">
        <v>91</v>
      </c>
      <c r="F498" s="8" t="b">
        <f aca="false">TRUE()</f>
        <v>1</v>
      </c>
      <c r="G498" s="7" t="s">
        <v>59</v>
      </c>
      <c r="H498" s="7" t="s">
        <v>60</v>
      </c>
      <c r="I498" s="7" t="s">
        <v>54</v>
      </c>
      <c r="J498" s="9" t="n">
        <v>0.151846522393922</v>
      </c>
      <c r="K498" s="9" t="n">
        <v>0.176920787862728</v>
      </c>
      <c r="L498" s="10" t="n">
        <f aca="false">K498-J498</f>
        <v>0.0250742654688067</v>
      </c>
      <c r="M498" s="10" t="n">
        <f aca="false">IF(I498="higher",L498,-L498)</f>
        <v>-0.0250742654688067</v>
      </c>
    </row>
    <row r="499" customFormat="false" ht="15" hidden="false" customHeight="false" outlineLevel="0" collapsed="false">
      <c r="A499" s="7" t="s">
        <v>82</v>
      </c>
      <c r="B499" s="7" t="s">
        <v>83</v>
      </c>
      <c r="C499" s="7" t="s">
        <v>49</v>
      </c>
      <c r="D499" s="7" t="s">
        <v>101</v>
      </c>
      <c r="E499" s="7" t="s">
        <v>91</v>
      </c>
      <c r="F499" s="8" t="b">
        <f aca="false">TRUE()</f>
        <v>1</v>
      </c>
      <c r="G499" s="7" t="s">
        <v>61</v>
      </c>
      <c r="H499" s="7" t="s">
        <v>62</v>
      </c>
      <c r="I499" s="7" t="s">
        <v>54</v>
      </c>
      <c r="J499" s="9" t="n">
        <v>15.3318282194247</v>
      </c>
      <c r="K499" s="9" t="n">
        <v>13.9234871601899</v>
      </c>
      <c r="L499" s="10" t="n">
        <f aca="false">K499-J499</f>
        <v>-1.40834105923478</v>
      </c>
      <c r="M499" s="10" t="n">
        <f aca="false">IF(I499="higher",L499,-L499)</f>
        <v>1.40834105923478</v>
      </c>
    </row>
    <row r="500" customFormat="false" ht="15" hidden="false" customHeight="false" outlineLevel="0" collapsed="false">
      <c r="A500" s="7" t="s">
        <v>82</v>
      </c>
      <c r="B500" s="7" t="s">
        <v>83</v>
      </c>
      <c r="C500" s="7" t="s">
        <v>49</v>
      </c>
      <c r="D500" s="7" t="s">
        <v>101</v>
      </c>
      <c r="E500" s="7" t="s">
        <v>91</v>
      </c>
      <c r="F500" s="8" t="b">
        <f aca="false">TRUE()</f>
        <v>1</v>
      </c>
      <c r="G500" s="7" t="s">
        <v>63</v>
      </c>
      <c r="H500" s="7" t="s">
        <v>64</v>
      </c>
      <c r="I500" s="7" t="s">
        <v>54</v>
      </c>
      <c r="J500" s="9" t="n">
        <v>15.1164560524525</v>
      </c>
      <c r="K500" s="9" t="n">
        <v>14.3767687458026</v>
      </c>
      <c r="L500" s="10" t="n">
        <f aca="false">K500-J500</f>
        <v>-0.739687306649861</v>
      </c>
      <c r="M500" s="10" t="n">
        <f aca="false">IF(I500="higher",L500,-L500)</f>
        <v>0.739687306649861</v>
      </c>
    </row>
    <row r="501" customFormat="false" ht="15" hidden="false" customHeight="false" outlineLevel="0" collapsed="false">
      <c r="A501" s="7" t="s">
        <v>82</v>
      </c>
      <c r="B501" s="7" t="s">
        <v>83</v>
      </c>
      <c r="C501" s="7" t="s">
        <v>49</v>
      </c>
      <c r="D501" s="7" t="s">
        <v>101</v>
      </c>
      <c r="E501" s="7" t="s">
        <v>91</v>
      </c>
      <c r="F501" s="8" t="b">
        <f aca="false">TRUE()</f>
        <v>1</v>
      </c>
      <c r="G501" s="7" t="s">
        <v>65</v>
      </c>
      <c r="H501" s="7" t="s">
        <v>66</v>
      </c>
      <c r="I501" s="7" t="s">
        <v>54</v>
      </c>
      <c r="J501" s="9" t="n">
        <v>13.7486476689841</v>
      </c>
      <c r="K501" s="9" t="n">
        <v>13.523941246696</v>
      </c>
      <c r="L501" s="10" t="n">
        <f aca="false">K501-J501</f>
        <v>-0.22470642228814</v>
      </c>
      <c r="M501" s="10" t="n">
        <f aca="false">IF(I501="higher",L501,-L501)</f>
        <v>0.22470642228814</v>
      </c>
    </row>
    <row r="502" customFormat="false" ht="15" hidden="false" customHeight="false" outlineLevel="0" collapsed="false">
      <c r="A502" s="7" t="s">
        <v>82</v>
      </c>
      <c r="B502" s="7" t="s">
        <v>83</v>
      </c>
      <c r="C502" s="7" t="s">
        <v>49</v>
      </c>
      <c r="D502" s="7" t="s">
        <v>101</v>
      </c>
      <c r="E502" s="7" t="s">
        <v>91</v>
      </c>
      <c r="F502" s="8" t="b">
        <f aca="false">TRUE()</f>
        <v>1</v>
      </c>
      <c r="G502" s="7" t="s">
        <v>67</v>
      </c>
      <c r="H502" s="7" t="s">
        <v>68</v>
      </c>
      <c r="I502" s="7" t="s">
        <v>54</v>
      </c>
      <c r="J502" s="9" t="n">
        <v>23.58043464976</v>
      </c>
      <c r="K502" s="9" t="n">
        <v>22.9164476416668</v>
      </c>
      <c r="L502" s="10" t="n">
        <f aca="false">K502-J502</f>
        <v>-0.663987008093212</v>
      </c>
      <c r="M502" s="10" t="n">
        <f aca="false">IF(I502="higher",L502,-L502)</f>
        <v>0.663987008093212</v>
      </c>
    </row>
    <row r="503" customFormat="false" ht="15" hidden="false" customHeight="false" outlineLevel="0" collapsed="false">
      <c r="A503" s="7" t="s">
        <v>82</v>
      </c>
      <c r="B503" s="7" t="s">
        <v>83</v>
      </c>
      <c r="C503" s="7" t="s">
        <v>49</v>
      </c>
      <c r="D503" s="7" t="s">
        <v>101</v>
      </c>
      <c r="E503" s="7" t="s">
        <v>91</v>
      </c>
      <c r="F503" s="8" t="b">
        <f aca="false">TRUE()</f>
        <v>1</v>
      </c>
      <c r="G503" s="7" t="s">
        <v>69</v>
      </c>
      <c r="H503" s="7" t="s">
        <v>70</v>
      </c>
      <c r="I503" s="7" t="s">
        <v>71</v>
      </c>
      <c r="J503" s="9" t="n">
        <v>0.534883720930232</v>
      </c>
      <c r="K503" s="9" t="n">
        <v>0.488372093023256</v>
      </c>
      <c r="L503" s="10" t="n">
        <f aca="false">K503-J503</f>
        <v>-0.0465116279069767</v>
      </c>
      <c r="M503" s="10" t="n">
        <f aca="false">IF(I503="higher",L503,-L503)</f>
        <v>-0.0465116279069767</v>
      </c>
    </row>
    <row r="504" customFormat="false" ht="15" hidden="false" customHeight="false" outlineLevel="0" collapsed="false">
      <c r="A504" s="7" t="s">
        <v>82</v>
      </c>
      <c r="B504" s="7" t="s">
        <v>83</v>
      </c>
      <c r="C504" s="7" t="s">
        <v>49</v>
      </c>
      <c r="D504" s="7" t="s">
        <v>101</v>
      </c>
      <c r="E504" s="7" t="s">
        <v>91</v>
      </c>
      <c r="F504" s="8" t="b">
        <f aca="false">TRUE()</f>
        <v>1</v>
      </c>
      <c r="G504" s="7" t="s">
        <v>72</v>
      </c>
      <c r="H504" s="7" t="s">
        <v>73</v>
      </c>
      <c r="I504" s="7" t="s">
        <v>71</v>
      </c>
      <c r="J504" s="9" t="n">
        <v>0.790697674418605</v>
      </c>
      <c r="K504" s="9" t="n">
        <v>0.651162790697674</v>
      </c>
      <c r="L504" s="10" t="n">
        <f aca="false">K504-J504</f>
        <v>-0.13953488372093</v>
      </c>
      <c r="M504" s="10" t="n">
        <f aca="false">IF(I504="higher",L504,-L504)</f>
        <v>-0.13953488372093</v>
      </c>
    </row>
    <row r="505" customFormat="false" ht="15" hidden="false" customHeight="false" outlineLevel="0" collapsed="false">
      <c r="A505" s="7" t="s">
        <v>82</v>
      </c>
      <c r="B505" s="7" t="s">
        <v>83</v>
      </c>
      <c r="C505" s="7" t="s">
        <v>49</v>
      </c>
      <c r="D505" s="7" t="s">
        <v>101</v>
      </c>
      <c r="E505" s="7" t="s">
        <v>91</v>
      </c>
      <c r="F505" s="8" t="b">
        <f aca="false">TRUE()</f>
        <v>1</v>
      </c>
      <c r="G505" s="7" t="s">
        <v>74</v>
      </c>
      <c r="H505" s="7" t="s">
        <v>75</v>
      </c>
      <c r="I505" s="7" t="s">
        <v>54</v>
      </c>
      <c r="J505" s="9" t="n">
        <v>0.0526315789473684</v>
      </c>
      <c r="K505" s="9" t="n">
        <v>0.0526315789473684</v>
      </c>
      <c r="L505" s="10" t="n">
        <f aca="false">K505-J505</f>
        <v>0</v>
      </c>
      <c r="M505" s="10" t="n">
        <f aca="false">IF(I505="higher",L505,-L505)</f>
        <v>-0</v>
      </c>
    </row>
    <row r="506" customFormat="false" ht="15" hidden="false" customHeight="false" outlineLevel="0" collapsed="false">
      <c r="A506" s="7" t="s">
        <v>82</v>
      </c>
      <c r="B506" s="7" t="s">
        <v>83</v>
      </c>
      <c r="C506" s="7" t="s">
        <v>49</v>
      </c>
      <c r="D506" s="7" t="s">
        <v>101</v>
      </c>
      <c r="E506" s="7" t="s">
        <v>91</v>
      </c>
      <c r="F506" s="8" t="b">
        <f aca="false">TRUE()</f>
        <v>1</v>
      </c>
      <c r="G506" s="7" t="s">
        <v>76</v>
      </c>
      <c r="H506" s="7" t="s">
        <v>77</v>
      </c>
      <c r="I506" s="7" t="s">
        <v>54</v>
      </c>
      <c r="J506" s="9" t="n">
        <v>0.141025641025641</v>
      </c>
      <c r="K506" s="9" t="n">
        <v>0.141025641025641</v>
      </c>
      <c r="L506" s="10" t="n">
        <f aca="false">K506-J506</f>
        <v>0</v>
      </c>
      <c r="M506" s="10" t="n">
        <f aca="false">IF(I506="higher",L506,-L506)</f>
        <v>-0</v>
      </c>
    </row>
    <row r="507" customFormat="false" ht="15" hidden="false" customHeight="false" outlineLevel="0" collapsed="false">
      <c r="A507" s="7" t="s">
        <v>82</v>
      </c>
      <c r="B507" s="7" t="s">
        <v>83</v>
      </c>
      <c r="C507" s="7" t="s">
        <v>49</v>
      </c>
      <c r="D507" s="7" t="s">
        <v>101</v>
      </c>
      <c r="E507" s="7" t="s">
        <v>91</v>
      </c>
      <c r="F507" s="8" t="b">
        <f aca="false">TRUE()</f>
        <v>1</v>
      </c>
      <c r="G507" s="7" t="s">
        <v>78</v>
      </c>
      <c r="H507" s="7" t="s">
        <v>79</v>
      </c>
      <c r="I507" s="7" t="s">
        <v>54</v>
      </c>
      <c r="J507" s="9" t="n">
        <v>0</v>
      </c>
      <c r="K507" s="9" t="n">
        <v>0</v>
      </c>
      <c r="L507" s="10" t="n">
        <f aca="false">K507-J507</f>
        <v>0</v>
      </c>
      <c r="M507" s="10" t="n">
        <f aca="false">IF(I507="higher",L507,-L507)</f>
        <v>-0</v>
      </c>
    </row>
    <row r="508" customFormat="false" ht="15" hidden="false" customHeight="false" outlineLevel="0" collapsed="false">
      <c r="A508" s="7" t="s">
        <v>82</v>
      </c>
      <c r="B508" s="7" t="s">
        <v>83</v>
      </c>
      <c r="C508" s="7" t="s">
        <v>49</v>
      </c>
      <c r="D508" s="7" t="s">
        <v>101</v>
      </c>
      <c r="E508" s="7" t="s">
        <v>91</v>
      </c>
      <c r="F508" s="8" t="b">
        <f aca="false">TRUE()</f>
        <v>1</v>
      </c>
      <c r="G508" s="7" t="s">
        <v>80</v>
      </c>
      <c r="H508" s="7" t="s">
        <v>81</v>
      </c>
      <c r="I508" s="7" t="s">
        <v>54</v>
      </c>
      <c r="J508" s="9" t="n">
        <v>0</v>
      </c>
      <c r="K508" s="9" t="n">
        <v>0</v>
      </c>
      <c r="L508" s="10" t="n">
        <f aca="false">K508-J508</f>
        <v>0</v>
      </c>
      <c r="M508" s="10" t="n">
        <f aca="false">IF(I508="higher",L508,-L508)</f>
        <v>-0</v>
      </c>
    </row>
    <row r="509" customFormat="false" ht="15" hidden="false" customHeight="false" outlineLevel="0" collapsed="false">
      <c r="A509" s="7" t="s">
        <v>48</v>
      </c>
      <c r="B509" s="7" t="s">
        <v>10</v>
      </c>
      <c r="C509" s="7" t="s">
        <v>49</v>
      </c>
      <c r="D509" s="7" t="s">
        <v>102</v>
      </c>
      <c r="E509" s="7" t="s">
        <v>91</v>
      </c>
      <c r="F509" s="8" t="b">
        <f aca="false">TRUE()</f>
        <v>1</v>
      </c>
      <c r="G509" s="7" t="s">
        <v>52</v>
      </c>
      <c r="H509" s="7" t="s">
        <v>53</v>
      </c>
      <c r="I509" s="7" t="s">
        <v>54</v>
      </c>
      <c r="J509" s="9" t="n">
        <v>6.10522923060653</v>
      </c>
      <c r="K509" s="9" t="n">
        <v>5.45163722480339</v>
      </c>
      <c r="L509" s="10" t="n">
        <f aca="false">K509-J509</f>
        <v>-0.653592005803147</v>
      </c>
      <c r="M509" s="10" t="n">
        <f aca="false">IF(I509="higher",L509,-L509)</f>
        <v>0.653592005803147</v>
      </c>
    </row>
    <row r="510" customFormat="false" ht="15" hidden="false" customHeight="false" outlineLevel="0" collapsed="false">
      <c r="A510" s="7" t="s">
        <v>48</v>
      </c>
      <c r="B510" s="7" t="s">
        <v>10</v>
      </c>
      <c r="C510" s="7" t="s">
        <v>49</v>
      </c>
      <c r="D510" s="7" t="s">
        <v>102</v>
      </c>
      <c r="E510" s="7" t="s">
        <v>91</v>
      </c>
      <c r="F510" s="8" t="b">
        <f aca="false">TRUE()</f>
        <v>1</v>
      </c>
      <c r="G510" s="7" t="s">
        <v>55</v>
      </c>
      <c r="H510" s="7" t="s">
        <v>56</v>
      </c>
      <c r="I510" s="7" t="s">
        <v>54</v>
      </c>
      <c r="J510" s="9" t="n">
        <v>13.387607770304</v>
      </c>
      <c r="K510" s="9" t="n">
        <v>10.9475726421038</v>
      </c>
      <c r="L510" s="10" t="n">
        <f aca="false">K510-J510</f>
        <v>-2.44003512820021</v>
      </c>
      <c r="M510" s="10" t="n">
        <f aca="false">IF(I510="higher",L510,-L510)</f>
        <v>2.44003512820021</v>
      </c>
    </row>
    <row r="511" customFormat="false" ht="15" hidden="false" customHeight="false" outlineLevel="0" collapsed="false">
      <c r="A511" s="7" t="s">
        <v>48</v>
      </c>
      <c r="B511" s="7" t="s">
        <v>10</v>
      </c>
      <c r="C511" s="7" t="s">
        <v>49</v>
      </c>
      <c r="D511" s="7" t="s">
        <v>102</v>
      </c>
      <c r="E511" s="7" t="s">
        <v>91</v>
      </c>
      <c r="F511" s="8" t="b">
        <f aca="false">TRUE()</f>
        <v>1</v>
      </c>
      <c r="G511" s="7" t="s">
        <v>57</v>
      </c>
      <c r="H511" s="7" t="s">
        <v>58</v>
      </c>
      <c r="I511" s="7" t="s">
        <v>54</v>
      </c>
      <c r="J511" s="9" t="n">
        <v>6.01294496429663</v>
      </c>
      <c r="K511" s="9" t="n">
        <v>4.81263365850267</v>
      </c>
      <c r="L511" s="10" t="n">
        <f aca="false">K511-J511</f>
        <v>-1.20031130579395</v>
      </c>
      <c r="M511" s="10" t="n">
        <f aca="false">IF(I511="higher",L511,-L511)</f>
        <v>1.20031130579395</v>
      </c>
    </row>
    <row r="512" customFormat="false" ht="15" hidden="false" customHeight="false" outlineLevel="0" collapsed="false">
      <c r="A512" s="7" t="s">
        <v>48</v>
      </c>
      <c r="B512" s="7" t="s">
        <v>10</v>
      </c>
      <c r="C512" s="7" t="s">
        <v>49</v>
      </c>
      <c r="D512" s="7" t="s">
        <v>102</v>
      </c>
      <c r="E512" s="7" t="s">
        <v>91</v>
      </c>
      <c r="F512" s="8" t="b">
        <f aca="false">TRUE()</f>
        <v>1</v>
      </c>
      <c r="G512" s="7" t="s">
        <v>59</v>
      </c>
      <c r="H512" s="7" t="s">
        <v>60</v>
      </c>
      <c r="I512" s="7" t="s">
        <v>54</v>
      </c>
      <c r="J512" s="9" t="n">
        <v>0.176965800560233</v>
      </c>
      <c r="K512" s="9" t="n">
        <v>0.133893022924033</v>
      </c>
      <c r="L512" s="10" t="n">
        <f aca="false">K512-J512</f>
        <v>-0.0430727776361994</v>
      </c>
      <c r="M512" s="10" t="n">
        <f aca="false">IF(I512="higher",L512,-L512)</f>
        <v>0.0430727776361994</v>
      </c>
    </row>
    <row r="513" customFormat="false" ht="15" hidden="false" customHeight="false" outlineLevel="0" collapsed="false">
      <c r="A513" s="7" t="s">
        <v>48</v>
      </c>
      <c r="B513" s="7" t="s">
        <v>10</v>
      </c>
      <c r="C513" s="7" t="s">
        <v>49</v>
      </c>
      <c r="D513" s="7" t="s">
        <v>102</v>
      </c>
      <c r="E513" s="7" t="s">
        <v>91</v>
      </c>
      <c r="F513" s="8" t="b">
        <f aca="false">TRUE()</f>
        <v>1</v>
      </c>
      <c r="G513" s="7" t="s">
        <v>61</v>
      </c>
      <c r="H513" s="7" t="s">
        <v>62</v>
      </c>
      <c r="I513" s="7" t="s">
        <v>54</v>
      </c>
      <c r="J513" s="9" t="n">
        <v>24.0628305664237</v>
      </c>
      <c r="K513" s="9" t="n">
        <v>19.675919713384</v>
      </c>
      <c r="L513" s="10" t="n">
        <f aca="false">K513-J513</f>
        <v>-4.38691085303967</v>
      </c>
      <c r="M513" s="10" t="n">
        <f aca="false">IF(I513="higher",L513,-L513)</f>
        <v>4.38691085303967</v>
      </c>
    </row>
    <row r="514" customFormat="false" ht="15" hidden="false" customHeight="false" outlineLevel="0" collapsed="false">
      <c r="A514" s="7" t="s">
        <v>48</v>
      </c>
      <c r="B514" s="7" t="s">
        <v>10</v>
      </c>
      <c r="C514" s="7" t="s">
        <v>49</v>
      </c>
      <c r="D514" s="7" t="s">
        <v>102</v>
      </c>
      <c r="E514" s="7" t="s">
        <v>91</v>
      </c>
      <c r="F514" s="8" t="b">
        <f aca="false">TRUE()</f>
        <v>1</v>
      </c>
      <c r="G514" s="7" t="s">
        <v>63</v>
      </c>
      <c r="H514" s="7" t="s">
        <v>64</v>
      </c>
      <c r="I514" s="7" t="s">
        <v>54</v>
      </c>
      <c r="J514" s="9" t="n">
        <v>19.9391469828545</v>
      </c>
      <c r="K514" s="9" t="n">
        <v>12.1741299187843</v>
      </c>
      <c r="L514" s="10" t="n">
        <f aca="false">K514-J514</f>
        <v>-7.76501706407017</v>
      </c>
      <c r="M514" s="10" t="n">
        <f aca="false">IF(I514="higher",L514,-L514)</f>
        <v>7.76501706407017</v>
      </c>
    </row>
    <row r="515" customFormat="false" ht="15" hidden="false" customHeight="false" outlineLevel="0" collapsed="false">
      <c r="A515" s="7" t="s">
        <v>48</v>
      </c>
      <c r="B515" s="7" t="s">
        <v>10</v>
      </c>
      <c r="C515" s="7" t="s">
        <v>49</v>
      </c>
      <c r="D515" s="7" t="s">
        <v>102</v>
      </c>
      <c r="E515" s="7" t="s">
        <v>91</v>
      </c>
      <c r="F515" s="8" t="b">
        <f aca="false">TRUE()</f>
        <v>1</v>
      </c>
      <c r="G515" s="7" t="s">
        <v>65</v>
      </c>
      <c r="H515" s="7" t="s">
        <v>66</v>
      </c>
      <c r="I515" s="7" t="s">
        <v>54</v>
      </c>
      <c r="J515" s="9" t="n">
        <v>21.3833533678187</v>
      </c>
      <c r="K515" s="9" t="n">
        <v>16.0844234385141</v>
      </c>
      <c r="L515" s="10" t="n">
        <f aca="false">K515-J515</f>
        <v>-5.29892992930467</v>
      </c>
      <c r="M515" s="10" t="n">
        <f aca="false">IF(I515="higher",L515,-L515)</f>
        <v>5.29892992930467</v>
      </c>
    </row>
    <row r="516" customFormat="false" ht="15" hidden="false" customHeight="false" outlineLevel="0" collapsed="false">
      <c r="A516" s="7" t="s">
        <v>48</v>
      </c>
      <c r="B516" s="7" t="s">
        <v>10</v>
      </c>
      <c r="C516" s="7" t="s">
        <v>49</v>
      </c>
      <c r="D516" s="7" t="s">
        <v>102</v>
      </c>
      <c r="E516" s="7" t="s">
        <v>91</v>
      </c>
      <c r="F516" s="8" t="b">
        <f aca="false">TRUE()</f>
        <v>1</v>
      </c>
      <c r="G516" s="7" t="s">
        <v>67</v>
      </c>
      <c r="H516" s="7" t="s">
        <v>68</v>
      </c>
      <c r="I516" s="7" t="s">
        <v>54</v>
      </c>
      <c r="J516" s="9" t="n">
        <v>26.536885060453</v>
      </c>
      <c r="K516" s="9" t="n">
        <v>21.3959087095803</v>
      </c>
      <c r="L516" s="10" t="n">
        <f aca="false">K516-J516</f>
        <v>-5.1409763508727</v>
      </c>
      <c r="M516" s="10" t="n">
        <f aca="false">IF(I516="higher",L516,-L516)</f>
        <v>5.1409763508727</v>
      </c>
    </row>
    <row r="517" customFormat="false" ht="15" hidden="false" customHeight="false" outlineLevel="0" collapsed="false">
      <c r="A517" s="7" t="s">
        <v>48</v>
      </c>
      <c r="B517" s="7" t="s">
        <v>10</v>
      </c>
      <c r="C517" s="7" t="s">
        <v>49</v>
      </c>
      <c r="D517" s="7" t="s">
        <v>102</v>
      </c>
      <c r="E517" s="7" t="s">
        <v>91</v>
      </c>
      <c r="F517" s="8" t="b">
        <f aca="false">TRUE()</f>
        <v>1</v>
      </c>
      <c r="G517" s="7" t="s">
        <v>69</v>
      </c>
      <c r="H517" s="7" t="s">
        <v>70</v>
      </c>
      <c r="I517" s="7" t="s">
        <v>71</v>
      </c>
      <c r="J517" s="9" t="n">
        <v>0.418181818181818</v>
      </c>
      <c r="K517" s="9" t="n">
        <v>0.690909090909091</v>
      </c>
      <c r="L517" s="10" t="n">
        <f aca="false">K517-J517</f>
        <v>0.272727272727273</v>
      </c>
      <c r="M517" s="10" t="n">
        <f aca="false">IF(I517="higher",L517,-L517)</f>
        <v>0.272727272727273</v>
      </c>
    </row>
    <row r="518" customFormat="false" ht="15" hidden="false" customHeight="false" outlineLevel="0" collapsed="false">
      <c r="A518" s="7" t="s">
        <v>48</v>
      </c>
      <c r="B518" s="7" t="s">
        <v>10</v>
      </c>
      <c r="C518" s="7" t="s">
        <v>49</v>
      </c>
      <c r="D518" s="7" t="s">
        <v>102</v>
      </c>
      <c r="E518" s="7" t="s">
        <v>91</v>
      </c>
      <c r="F518" s="8" t="b">
        <f aca="false">TRUE()</f>
        <v>1</v>
      </c>
      <c r="G518" s="7" t="s">
        <v>72</v>
      </c>
      <c r="H518" s="7" t="s">
        <v>73</v>
      </c>
      <c r="I518" s="7" t="s">
        <v>71</v>
      </c>
      <c r="J518" s="9" t="n">
        <v>0.763636363636364</v>
      </c>
      <c r="K518" s="9" t="n">
        <v>0.872727272727273</v>
      </c>
      <c r="L518" s="10" t="n">
        <f aca="false">K518-J518</f>
        <v>0.109090909090909</v>
      </c>
      <c r="M518" s="10" t="n">
        <f aca="false">IF(I518="higher",L518,-L518)</f>
        <v>0.109090909090909</v>
      </c>
    </row>
    <row r="519" customFormat="false" ht="15" hidden="false" customHeight="false" outlineLevel="0" collapsed="false">
      <c r="A519" s="7" t="s">
        <v>48</v>
      </c>
      <c r="B519" s="7" t="s">
        <v>10</v>
      </c>
      <c r="C519" s="7" t="s">
        <v>49</v>
      </c>
      <c r="D519" s="7" t="s">
        <v>102</v>
      </c>
      <c r="E519" s="7" t="s">
        <v>91</v>
      </c>
      <c r="F519" s="8" t="b">
        <f aca="false">TRUE()</f>
        <v>1</v>
      </c>
      <c r="G519" s="7" t="s">
        <v>74</v>
      </c>
      <c r="H519" s="7" t="s">
        <v>75</v>
      </c>
      <c r="I519" s="7" t="s">
        <v>54</v>
      </c>
      <c r="J519" s="9" t="n">
        <v>0.03125</v>
      </c>
      <c r="K519" s="9" t="n">
        <v>0.03125</v>
      </c>
      <c r="L519" s="10" t="n">
        <f aca="false">K519-J519</f>
        <v>0</v>
      </c>
      <c r="M519" s="10" t="n">
        <f aca="false">IF(I519="higher",L519,-L519)</f>
        <v>-0</v>
      </c>
    </row>
    <row r="520" customFormat="false" ht="15" hidden="false" customHeight="false" outlineLevel="0" collapsed="false">
      <c r="A520" s="7" t="s">
        <v>48</v>
      </c>
      <c r="B520" s="7" t="s">
        <v>10</v>
      </c>
      <c r="C520" s="7" t="s">
        <v>49</v>
      </c>
      <c r="D520" s="7" t="s">
        <v>102</v>
      </c>
      <c r="E520" s="7" t="s">
        <v>91</v>
      </c>
      <c r="F520" s="8" t="b">
        <f aca="false">TRUE()</f>
        <v>1</v>
      </c>
      <c r="G520" s="7" t="s">
        <v>76</v>
      </c>
      <c r="H520" s="7" t="s">
        <v>77</v>
      </c>
      <c r="I520" s="7" t="s">
        <v>54</v>
      </c>
      <c r="J520" s="9" t="n">
        <v>0.252336448598131</v>
      </c>
      <c r="K520" s="9" t="n">
        <v>0.102803738317757</v>
      </c>
      <c r="L520" s="10" t="n">
        <f aca="false">K520-J520</f>
        <v>-0.149532710280374</v>
      </c>
      <c r="M520" s="10" t="n">
        <f aca="false">IF(I520="higher",L520,-L520)</f>
        <v>0.149532710280374</v>
      </c>
    </row>
    <row r="521" customFormat="false" ht="15" hidden="false" customHeight="false" outlineLevel="0" collapsed="false">
      <c r="A521" s="7" t="s">
        <v>48</v>
      </c>
      <c r="B521" s="7" t="s">
        <v>10</v>
      </c>
      <c r="C521" s="7" t="s">
        <v>49</v>
      </c>
      <c r="D521" s="7" t="s">
        <v>102</v>
      </c>
      <c r="E521" s="7" t="s">
        <v>91</v>
      </c>
      <c r="F521" s="8" t="b">
        <f aca="false">TRUE()</f>
        <v>1</v>
      </c>
      <c r="G521" s="7" t="s">
        <v>78</v>
      </c>
      <c r="H521" s="7" t="s">
        <v>79</v>
      </c>
      <c r="I521" s="7" t="s">
        <v>54</v>
      </c>
      <c r="J521" s="9" t="n">
        <v>0</v>
      </c>
      <c r="K521" s="9" t="n">
        <v>0</v>
      </c>
      <c r="L521" s="10" t="n">
        <f aca="false">K521-J521</f>
        <v>0</v>
      </c>
      <c r="M521" s="10" t="n">
        <f aca="false">IF(I521="higher",L521,-L521)</f>
        <v>-0</v>
      </c>
    </row>
    <row r="522" customFormat="false" ht="15" hidden="false" customHeight="false" outlineLevel="0" collapsed="false">
      <c r="A522" s="7" t="s">
        <v>48</v>
      </c>
      <c r="B522" s="7" t="s">
        <v>10</v>
      </c>
      <c r="C522" s="7" t="s">
        <v>49</v>
      </c>
      <c r="D522" s="7" t="s">
        <v>102</v>
      </c>
      <c r="E522" s="7" t="s">
        <v>91</v>
      </c>
      <c r="F522" s="8" t="b">
        <f aca="false">TRUE()</f>
        <v>1</v>
      </c>
      <c r="G522" s="7" t="s">
        <v>80</v>
      </c>
      <c r="H522" s="7" t="s">
        <v>81</v>
      </c>
      <c r="I522" s="7" t="s">
        <v>54</v>
      </c>
      <c r="J522" s="9" t="n">
        <v>0</v>
      </c>
      <c r="K522" s="9" t="n">
        <v>0</v>
      </c>
      <c r="L522" s="10" t="n">
        <f aca="false">K522-J522</f>
        <v>0</v>
      </c>
      <c r="M522" s="10" t="n">
        <f aca="false">IF(I522="higher",L522,-L522)</f>
        <v>-0</v>
      </c>
    </row>
    <row r="523" customFormat="false" ht="15" hidden="false" customHeight="false" outlineLevel="0" collapsed="false">
      <c r="A523" s="7" t="s">
        <v>82</v>
      </c>
      <c r="B523" s="7" t="s">
        <v>83</v>
      </c>
      <c r="C523" s="7" t="s">
        <v>49</v>
      </c>
      <c r="D523" s="7" t="s">
        <v>102</v>
      </c>
      <c r="E523" s="7" t="s">
        <v>91</v>
      </c>
      <c r="F523" s="8" t="b">
        <f aca="false">TRUE()</f>
        <v>1</v>
      </c>
      <c r="G523" s="7" t="s">
        <v>52</v>
      </c>
      <c r="H523" s="7" t="s">
        <v>53</v>
      </c>
      <c r="I523" s="7" t="s">
        <v>54</v>
      </c>
      <c r="J523" s="9" t="n">
        <v>5.63008555071396</v>
      </c>
      <c r="K523" s="9" t="n">
        <v>5.45163722480339</v>
      </c>
      <c r="L523" s="10" t="n">
        <f aca="false">K523-J523</f>
        <v>-0.178448325910572</v>
      </c>
      <c r="M523" s="10" t="n">
        <f aca="false">IF(I523="higher",L523,-L523)</f>
        <v>0.178448325910572</v>
      </c>
    </row>
    <row r="524" customFormat="false" ht="15" hidden="false" customHeight="false" outlineLevel="0" collapsed="false">
      <c r="A524" s="7" t="s">
        <v>82</v>
      </c>
      <c r="B524" s="7" t="s">
        <v>83</v>
      </c>
      <c r="C524" s="7" t="s">
        <v>49</v>
      </c>
      <c r="D524" s="7" t="s">
        <v>102</v>
      </c>
      <c r="E524" s="7" t="s">
        <v>91</v>
      </c>
      <c r="F524" s="8" t="b">
        <f aca="false">TRUE()</f>
        <v>1</v>
      </c>
      <c r="G524" s="7" t="s">
        <v>55</v>
      </c>
      <c r="H524" s="7" t="s">
        <v>56</v>
      </c>
      <c r="I524" s="7" t="s">
        <v>54</v>
      </c>
      <c r="J524" s="9" t="n">
        <v>12.5143048050376</v>
      </c>
      <c r="K524" s="9" t="n">
        <v>10.9475726421038</v>
      </c>
      <c r="L524" s="10" t="n">
        <f aca="false">K524-J524</f>
        <v>-1.56673216293386</v>
      </c>
      <c r="M524" s="10" t="n">
        <f aca="false">IF(I524="higher",L524,-L524)</f>
        <v>1.56673216293386</v>
      </c>
    </row>
    <row r="525" customFormat="false" ht="15" hidden="false" customHeight="false" outlineLevel="0" collapsed="false">
      <c r="A525" s="7" t="s">
        <v>82</v>
      </c>
      <c r="B525" s="7" t="s">
        <v>83</v>
      </c>
      <c r="C525" s="7" t="s">
        <v>49</v>
      </c>
      <c r="D525" s="7" t="s">
        <v>102</v>
      </c>
      <c r="E525" s="7" t="s">
        <v>91</v>
      </c>
      <c r="F525" s="8" t="b">
        <f aca="false">TRUE()</f>
        <v>1</v>
      </c>
      <c r="G525" s="7" t="s">
        <v>57</v>
      </c>
      <c r="H525" s="7" t="s">
        <v>58</v>
      </c>
      <c r="I525" s="7" t="s">
        <v>54</v>
      </c>
      <c r="J525" s="9" t="n">
        <v>14.9703318421017</v>
      </c>
      <c r="K525" s="9" t="n">
        <v>4.81263365850267</v>
      </c>
      <c r="L525" s="10" t="n">
        <f aca="false">K525-J525</f>
        <v>-10.157698183599</v>
      </c>
      <c r="M525" s="10" t="n">
        <f aca="false">IF(I525="higher",L525,-L525)</f>
        <v>10.157698183599</v>
      </c>
    </row>
    <row r="526" customFormat="false" ht="15" hidden="false" customHeight="false" outlineLevel="0" collapsed="false">
      <c r="A526" s="7" t="s">
        <v>82</v>
      </c>
      <c r="B526" s="7" t="s">
        <v>83</v>
      </c>
      <c r="C526" s="7" t="s">
        <v>49</v>
      </c>
      <c r="D526" s="7" t="s">
        <v>102</v>
      </c>
      <c r="E526" s="7" t="s">
        <v>91</v>
      </c>
      <c r="F526" s="8" t="b">
        <f aca="false">TRUE()</f>
        <v>1</v>
      </c>
      <c r="G526" s="7" t="s">
        <v>59</v>
      </c>
      <c r="H526" s="7" t="s">
        <v>60</v>
      </c>
      <c r="I526" s="7" t="s">
        <v>54</v>
      </c>
      <c r="J526" s="9" t="n">
        <v>0.130373446784215</v>
      </c>
      <c r="K526" s="9" t="n">
        <v>0.133893022924033</v>
      </c>
      <c r="L526" s="10" t="n">
        <f aca="false">K526-J526</f>
        <v>0.0035195761398186</v>
      </c>
      <c r="M526" s="10" t="n">
        <f aca="false">IF(I526="higher",L526,-L526)</f>
        <v>-0.0035195761398186</v>
      </c>
    </row>
    <row r="527" customFormat="false" ht="15" hidden="false" customHeight="false" outlineLevel="0" collapsed="false">
      <c r="A527" s="7" t="s">
        <v>82</v>
      </c>
      <c r="B527" s="7" t="s">
        <v>83</v>
      </c>
      <c r="C527" s="7" t="s">
        <v>49</v>
      </c>
      <c r="D527" s="7" t="s">
        <v>102</v>
      </c>
      <c r="E527" s="7" t="s">
        <v>91</v>
      </c>
      <c r="F527" s="8" t="b">
        <f aca="false">TRUE()</f>
        <v>1</v>
      </c>
      <c r="G527" s="7" t="s">
        <v>61</v>
      </c>
      <c r="H527" s="7" t="s">
        <v>62</v>
      </c>
      <c r="I527" s="7" t="s">
        <v>54</v>
      </c>
      <c r="J527" s="9" t="n">
        <v>20.943316912526</v>
      </c>
      <c r="K527" s="9" t="n">
        <v>19.675919713384</v>
      </c>
      <c r="L527" s="10" t="n">
        <f aca="false">K527-J527</f>
        <v>-1.267397199142</v>
      </c>
      <c r="M527" s="10" t="n">
        <f aca="false">IF(I527="higher",L527,-L527)</f>
        <v>1.267397199142</v>
      </c>
    </row>
    <row r="528" customFormat="false" ht="15" hidden="false" customHeight="false" outlineLevel="0" collapsed="false">
      <c r="A528" s="7" t="s">
        <v>82</v>
      </c>
      <c r="B528" s="7" t="s">
        <v>83</v>
      </c>
      <c r="C528" s="7" t="s">
        <v>49</v>
      </c>
      <c r="D528" s="7" t="s">
        <v>102</v>
      </c>
      <c r="E528" s="7" t="s">
        <v>91</v>
      </c>
      <c r="F528" s="8" t="b">
        <f aca="false">TRUE()</f>
        <v>1</v>
      </c>
      <c r="G528" s="7" t="s">
        <v>63</v>
      </c>
      <c r="H528" s="7" t="s">
        <v>64</v>
      </c>
      <c r="I528" s="7" t="s">
        <v>54</v>
      </c>
      <c r="J528" s="9" t="n">
        <v>11.5703841178419</v>
      </c>
      <c r="K528" s="9" t="n">
        <v>12.1741299187843</v>
      </c>
      <c r="L528" s="10" t="n">
        <f aca="false">K528-J528</f>
        <v>0.603745800942351</v>
      </c>
      <c r="M528" s="10" t="n">
        <f aca="false">IF(I528="higher",L528,-L528)</f>
        <v>-0.603745800942351</v>
      </c>
    </row>
    <row r="529" customFormat="false" ht="15" hidden="false" customHeight="false" outlineLevel="0" collapsed="false">
      <c r="A529" s="7" t="s">
        <v>82</v>
      </c>
      <c r="B529" s="7" t="s">
        <v>83</v>
      </c>
      <c r="C529" s="7" t="s">
        <v>49</v>
      </c>
      <c r="D529" s="7" t="s">
        <v>102</v>
      </c>
      <c r="E529" s="7" t="s">
        <v>91</v>
      </c>
      <c r="F529" s="8" t="b">
        <f aca="false">TRUE()</f>
        <v>1</v>
      </c>
      <c r="G529" s="7" t="s">
        <v>65</v>
      </c>
      <c r="H529" s="7" t="s">
        <v>66</v>
      </c>
      <c r="I529" s="7" t="s">
        <v>54</v>
      </c>
      <c r="J529" s="9" t="n">
        <v>18.7103788430771</v>
      </c>
      <c r="K529" s="9" t="n">
        <v>16.0844234385141</v>
      </c>
      <c r="L529" s="10" t="n">
        <f aca="false">K529-J529</f>
        <v>-2.62595540456302</v>
      </c>
      <c r="M529" s="10" t="n">
        <f aca="false">IF(I529="higher",L529,-L529)</f>
        <v>2.62595540456302</v>
      </c>
    </row>
    <row r="530" customFormat="false" ht="15" hidden="false" customHeight="false" outlineLevel="0" collapsed="false">
      <c r="A530" s="7" t="s">
        <v>82</v>
      </c>
      <c r="B530" s="7" t="s">
        <v>83</v>
      </c>
      <c r="C530" s="7" t="s">
        <v>49</v>
      </c>
      <c r="D530" s="7" t="s">
        <v>102</v>
      </c>
      <c r="E530" s="7" t="s">
        <v>91</v>
      </c>
      <c r="F530" s="8" t="b">
        <f aca="false">TRUE()</f>
        <v>1</v>
      </c>
      <c r="G530" s="7" t="s">
        <v>67</v>
      </c>
      <c r="H530" s="7" t="s">
        <v>68</v>
      </c>
      <c r="I530" s="7" t="s">
        <v>54</v>
      </c>
      <c r="J530" s="9" t="n">
        <v>19.4138319425342</v>
      </c>
      <c r="K530" s="9" t="n">
        <v>21.3959087095803</v>
      </c>
      <c r="L530" s="10" t="n">
        <f aca="false">K530-J530</f>
        <v>1.98207676704613</v>
      </c>
      <c r="M530" s="10" t="n">
        <f aca="false">IF(I530="higher",L530,-L530)</f>
        <v>-1.98207676704613</v>
      </c>
    </row>
    <row r="531" customFormat="false" ht="15" hidden="false" customHeight="false" outlineLevel="0" collapsed="false">
      <c r="A531" s="7" t="s">
        <v>82</v>
      </c>
      <c r="B531" s="7" t="s">
        <v>83</v>
      </c>
      <c r="C531" s="7" t="s">
        <v>49</v>
      </c>
      <c r="D531" s="7" t="s">
        <v>102</v>
      </c>
      <c r="E531" s="7" t="s">
        <v>91</v>
      </c>
      <c r="F531" s="8" t="b">
        <f aca="false">TRUE()</f>
        <v>1</v>
      </c>
      <c r="G531" s="7" t="s">
        <v>69</v>
      </c>
      <c r="H531" s="7" t="s">
        <v>70</v>
      </c>
      <c r="I531" s="7" t="s">
        <v>71</v>
      </c>
      <c r="J531" s="9" t="n">
        <v>0.563636363636364</v>
      </c>
      <c r="K531" s="9" t="n">
        <v>0.690909090909091</v>
      </c>
      <c r="L531" s="10" t="n">
        <f aca="false">K531-J531</f>
        <v>0.127272727272727</v>
      </c>
      <c r="M531" s="10" t="n">
        <f aca="false">IF(I531="higher",L531,-L531)</f>
        <v>0.127272727272727</v>
      </c>
    </row>
    <row r="532" customFormat="false" ht="15" hidden="false" customHeight="false" outlineLevel="0" collapsed="false">
      <c r="A532" s="7" t="s">
        <v>82</v>
      </c>
      <c r="B532" s="7" t="s">
        <v>83</v>
      </c>
      <c r="C532" s="7" t="s">
        <v>49</v>
      </c>
      <c r="D532" s="7" t="s">
        <v>102</v>
      </c>
      <c r="E532" s="7" t="s">
        <v>91</v>
      </c>
      <c r="F532" s="8" t="b">
        <f aca="false">TRUE()</f>
        <v>1</v>
      </c>
      <c r="G532" s="7" t="s">
        <v>72</v>
      </c>
      <c r="H532" s="7" t="s">
        <v>73</v>
      </c>
      <c r="I532" s="7" t="s">
        <v>71</v>
      </c>
      <c r="J532" s="9" t="n">
        <v>0.854545454545455</v>
      </c>
      <c r="K532" s="9" t="n">
        <v>0.872727272727273</v>
      </c>
      <c r="L532" s="10" t="n">
        <f aca="false">K532-J532</f>
        <v>0.0181818181818182</v>
      </c>
      <c r="M532" s="10" t="n">
        <f aca="false">IF(I532="higher",L532,-L532)</f>
        <v>0.0181818181818182</v>
      </c>
    </row>
    <row r="533" customFormat="false" ht="15" hidden="false" customHeight="false" outlineLevel="0" collapsed="false">
      <c r="A533" s="7" t="s">
        <v>82</v>
      </c>
      <c r="B533" s="7" t="s">
        <v>83</v>
      </c>
      <c r="C533" s="7" t="s">
        <v>49</v>
      </c>
      <c r="D533" s="7" t="s">
        <v>102</v>
      </c>
      <c r="E533" s="7" t="s">
        <v>91</v>
      </c>
      <c r="F533" s="8" t="b">
        <f aca="false">TRUE()</f>
        <v>1</v>
      </c>
      <c r="G533" s="7" t="s">
        <v>74</v>
      </c>
      <c r="H533" s="7" t="s">
        <v>75</v>
      </c>
      <c r="I533" s="7" t="s">
        <v>54</v>
      </c>
      <c r="J533" s="9" t="n">
        <v>0.0625</v>
      </c>
      <c r="K533" s="9" t="n">
        <v>0.03125</v>
      </c>
      <c r="L533" s="10" t="n">
        <f aca="false">K533-J533</f>
        <v>-0.03125</v>
      </c>
      <c r="M533" s="10" t="n">
        <f aca="false">IF(I533="higher",L533,-L533)</f>
        <v>0.03125</v>
      </c>
    </row>
    <row r="534" customFormat="false" ht="15" hidden="false" customHeight="false" outlineLevel="0" collapsed="false">
      <c r="A534" s="7" t="s">
        <v>82</v>
      </c>
      <c r="B534" s="7" t="s">
        <v>83</v>
      </c>
      <c r="C534" s="7" t="s">
        <v>49</v>
      </c>
      <c r="D534" s="7" t="s">
        <v>102</v>
      </c>
      <c r="E534" s="7" t="s">
        <v>91</v>
      </c>
      <c r="F534" s="8" t="b">
        <f aca="false">TRUE()</f>
        <v>1</v>
      </c>
      <c r="G534" s="7" t="s">
        <v>76</v>
      </c>
      <c r="H534" s="7" t="s">
        <v>77</v>
      </c>
      <c r="I534" s="7" t="s">
        <v>54</v>
      </c>
      <c r="J534" s="9" t="n">
        <v>0.149532710280374</v>
      </c>
      <c r="K534" s="9" t="n">
        <v>0.102803738317757</v>
      </c>
      <c r="L534" s="10" t="n">
        <f aca="false">K534-J534</f>
        <v>-0.0467289719626168</v>
      </c>
      <c r="M534" s="10" t="n">
        <f aca="false">IF(I534="higher",L534,-L534)</f>
        <v>0.0467289719626168</v>
      </c>
    </row>
    <row r="535" customFormat="false" ht="15" hidden="false" customHeight="false" outlineLevel="0" collapsed="false">
      <c r="A535" s="7" t="s">
        <v>82</v>
      </c>
      <c r="B535" s="7" t="s">
        <v>83</v>
      </c>
      <c r="C535" s="7" t="s">
        <v>49</v>
      </c>
      <c r="D535" s="7" t="s">
        <v>102</v>
      </c>
      <c r="E535" s="7" t="s">
        <v>91</v>
      </c>
      <c r="F535" s="8" t="b">
        <f aca="false">TRUE()</f>
        <v>1</v>
      </c>
      <c r="G535" s="7" t="s">
        <v>78</v>
      </c>
      <c r="H535" s="7" t="s">
        <v>79</v>
      </c>
      <c r="I535" s="7" t="s">
        <v>54</v>
      </c>
      <c r="J535" s="9" t="n">
        <v>0</v>
      </c>
      <c r="K535" s="9" t="n">
        <v>0</v>
      </c>
      <c r="L535" s="10" t="n">
        <f aca="false">K535-J535</f>
        <v>0</v>
      </c>
      <c r="M535" s="10" t="n">
        <f aca="false">IF(I535="higher",L535,-L535)</f>
        <v>-0</v>
      </c>
    </row>
    <row r="536" customFormat="false" ht="15" hidden="false" customHeight="false" outlineLevel="0" collapsed="false">
      <c r="A536" s="7" t="s">
        <v>82</v>
      </c>
      <c r="B536" s="7" t="s">
        <v>83</v>
      </c>
      <c r="C536" s="7" t="s">
        <v>49</v>
      </c>
      <c r="D536" s="7" t="s">
        <v>102</v>
      </c>
      <c r="E536" s="7" t="s">
        <v>91</v>
      </c>
      <c r="F536" s="8" t="b">
        <f aca="false">TRUE()</f>
        <v>1</v>
      </c>
      <c r="G536" s="7" t="s">
        <v>80</v>
      </c>
      <c r="H536" s="7" t="s">
        <v>81</v>
      </c>
      <c r="I536" s="7" t="s">
        <v>54</v>
      </c>
      <c r="J536" s="9" t="n">
        <v>0</v>
      </c>
      <c r="K536" s="9" t="n">
        <v>0</v>
      </c>
      <c r="L536" s="10" t="n">
        <f aca="false">K536-J536</f>
        <v>0</v>
      </c>
      <c r="M536" s="10" t="n">
        <f aca="false">IF(I536="higher",L536,-L536)</f>
        <v>-0</v>
      </c>
    </row>
    <row r="537" customFormat="false" ht="15" hidden="false" customHeight="false" outlineLevel="0" collapsed="false">
      <c r="A537" s="7" t="s">
        <v>48</v>
      </c>
      <c r="B537" s="7" t="s">
        <v>10</v>
      </c>
      <c r="C537" s="7" t="s">
        <v>49</v>
      </c>
      <c r="D537" s="7" t="s">
        <v>103</v>
      </c>
      <c r="E537" s="7" t="s">
        <v>91</v>
      </c>
      <c r="F537" s="8" t="b">
        <f aca="false">TRUE()</f>
        <v>1</v>
      </c>
      <c r="G537" s="7" t="s">
        <v>52</v>
      </c>
      <c r="H537" s="7" t="s">
        <v>53</v>
      </c>
      <c r="I537" s="7" t="s">
        <v>54</v>
      </c>
      <c r="J537" s="9" t="n">
        <v>5.46268039774598</v>
      </c>
      <c r="K537" s="9" t="n">
        <v>5.18991990574234</v>
      </c>
      <c r="L537" s="10" t="n">
        <f aca="false">K537-J537</f>
        <v>-0.272760492003639</v>
      </c>
      <c r="M537" s="10" t="n">
        <f aca="false">IF(I537="higher",L537,-L537)</f>
        <v>0.272760492003639</v>
      </c>
    </row>
    <row r="538" customFormat="false" ht="15" hidden="false" customHeight="false" outlineLevel="0" collapsed="false">
      <c r="A538" s="7" t="s">
        <v>48</v>
      </c>
      <c r="B538" s="7" t="s">
        <v>10</v>
      </c>
      <c r="C538" s="7" t="s">
        <v>49</v>
      </c>
      <c r="D538" s="7" t="s">
        <v>103</v>
      </c>
      <c r="E538" s="7" t="s">
        <v>91</v>
      </c>
      <c r="F538" s="8" t="b">
        <f aca="false">TRUE()</f>
        <v>1</v>
      </c>
      <c r="G538" s="7" t="s">
        <v>55</v>
      </c>
      <c r="H538" s="7" t="s">
        <v>56</v>
      </c>
      <c r="I538" s="7" t="s">
        <v>54</v>
      </c>
      <c r="J538" s="9" t="n">
        <v>12.8065097008219</v>
      </c>
      <c r="K538" s="9" t="n">
        <v>12.4488455321539</v>
      </c>
      <c r="L538" s="10" t="n">
        <f aca="false">K538-J538</f>
        <v>-0.357664168667991</v>
      </c>
      <c r="M538" s="10" t="n">
        <f aca="false">IF(I538="higher",L538,-L538)</f>
        <v>0.357664168667991</v>
      </c>
    </row>
    <row r="539" customFormat="false" ht="15" hidden="false" customHeight="false" outlineLevel="0" collapsed="false">
      <c r="A539" s="7" t="s">
        <v>48</v>
      </c>
      <c r="B539" s="7" t="s">
        <v>10</v>
      </c>
      <c r="C539" s="7" t="s">
        <v>49</v>
      </c>
      <c r="D539" s="7" t="s">
        <v>103</v>
      </c>
      <c r="E539" s="7" t="s">
        <v>91</v>
      </c>
      <c r="F539" s="8" t="b">
        <f aca="false">TRUE()</f>
        <v>1</v>
      </c>
      <c r="G539" s="7" t="s">
        <v>57</v>
      </c>
      <c r="H539" s="7" t="s">
        <v>58</v>
      </c>
      <c r="I539" s="7" t="s">
        <v>54</v>
      </c>
      <c r="J539" s="9" t="n">
        <v>5.3168553116776</v>
      </c>
      <c r="K539" s="9" t="n">
        <v>5.90747898677031</v>
      </c>
      <c r="L539" s="10" t="n">
        <f aca="false">K539-J539</f>
        <v>0.590623675092705</v>
      </c>
      <c r="M539" s="10" t="n">
        <f aca="false">IF(I539="higher",L539,-L539)</f>
        <v>-0.590623675092705</v>
      </c>
    </row>
    <row r="540" customFormat="false" ht="15" hidden="false" customHeight="false" outlineLevel="0" collapsed="false">
      <c r="A540" s="7" t="s">
        <v>48</v>
      </c>
      <c r="B540" s="7" t="s">
        <v>10</v>
      </c>
      <c r="C540" s="7" t="s">
        <v>49</v>
      </c>
      <c r="D540" s="7" t="s">
        <v>103</v>
      </c>
      <c r="E540" s="7" t="s">
        <v>91</v>
      </c>
      <c r="F540" s="8" t="b">
        <f aca="false">TRUE()</f>
        <v>1</v>
      </c>
      <c r="G540" s="7" t="s">
        <v>59</v>
      </c>
      <c r="H540" s="7" t="s">
        <v>60</v>
      </c>
      <c r="I540" s="7" t="s">
        <v>54</v>
      </c>
      <c r="J540" s="9" t="n">
        <v>0.118909787101683</v>
      </c>
      <c r="K540" s="9" t="n">
        <v>0.126699825152883</v>
      </c>
      <c r="L540" s="10" t="n">
        <f aca="false">K540-J540</f>
        <v>0.0077900380512006</v>
      </c>
      <c r="M540" s="10" t="n">
        <f aca="false">IF(I540="higher",L540,-L540)</f>
        <v>-0.0077900380512006</v>
      </c>
    </row>
    <row r="541" customFormat="false" ht="15" hidden="false" customHeight="false" outlineLevel="0" collapsed="false">
      <c r="A541" s="7" t="s">
        <v>48</v>
      </c>
      <c r="B541" s="7" t="s">
        <v>10</v>
      </c>
      <c r="C541" s="7" t="s">
        <v>49</v>
      </c>
      <c r="D541" s="7" t="s">
        <v>103</v>
      </c>
      <c r="E541" s="7" t="s">
        <v>91</v>
      </c>
      <c r="F541" s="8" t="b">
        <f aca="false">TRUE()</f>
        <v>1</v>
      </c>
      <c r="G541" s="7" t="s">
        <v>61</v>
      </c>
      <c r="H541" s="7" t="s">
        <v>62</v>
      </c>
      <c r="I541" s="7" t="s">
        <v>54</v>
      </c>
      <c r="J541" s="9" t="n">
        <v>13.0102035401021</v>
      </c>
      <c r="K541" s="9" t="n">
        <v>14.8725898475161</v>
      </c>
      <c r="L541" s="10" t="n">
        <f aca="false">K541-J541</f>
        <v>1.86238630741409</v>
      </c>
      <c r="M541" s="10" t="n">
        <f aca="false">IF(I541="higher",L541,-L541)</f>
        <v>-1.86238630741409</v>
      </c>
    </row>
    <row r="542" customFormat="false" ht="15" hidden="false" customHeight="false" outlineLevel="0" collapsed="false">
      <c r="A542" s="7" t="s">
        <v>48</v>
      </c>
      <c r="B542" s="7" t="s">
        <v>10</v>
      </c>
      <c r="C542" s="7" t="s">
        <v>49</v>
      </c>
      <c r="D542" s="7" t="s">
        <v>103</v>
      </c>
      <c r="E542" s="7" t="s">
        <v>91</v>
      </c>
      <c r="F542" s="8" t="b">
        <f aca="false">TRUE()</f>
        <v>1</v>
      </c>
      <c r="G542" s="7" t="s">
        <v>63</v>
      </c>
      <c r="H542" s="7" t="s">
        <v>64</v>
      </c>
      <c r="I542" s="7" t="s">
        <v>54</v>
      </c>
      <c r="J542" s="9" t="n">
        <v>8.3659392411666</v>
      </c>
      <c r="K542" s="9" t="n">
        <v>7.74008616542192</v>
      </c>
      <c r="L542" s="10" t="n">
        <f aca="false">K542-J542</f>
        <v>-0.625853075744682</v>
      </c>
      <c r="M542" s="10" t="n">
        <f aca="false">IF(I542="higher",L542,-L542)</f>
        <v>0.625853075744682</v>
      </c>
    </row>
    <row r="543" customFormat="false" ht="15" hidden="false" customHeight="false" outlineLevel="0" collapsed="false">
      <c r="A543" s="7" t="s">
        <v>48</v>
      </c>
      <c r="B543" s="7" t="s">
        <v>10</v>
      </c>
      <c r="C543" s="7" t="s">
        <v>49</v>
      </c>
      <c r="D543" s="7" t="s">
        <v>103</v>
      </c>
      <c r="E543" s="7" t="s">
        <v>91</v>
      </c>
      <c r="F543" s="8" t="b">
        <f aca="false">TRUE()</f>
        <v>1</v>
      </c>
      <c r="G543" s="7" t="s">
        <v>65</v>
      </c>
      <c r="H543" s="7" t="s">
        <v>66</v>
      </c>
      <c r="I543" s="7" t="s">
        <v>54</v>
      </c>
      <c r="J543" s="9" t="n">
        <v>12.0321101645462</v>
      </c>
      <c r="K543" s="9" t="n">
        <v>13.4961910182086</v>
      </c>
      <c r="L543" s="10" t="n">
        <f aca="false">K543-J543</f>
        <v>1.46408085366244</v>
      </c>
      <c r="M543" s="10" t="n">
        <f aca="false">IF(I543="higher",L543,-L543)</f>
        <v>-1.46408085366244</v>
      </c>
    </row>
    <row r="544" customFormat="false" ht="15" hidden="false" customHeight="false" outlineLevel="0" collapsed="false">
      <c r="A544" s="7" t="s">
        <v>48</v>
      </c>
      <c r="B544" s="7" t="s">
        <v>10</v>
      </c>
      <c r="C544" s="7" t="s">
        <v>49</v>
      </c>
      <c r="D544" s="7" t="s">
        <v>103</v>
      </c>
      <c r="E544" s="7" t="s">
        <v>91</v>
      </c>
      <c r="F544" s="8" t="b">
        <f aca="false">TRUE()</f>
        <v>1</v>
      </c>
      <c r="G544" s="7" t="s">
        <v>67</v>
      </c>
      <c r="H544" s="7" t="s">
        <v>68</v>
      </c>
      <c r="I544" s="7" t="s">
        <v>54</v>
      </c>
      <c r="J544" s="9" t="n">
        <v>16.346692104201</v>
      </c>
      <c r="K544" s="9" t="n">
        <v>19.954098786505</v>
      </c>
      <c r="L544" s="10" t="n">
        <f aca="false">K544-J544</f>
        <v>3.607406682304</v>
      </c>
      <c r="M544" s="10" t="n">
        <f aca="false">IF(I544="higher",L544,-L544)</f>
        <v>-3.607406682304</v>
      </c>
    </row>
    <row r="545" customFormat="false" ht="15" hidden="false" customHeight="false" outlineLevel="0" collapsed="false">
      <c r="A545" s="7" t="s">
        <v>48</v>
      </c>
      <c r="B545" s="7" t="s">
        <v>10</v>
      </c>
      <c r="C545" s="7" t="s">
        <v>49</v>
      </c>
      <c r="D545" s="7" t="s">
        <v>103</v>
      </c>
      <c r="E545" s="7" t="s">
        <v>91</v>
      </c>
      <c r="F545" s="8" t="b">
        <f aca="false">TRUE()</f>
        <v>1</v>
      </c>
      <c r="G545" s="7" t="s">
        <v>69</v>
      </c>
      <c r="H545" s="7" t="s">
        <v>70</v>
      </c>
      <c r="I545" s="7" t="s">
        <v>71</v>
      </c>
      <c r="J545" s="9" t="n">
        <v>0.580645161290323</v>
      </c>
      <c r="K545" s="9" t="n">
        <v>0.580645161290323</v>
      </c>
      <c r="L545" s="10" t="n">
        <f aca="false">K545-J545</f>
        <v>0</v>
      </c>
      <c r="M545" s="10" t="n">
        <f aca="false">IF(I545="higher",L545,-L545)</f>
        <v>0</v>
      </c>
    </row>
    <row r="546" customFormat="false" ht="15" hidden="false" customHeight="false" outlineLevel="0" collapsed="false">
      <c r="A546" s="7" t="s">
        <v>48</v>
      </c>
      <c r="B546" s="7" t="s">
        <v>10</v>
      </c>
      <c r="C546" s="7" t="s">
        <v>49</v>
      </c>
      <c r="D546" s="7" t="s">
        <v>103</v>
      </c>
      <c r="E546" s="7" t="s">
        <v>91</v>
      </c>
      <c r="F546" s="8" t="b">
        <f aca="false">TRUE()</f>
        <v>1</v>
      </c>
      <c r="G546" s="7" t="s">
        <v>72</v>
      </c>
      <c r="H546" s="7" t="s">
        <v>73</v>
      </c>
      <c r="I546" s="7" t="s">
        <v>71</v>
      </c>
      <c r="J546" s="9" t="n">
        <v>0.806451612903226</v>
      </c>
      <c r="K546" s="9" t="n">
        <v>0.806451612903226</v>
      </c>
      <c r="L546" s="10" t="n">
        <f aca="false">K546-J546</f>
        <v>0</v>
      </c>
      <c r="M546" s="10" t="n">
        <f aca="false">IF(I546="higher",L546,-L546)</f>
        <v>0</v>
      </c>
    </row>
    <row r="547" customFormat="false" ht="15" hidden="false" customHeight="false" outlineLevel="0" collapsed="false">
      <c r="A547" s="7" t="s">
        <v>48</v>
      </c>
      <c r="B547" s="7" t="s">
        <v>10</v>
      </c>
      <c r="C547" s="7" t="s">
        <v>49</v>
      </c>
      <c r="D547" s="7" t="s">
        <v>103</v>
      </c>
      <c r="E547" s="7" t="s">
        <v>91</v>
      </c>
      <c r="F547" s="8" t="b">
        <f aca="false">TRUE()</f>
        <v>1</v>
      </c>
      <c r="G547" s="7" t="s">
        <v>74</v>
      </c>
      <c r="H547" s="7" t="s">
        <v>75</v>
      </c>
      <c r="I547" s="7" t="s">
        <v>54</v>
      </c>
      <c r="J547" s="9" t="n">
        <v>0.0689655172413793</v>
      </c>
      <c r="K547" s="9" t="n">
        <v>0.0344827586206896</v>
      </c>
      <c r="L547" s="10" t="n">
        <f aca="false">K547-J547</f>
        <v>-0.0344827586206897</v>
      </c>
      <c r="M547" s="10" t="n">
        <f aca="false">IF(I547="higher",L547,-L547)</f>
        <v>0.0344827586206897</v>
      </c>
    </row>
    <row r="548" customFormat="false" ht="15" hidden="false" customHeight="false" outlineLevel="0" collapsed="false">
      <c r="A548" s="7" t="s">
        <v>48</v>
      </c>
      <c r="B548" s="7" t="s">
        <v>10</v>
      </c>
      <c r="C548" s="7" t="s">
        <v>49</v>
      </c>
      <c r="D548" s="7" t="s">
        <v>103</v>
      </c>
      <c r="E548" s="7" t="s">
        <v>91</v>
      </c>
      <c r="F548" s="8" t="b">
        <f aca="false">TRUE()</f>
        <v>1</v>
      </c>
      <c r="G548" s="7" t="s">
        <v>76</v>
      </c>
      <c r="H548" s="7" t="s">
        <v>77</v>
      </c>
      <c r="I548" s="7" t="s">
        <v>54</v>
      </c>
      <c r="J548" s="9" t="n">
        <v>0.130841121495327</v>
      </c>
      <c r="K548" s="9" t="n">
        <v>0.130841121495327</v>
      </c>
      <c r="L548" s="10" t="n">
        <f aca="false">K548-J548</f>
        <v>0</v>
      </c>
      <c r="M548" s="10" t="n">
        <f aca="false">IF(I548="higher",L548,-L548)</f>
        <v>-0</v>
      </c>
    </row>
    <row r="549" customFormat="false" ht="15" hidden="false" customHeight="false" outlineLevel="0" collapsed="false">
      <c r="A549" s="7" t="s">
        <v>48</v>
      </c>
      <c r="B549" s="7" t="s">
        <v>10</v>
      </c>
      <c r="C549" s="7" t="s">
        <v>49</v>
      </c>
      <c r="D549" s="7" t="s">
        <v>103</v>
      </c>
      <c r="E549" s="7" t="s">
        <v>91</v>
      </c>
      <c r="F549" s="8" t="b">
        <f aca="false">TRUE()</f>
        <v>1</v>
      </c>
      <c r="G549" s="7" t="s">
        <v>78</v>
      </c>
      <c r="H549" s="7" t="s">
        <v>79</v>
      </c>
      <c r="I549" s="7" t="s">
        <v>54</v>
      </c>
      <c r="J549" s="9" t="n">
        <v>0</v>
      </c>
      <c r="K549" s="9" t="n">
        <v>0</v>
      </c>
      <c r="L549" s="10" t="n">
        <f aca="false">K549-J549</f>
        <v>0</v>
      </c>
      <c r="M549" s="10" t="n">
        <f aca="false">IF(I549="higher",L549,-L549)</f>
        <v>-0</v>
      </c>
    </row>
    <row r="550" customFormat="false" ht="15" hidden="false" customHeight="false" outlineLevel="0" collapsed="false">
      <c r="A550" s="7" t="s">
        <v>48</v>
      </c>
      <c r="B550" s="7" t="s">
        <v>10</v>
      </c>
      <c r="C550" s="7" t="s">
        <v>49</v>
      </c>
      <c r="D550" s="7" t="s">
        <v>103</v>
      </c>
      <c r="E550" s="7" t="s">
        <v>91</v>
      </c>
      <c r="F550" s="8" t="b">
        <f aca="false">TRUE()</f>
        <v>1</v>
      </c>
      <c r="G550" s="7" t="s">
        <v>80</v>
      </c>
      <c r="H550" s="7" t="s">
        <v>81</v>
      </c>
      <c r="I550" s="7" t="s">
        <v>54</v>
      </c>
      <c r="J550" s="9" t="n">
        <v>0</v>
      </c>
      <c r="K550" s="9" t="n">
        <v>0</v>
      </c>
      <c r="L550" s="10" t="n">
        <f aca="false">K550-J550</f>
        <v>0</v>
      </c>
      <c r="M550" s="10" t="n">
        <f aca="false">IF(I550="higher",L550,-L550)</f>
        <v>-0</v>
      </c>
    </row>
    <row r="551" customFormat="false" ht="15" hidden="false" customHeight="false" outlineLevel="0" collapsed="false">
      <c r="A551" s="7" t="s">
        <v>82</v>
      </c>
      <c r="B551" s="7" t="s">
        <v>83</v>
      </c>
      <c r="C551" s="7" t="s">
        <v>49</v>
      </c>
      <c r="D551" s="7" t="s">
        <v>103</v>
      </c>
      <c r="E551" s="7" t="s">
        <v>91</v>
      </c>
      <c r="F551" s="8" t="b">
        <f aca="false">TRUE()</f>
        <v>1</v>
      </c>
      <c r="G551" s="7" t="s">
        <v>52</v>
      </c>
      <c r="H551" s="7" t="s">
        <v>53</v>
      </c>
      <c r="I551" s="7" t="s">
        <v>54</v>
      </c>
      <c r="J551" s="9" t="n">
        <v>6.23986023647169</v>
      </c>
      <c r="K551" s="9" t="n">
        <v>5.18991990574234</v>
      </c>
      <c r="L551" s="10" t="n">
        <f aca="false">K551-J551</f>
        <v>-1.04994033072934</v>
      </c>
      <c r="M551" s="10" t="n">
        <f aca="false">IF(I551="higher",L551,-L551)</f>
        <v>1.04994033072934</v>
      </c>
    </row>
    <row r="552" customFormat="false" ht="15" hidden="false" customHeight="false" outlineLevel="0" collapsed="false">
      <c r="A552" s="7" t="s">
        <v>82</v>
      </c>
      <c r="B552" s="7" t="s">
        <v>83</v>
      </c>
      <c r="C552" s="7" t="s">
        <v>49</v>
      </c>
      <c r="D552" s="7" t="s">
        <v>103</v>
      </c>
      <c r="E552" s="7" t="s">
        <v>91</v>
      </c>
      <c r="F552" s="8" t="b">
        <f aca="false">TRUE()</f>
        <v>1</v>
      </c>
      <c r="G552" s="7" t="s">
        <v>55</v>
      </c>
      <c r="H552" s="7" t="s">
        <v>56</v>
      </c>
      <c r="I552" s="7" t="s">
        <v>54</v>
      </c>
      <c r="J552" s="9" t="n">
        <v>12.9187414275942</v>
      </c>
      <c r="K552" s="9" t="n">
        <v>12.4488455321539</v>
      </c>
      <c r="L552" s="10" t="n">
        <f aca="false">K552-J552</f>
        <v>-0.469895895440381</v>
      </c>
      <c r="M552" s="10" t="n">
        <f aca="false">IF(I552="higher",L552,-L552)</f>
        <v>0.469895895440381</v>
      </c>
    </row>
    <row r="553" customFormat="false" ht="15" hidden="false" customHeight="false" outlineLevel="0" collapsed="false">
      <c r="A553" s="7" t="s">
        <v>82</v>
      </c>
      <c r="B553" s="7" t="s">
        <v>83</v>
      </c>
      <c r="C553" s="7" t="s">
        <v>49</v>
      </c>
      <c r="D553" s="7" t="s">
        <v>103</v>
      </c>
      <c r="E553" s="7" t="s">
        <v>91</v>
      </c>
      <c r="F553" s="8" t="b">
        <f aca="false">TRUE()</f>
        <v>1</v>
      </c>
      <c r="G553" s="7" t="s">
        <v>57</v>
      </c>
      <c r="H553" s="7" t="s">
        <v>58</v>
      </c>
      <c r="I553" s="7" t="s">
        <v>54</v>
      </c>
      <c r="J553" s="9" t="n">
        <v>18.6739178990524</v>
      </c>
      <c r="K553" s="9" t="n">
        <v>5.90747898677031</v>
      </c>
      <c r="L553" s="10" t="n">
        <f aca="false">K553-J553</f>
        <v>-12.7664389122821</v>
      </c>
      <c r="M553" s="10" t="n">
        <f aca="false">IF(I553="higher",L553,-L553)</f>
        <v>12.7664389122821</v>
      </c>
    </row>
    <row r="554" customFormat="false" ht="15" hidden="false" customHeight="false" outlineLevel="0" collapsed="false">
      <c r="A554" s="7" t="s">
        <v>82</v>
      </c>
      <c r="B554" s="7" t="s">
        <v>83</v>
      </c>
      <c r="C554" s="7" t="s">
        <v>49</v>
      </c>
      <c r="D554" s="7" t="s">
        <v>103</v>
      </c>
      <c r="E554" s="7" t="s">
        <v>91</v>
      </c>
      <c r="F554" s="8" t="b">
        <f aca="false">TRUE()</f>
        <v>1</v>
      </c>
      <c r="G554" s="7" t="s">
        <v>59</v>
      </c>
      <c r="H554" s="7" t="s">
        <v>60</v>
      </c>
      <c r="I554" s="7" t="s">
        <v>54</v>
      </c>
      <c r="J554" s="9" t="n">
        <v>0.108980321446395</v>
      </c>
      <c r="K554" s="9" t="n">
        <v>0.126699825152883</v>
      </c>
      <c r="L554" s="10" t="n">
        <f aca="false">K554-J554</f>
        <v>0.0177195037064885</v>
      </c>
      <c r="M554" s="10" t="n">
        <f aca="false">IF(I554="higher",L554,-L554)</f>
        <v>-0.0177195037064885</v>
      </c>
    </row>
    <row r="555" customFormat="false" ht="15" hidden="false" customHeight="false" outlineLevel="0" collapsed="false">
      <c r="A555" s="7" t="s">
        <v>82</v>
      </c>
      <c r="B555" s="7" t="s">
        <v>83</v>
      </c>
      <c r="C555" s="7" t="s">
        <v>49</v>
      </c>
      <c r="D555" s="7" t="s">
        <v>103</v>
      </c>
      <c r="E555" s="7" t="s">
        <v>91</v>
      </c>
      <c r="F555" s="8" t="b">
        <f aca="false">TRUE()</f>
        <v>1</v>
      </c>
      <c r="G555" s="7" t="s">
        <v>61</v>
      </c>
      <c r="H555" s="7" t="s">
        <v>62</v>
      </c>
      <c r="I555" s="7" t="s">
        <v>54</v>
      </c>
      <c r="J555" s="9" t="n">
        <v>14.6688008675345</v>
      </c>
      <c r="K555" s="9" t="n">
        <v>14.8725898475161</v>
      </c>
      <c r="L555" s="10" t="n">
        <f aca="false">K555-J555</f>
        <v>0.203788979981699</v>
      </c>
      <c r="M555" s="10" t="n">
        <f aca="false">IF(I555="higher",L555,-L555)</f>
        <v>-0.203788979981699</v>
      </c>
    </row>
    <row r="556" customFormat="false" ht="15" hidden="false" customHeight="false" outlineLevel="0" collapsed="false">
      <c r="A556" s="7" t="s">
        <v>82</v>
      </c>
      <c r="B556" s="7" t="s">
        <v>83</v>
      </c>
      <c r="C556" s="7" t="s">
        <v>49</v>
      </c>
      <c r="D556" s="7" t="s">
        <v>103</v>
      </c>
      <c r="E556" s="7" t="s">
        <v>91</v>
      </c>
      <c r="F556" s="8" t="b">
        <f aca="false">TRUE()</f>
        <v>1</v>
      </c>
      <c r="G556" s="7" t="s">
        <v>63</v>
      </c>
      <c r="H556" s="7" t="s">
        <v>64</v>
      </c>
      <c r="I556" s="7" t="s">
        <v>54</v>
      </c>
      <c r="J556" s="9" t="n">
        <v>8.71270790872968</v>
      </c>
      <c r="K556" s="9" t="n">
        <v>7.74008616542192</v>
      </c>
      <c r="L556" s="10" t="n">
        <f aca="false">K556-J556</f>
        <v>-0.97262174330776</v>
      </c>
      <c r="M556" s="10" t="n">
        <f aca="false">IF(I556="higher",L556,-L556)</f>
        <v>0.97262174330776</v>
      </c>
    </row>
    <row r="557" customFormat="false" ht="15" hidden="false" customHeight="false" outlineLevel="0" collapsed="false">
      <c r="A557" s="7" t="s">
        <v>82</v>
      </c>
      <c r="B557" s="7" t="s">
        <v>83</v>
      </c>
      <c r="C557" s="7" t="s">
        <v>49</v>
      </c>
      <c r="D557" s="7" t="s">
        <v>103</v>
      </c>
      <c r="E557" s="7" t="s">
        <v>91</v>
      </c>
      <c r="F557" s="8" t="b">
        <f aca="false">TRUE()</f>
        <v>1</v>
      </c>
      <c r="G557" s="7" t="s">
        <v>65</v>
      </c>
      <c r="H557" s="7" t="s">
        <v>66</v>
      </c>
      <c r="I557" s="7" t="s">
        <v>54</v>
      </c>
      <c r="J557" s="9" t="n">
        <v>13.2051963839698</v>
      </c>
      <c r="K557" s="9" t="n">
        <v>13.4961910182086</v>
      </c>
      <c r="L557" s="10" t="n">
        <f aca="false">K557-J557</f>
        <v>0.29099463423881</v>
      </c>
      <c r="M557" s="10" t="n">
        <f aca="false">IF(I557="higher",L557,-L557)</f>
        <v>-0.29099463423881</v>
      </c>
    </row>
    <row r="558" customFormat="false" ht="15" hidden="false" customHeight="false" outlineLevel="0" collapsed="false">
      <c r="A558" s="7" t="s">
        <v>82</v>
      </c>
      <c r="B558" s="7" t="s">
        <v>83</v>
      </c>
      <c r="C558" s="7" t="s">
        <v>49</v>
      </c>
      <c r="D558" s="7" t="s">
        <v>103</v>
      </c>
      <c r="E558" s="7" t="s">
        <v>91</v>
      </c>
      <c r="F558" s="8" t="b">
        <f aca="false">TRUE()</f>
        <v>1</v>
      </c>
      <c r="G558" s="7" t="s">
        <v>67</v>
      </c>
      <c r="H558" s="7" t="s">
        <v>68</v>
      </c>
      <c r="I558" s="7" t="s">
        <v>54</v>
      </c>
      <c r="J558" s="9" t="n">
        <v>20.1769013884953</v>
      </c>
      <c r="K558" s="9" t="n">
        <v>19.954098786505</v>
      </c>
      <c r="L558" s="10" t="n">
        <f aca="false">K558-J558</f>
        <v>-0.222802601990342</v>
      </c>
      <c r="M558" s="10" t="n">
        <f aca="false">IF(I558="higher",L558,-L558)</f>
        <v>0.222802601990342</v>
      </c>
    </row>
    <row r="559" customFormat="false" ht="15" hidden="false" customHeight="false" outlineLevel="0" collapsed="false">
      <c r="A559" s="7" t="s">
        <v>82</v>
      </c>
      <c r="B559" s="7" t="s">
        <v>83</v>
      </c>
      <c r="C559" s="7" t="s">
        <v>49</v>
      </c>
      <c r="D559" s="7" t="s">
        <v>103</v>
      </c>
      <c r="E559" s="7" t="s">
        <v>91</v>
      </c>
      <c r="F559" s="8" t="b">
        <f aca="false">TRUE()</f>
        <v>1</v>
      </c>
      <c r="G559" s="7" t="s">
        <v>69</v>
      </c>
      <c r="H559" s="7" t="s">
        <v>70</v>
      </c>
      <c r="I559" s="7" t="s">
        <v>71</v>
      </c>
      <c r="J559" s="9" t="n">
        <v>0.419354838709677</v>
      </c>
      <c r="K559" s="9" t="n">
        <v>0.580645161290323</v>
      </c>
      <c r="L559" s="10" t="n">
        <f aca="false">K559-J559</f>
        <v>0.161290322580645</v>
      </c>
      <c r="M559" s="10" t="n">
        <f aca="false">IF(I559="higher",L559,-L559)</f>
        <v>0.161290322580645</v>
      </c>
    </row>
    <row r="560" customFormat="false" ht="15" hidden="false" customHeight="false" outlineLevel="0" collapsed="false">
      <c r="A560" s="7" t="s">
        <v>82</v>
      </c>
      <c r="B560" s="7" t="s">
        <v>83</v>
      </c>
      <c r="C560" s="7" t="s">
        <v>49</v>
      </c>
      <c r="D560" s="7" t="s">
        <v>103</v>
      </c>
      <c r="E560" s="7" t="s">
        <v>91</v>
      </c>
      <c r="F560" s="8" t="b">
        <f aca="false">TRUE()</f>
        <v>1</v>
      </c>
      <c r="G560" s="7" t="s">
        <v>72</v>
      </c>
      <c r="H560" s="7" t="s">
        <v>73</v>
      </c>
      <c r="I560" s="7" t="s">
        <v>71</v>
      </c>
      <c r="J560" s="9" t="n">
        <v>0.580645161290323</v>
      </c>
      <c r="K560" s="9" t="n">
        <v>0.806451612903226</v>
      </c>
      <c r="L560" s="10" t="n">
        <f aca="false">K560-J560</f>
        <v>0.225806451612903</v>
      </c>
      <c r="M560" s="10" t="n">
        <f aca="false">IF(I560="higher",L560,-L560)</f>
        <v>0.225806451612903</v>
      </c>
    </row>
    <row r="561" customFormat="false" ht="15" hidden="false" customHeight="false" outlineLevel="0" collapsed="false">
      <c r="A561" s="7" t="s">
        <v>82</v>
      </c>
      <c r="B561" s="7" t="s">
        <v>83</v>
      </c>
      <c r="C561" s="7" t="s">
        <v>49</v>
      </c>
      <c r="D561" s="7" t="s">
        <v>103</v>
      </c>
      <c r="E561" s="7" t="s">
        <v>91</v>
      </c>
      <c r="F561" s="8" t="b">
        <f aca="false">TRUE()</f>
        <v>1</v>
      </c>
      <c r="G561" s="7" t="s">
        <v>74</v>
      </c>
      <c r="H561" s="7" t="s">
        <v>75</v>
      </c>
      <c r="I561" s="7" t="s">
        <v>54</v>
      </c>
      <c r="J561" s="9" t="n">
        <v>0</v>
      </c>
      <c r="K561" s="9" t="n">
        <v>0.0344827586206896</v>
      </c>
      <c r="L561" s="10" t="n">
        <f aca="false">K561-J561</f>
        <v>0.0344827586206896</v>
      </c>
      <c r="M561" s="10" t="n">
        <f aca="false">IF(I561="higher",L561,-L561)</f>
        <v>-0.0344827586206896</v>
      </c>
    </row>
    <row r="562" customFormat="false" ht="15" hidden="false" customHeight="false" outlineLevel="0" collapsed="false">
      <c r="A562" s="7" t="s">
        <v>82</v>
      </c>
      <c r="B562" s="7" t="s">
        <v>83</v>
      </c>
      <c r="C562" s="7" t="s">
        <v>49</v>
      </c>
      <c r="D562" s="7" t="s">
        <v>103</v>
      </c>
      <c r="E562" s="7" t="s">
        <v>91</v>
      </c>
      <c r="F562" s="8" t="b">
        <f aca="false">TRUE()</f>
        <v>1</v>
      </c>
      <c r="G562" s="7" t="s">
        <v>76</v>
      </c>
      <c r="H562" s="7" t="s">
        <v>77</v>
      </c>
      <c r="I562" s="7" t="s">
        <v>54</v>
      </c>
      <c r="J562" s="9" t="n">
        <v>0.0934579439252336</v>
      </c>
      <c r="K562" s="9" t="n">
        <v>0.130841121495327</v>
      </c>
      <c r="L562" s="10" t="n">
        <f aca="false">K562-J562</f>
        <v>0.0373831775700934</v>
      </c>
      <c r="M562" s="10" t="n">
        <f aca="false">IF(I562="higher",L562,-L562)</f>
        <v>-0.0373831775700934</v>
      </c>
    </row>
    <row r="563" customFormat="false" ht="15" hidden="false" customHeight="false" outlineLevel="0" collapsed="false">
      <c r="A563" s="7" t="s">
        <v>82</v>
      </c>
      <c r="B563" s="7" t="s">
        <v>83</v>
      </c>
      <c r="C563" s="7" t="s">
        <v>49</v>
      </c>
      <c r="D563" s="7" t="s">
        <v>103</v>
      </c>
      <c r="E563" s="7" t="s">
        <v>91</v>
      </c>
      <c r="F563" s="8" t="b">
        <f aca="false">TRUE()</f>
        <v>1</v>
      </c>
      <c r="G563" s="7" t="s">
        <v>78</v>
      </c>
      <c r="H563" s="7" t="s">
        <v>79</v>
      </c>
      <c r="I563" s="7" t="s">
        <v>54</v>
      </c>
      <c r="J563" s="9" t="n">
        <v>0</v>
      </c>
      <c r="K563" s="9" t="n">
        <v>0</v>
      </c>
      <c r="L563" s="10" t="n">
        <f aca="false">K563-J563</f>
        <v>0</v>
      </c>
      <c r="M563" s="10" t="n">
        <f aca="false">IF(I563="higher",L563,-L563)</f>
        <v>-0</v>
      </c>
    </row>
    <row r="564" customFormat="false" ht="15" hidden="false" customHeight="false" outlineLevel="0" collapsed="false">
      <c r="A564" s="7" t="s">
        <v>82</v>
      </c>
      <c r="B564" s="7" t="s">
        <v>83</v>
      </c>
      <c r="C564" s="7" t="s">
        <v>49</v>
      </c>
      <c r="D564" s="7" t="s">
        <v>103</v>
      </c>
      <c r="E564" s="7" t="s">
        <v>91</v>
      </c>
      <c r="F564" s="8" t="b">
        <f aca="false">TRUE()</f>
        <v>1</v>
      </c>
      <c r="G564" s="7" t="s">
        <v>80</v>
      </c>
      <c r="H564" s="7" t="s">
        <v>81</v>
      </c>
      <c r="I564" s="7" t="s">
        <v>54</v>
      </c>
      <c r="J564" s="9" t="n">
        <v>0</v>
      </c>
      <c r="K564" s="9" t="n">
        <v>0</v>
      </c>
      <c r="L564" s="10" t="n">
        <f aca="false">K564-J564</f>
        <v>0</v>
      </c>
      <c r="M564" s="10" t="n">
        <f aca="false">IF(I564="higher",L564,-L564)</f>
        <v>-0</v>
      </c>
    </row>
    <row r="565" customFormat="false" ht="15" hidden="false" customHeight="false" outlineLevel="0" collapsed="false">
      <c r="A565" s="7" t="s">
        <v>48</v>
      </c>
      <c r="B565" s="7" t="s">
        <v>10</v>
      </c>
      <c r="C565" s="7" t="s">
        <v>49</v>
      </c>
      <c r="D565" s="7" t="s">
        <v>104</v>
      </c>
      <c r="E565" s="7" t="s">
        <v>51</v>
      </c>
      <c r="F565" s="8" t="b">
        <f aca="false">TRUE()</f>
        <v>1</v>
      </c>
      <c r="G565" s="7" t="s">
        <v>52</v>
      </c>
      <c r="H565" s="7" t="s">
        <v>53</v>
      </c>
      <c r="I565" s="7" t="s">
        <v>54</v>
      </c>
      <c r="J565" s="9" t="n">
        <v>3.09333093954172</v>
      </c>
      <c r="K565" s="9" t="n">
        <v>2.27398589688962</v>
      </c>
      <c r="L565" s="10" t="n">
        <f aca="false">K565-J565</f>
        <v>-0.8193450426521</v>
      </c>
      <c r="M565" s="10" t="n">
        <f aca="false">IF(I565="higher",L565,-L565)</f>
        <v>0.8193450426521</v>
      </c>
    </row>
    <row r="566" customFormat="false" ht="15" hidden="false" customHeight="false" outlineLevel="0" collapsed="false">
      <c r="A566" s="7" t="s">
        <v>48</v>
      </c>
      <c r="B566" s="7" t="s">
        <v>10</v>
      </c>
      <c r="C566" s="7" t="s">
        <v>49</v>
      </c>
      <c r="D566" s="7" t="s">
        <v>104</v>
      </c>
      <c r="E566" s="7" t="s">
        <v>51</v>
      </c>
      <c r="F566" s="8" t="b">
        <f aca="false">TRUE()</f>
        <v>1</v>
      </c>
      <c r="G566" s="7" t="s">
        <v>55</v>
      </c>
      <c r="H566" s="7" t="s">
        <v>56</v>
      </c>
      <c r="I566" s="7" t="s">
        <v>54</v>
      </c>
      <c r="J566" s="9" t="n">
        <v>8.1051216236168</v>
      </c>
      <c r="K566" s="9" t="n">
        <v>8.57530613221527</v>
      </c>
      <c r="L566" s="10" t="n">
        <f aca="false">K566-J566</f>
        <v>0.470184508598466</v>
      </c>
      <c r="M566" s="10" t="n">
        <f aca="false">IF(I566="higher",L566,-L566)</f>
        <v>-0.470184508598466</v>
      </c>
    </row>
    <row r="567" customFormat="false" ht="15" hidden="false" customHeight="false" outlineLevel="0" collapsed="false">
      <c r="A567" s="7" t="s">
        <v>48</v>
      </c>
      <c r="B567" s="7" t="s">
        <v>10</v>
      </c>
      <c r="C567" s="7" t="s">
        <v>49</v>
      </c>
      <c r="D567" s="7" t="s">
        <v>104</v>
      </c>
      <c r="E567" s="7" t="s">
        <v>51</v>
      </c>
      <c r="F567" s="8" t="b">
        <f aca="false">TRUE()</f>
        <v>1</v>
      </c>
      <c r="G567" s="7" t="s">
        <v>57</v>
      </c>
      <c r="H567" s="7" t="s">
        <v>58</v>
      </c>
      <c r="I567" s="7" t="s">
        <v>54</v>
      </c>
      <c r="J567" s="9" t="n">
        <v>6.29926977451711</v>
      </c>
      <c r="K567" s="9" t="n">
        <v>6.37921176956997</v>
      </c>
      <c r="L567" s="10" t="n">
        <f aca="false">K567-J567</f>
        <v>0.0799419950528595</v>
      </c>
      <c r="M567" s="10" t="n">
        <f aca="false">IF(I567="higher",L567,-L567)</f>
        <v>-0.0799419950528595</v>
      </c>
    </row>
    <row r="568" customFormat="false" ht="15" hidden="false" customHeight="false" outlineLevel="0" collapsed="false">
      <c r="A568" s="7" t="s">
        <v>48</v>
      </c>
      <c r="B568" s="7" t="s">
        <v>10</v>
      </c>
      <c r="C568" s="7" t="s">
        <v>49</v>
      </c>
      <c r="D568" s="7" t="s">
        <v>104</v>
      </c>
      <c r="E568" s="7" t="s">
        <v>51</v>
      </c>
      <c r="F568" s="8" t="b">
        <f aca="false">TRUE()</f>
        <v>1</v>
      </c>
      <c r="G568" s="7" t="s">
        <v>59</v>
      </c>
      <c r="H568" s="7" t="s">
        <v>60</v>
      </c>
      <c r="I568" s="7" t="s">
        <v>54</v>
      </c>
      <c r="J568" s="9" t="n">
        <v>0.0593891969013539</v>
      </c>
      <c r="K568" s="9" t="n">
        <v>0.0612851071987649</v>
      </c>
      <c r="L568" s="10" t="n">
        <f aca="false">K568-J568</f>
        <v>0.00189591029741108</v>
      </c>
      <c r="M568" s="10" t="n">
        <f aca="false">IF(I568="higher",L568,-L568)</f>
        <v>-0.00189591029741108</v>
      </c>
    </row>
    <row r="569" customFormat="false" ht="15" hidden="false" customHeight="false" outlineLevel="0" collapsed="false">
      <c r="A569" s="7" t="s">
        <v>48</v>
      </c>
      <c r="B569" s="7" t="s">
        <v>10</v>
      </c>
      <c r="C569" s="7" t="s">
        <v>49</v>
      </c>
      <c r="D569" s="7" t="s">
        <v>104</v>
      </c>
      <c r="E569" s="7" t="s">
        <v>51</v>
      </c>
      <c r="F569" s="8" t="b">
        <f aca="false">TRUE()</f>
        <v>1</v>
      </c>
      <c r="G569" s="7" t="s">
        <v>61</v>
      </c>
      <c r="H569" s="7" t="s">
        <v>62</v>
      </c>
      <c r="I569" s="7" t="s">
        <v>54</v>
      </c>
      <c r="J569" s="9" t="n">
        <v>12.1401561054665</v>
      </c>
      <c r="K569" s="9" t="n">
        <v>13.3057275039933</v>
      </c>
      <c r="L569" s="10" t="n">
        <f aca="false">K569-J569</f>
        <v>1.16557139852676</v>
      </c>
      <c r="M569" s="10" t="n">
        <f aca="false">IF(I569="higher",L569,-L569)</f>
        <v>-1.16557139852676</v>
      </c>
    </row>
    <row r="570" customFormat="false" ht="15" hidden="false" customHeight="false" outlineLevel="0" collapsed="false">
      <c r="A570" s="7" t="s">
        <v>48</v>
      </c>
      <c r="B570" s="7" t="s">
        <v>10</v>
      </c>
      <c r="C570" s="7" t="s">
        <v>49</v>
      </c>
      <c r="D570" s="7" t="s">
        <v>104</v>
      </c>
      <c r="E570" s="7" t="s">
        <v>51</v>
      </c>
      <c r="F570" s="8" t="b">
        <f aca="false">TRUE()</f>
        <v>1</v>
      </c>
      <c r="G570" s="7" t="s">
        <v>63</v>
      </c>
      <c r="H570" s="7" t="s">
        <v>64</v>
      </c>
      <c r="I570" s="7" t="s">
        <v>54</v>
      </c>
      <c r="J570" s="9" t="n">
        <v>4.92948696897005</v>
      </c>
      <c r="K570" s="9" t="n">
        <v>4.63843354991481</v>
      </c>
      <c r="L570" s="10" t="n">
        <f aca="false">K570-J570</f>
        <v>-0.291053419055237</v>
      </c>
      <c r="M570" s="10" t="n">
        <f aca="false">IF(I570="higher",L570,-L570)</f>
        <v>0.291053419055237</v>
      </c>
    </row>
    <row r="571" customFormat="false" ht="15" hidden="false" customHeight="false" outlineLevel="0" collapsed="false">
      <c r="A571" s="7" t="s">
        <v>48</v>
      </c>
      <c r="B571" s="7" t="s">
        <v>10</v>
      </c>
      <c r="C571" s="7" t="s">
        <v>49</v>
      </c>
      <c r="D571" s="7" t="s">
        <v>104</v>
      </c>
      <c r="E571" s="7" t="s">
        <v>51</v>
      </c>
      <c r="F571" s="8" t="b">
        <f aca="false">TRUE()</f>
        <v>1</v>
      </c>
      <c r="G571" s="7" t="s">
        <v>65</v>
      </c>
      <c r="H571" s="7" t="s">
        <v>66</v>
      </c>
      <c r="I571" s="7" t="s">
        <v>54</v>
      </c>
      <c r="J571" s="9" t="n">
        <v>12.764208216427</v>
      </c>
      <c r="K571" s="9" t="n">
        <v>13.7570438655217</v>
      </c>
      <c r="L571" s="10" t="n">
        <f aca="false">K571-J571</f>
        <v>0.99283564909468</v>
      </c>
      <c r="M571" s="10" t="n">
        <f aca="false">IF(I571="higher",L571,-L571)</f>
        <v>-0.99283564909468</v>
      </c>
    </row>
    <row r="572" customFormat="false" ht="15" hidden="false" customHeight="false" outlineLevel="0" collapsed="false">
      <c r="A572" s="7" t="s">
        <v>48</v>
      </c>
      <c r="B572" s="7" t="s">
        <v>10</v>
      </c>
      <c r="C572" s="7" t="s">
        <v>49</v>
      </c>
      <c r="D572" s="7" t="s">
        <v>104</v>
      </c>
      <c r="E572" s="7" t="s">
        <v>51</v>
      </c>
      <c r="F572" s="8" t="b">
        <f aca="false">TRUE()</f>
        <v>1</v>
      </c>
      <c r="G572" s="7" t="s">
        <v>67</v>
      </c>
      <c r="H572" s="7" t="s">
        <v>68</v>
      </c>
      <c r="I572" s="7" t="s">
        <v>54</v>
      </c>
      <c r="J572" s="9" t="n">
        <v>13.4762712569266</v>
      </c>
      <c r="K572" s="9" t="n">
        <v>14.0946627611808</v>
      </c>
      <c r="L572" s="10" t="n">
        <f aca="false">K572-J572</f>
        <v>0.618391504254261</v>
      </c>
      <c r="M572" s="10" t="n">
        <f aca="false">IF(I572="higher",L572,-L572)</f>
        <v>-0.618391504254261</v>
      </c>
    </row>
    <row r="573" customFormat="false" ht="15" hidden="false" customHeight="false" outlineLevel="0" collapsed="false">
      <c r="A573" s="7" t="s">
        <v>48</v>
      </c>
      <c r="B573" s="7" t="s">
        <v>10</v>
      </c>
      <c r="C573" s="7" t="s">
        <v>49</v>
      </c>
      <c r="D573" s="7" t="s">
        <v>104</v>
      </c>
      <c r="E573" s="7" t="s">
        <v>51</v>
      </c>
      <c r="F573" s="8" t="b">
        <f aca="false">TRUE()</f>
        <v>1</v>
      </c>
      <c r="G573" s="7" t="s">
        <v>69</v>
      </c>
      <c r="H573" s="7" t="s">
        <v>70</v>
      </c>
      <c r="I573" s="7" t="s">
        <v>71</v>
      </c>
      <c r="J573" s="9" t="n">
        <v>0.6875</v>
      </c>
      <c r="K573" s="9" t="n">
        <v>0.7</v>
      </c>
      <c r="L573" s="10" t="n">
        <f aca="false">K573-J573</f>
        <v>0.0125</v>
      </c>
      <c r="M573" s="10" t="n">
        <f aca="false">IF(I573="higher",L573,-L573)</f>
        <v>0.0125</v>
      </c>
    </row>
    <row r="574" customFormat="false" ht="15" hidden="false" customHeight="false" outlineLevel="0" collapsed="false">
      <c r="A574" s="7" t="s">
        <v>48</v>
      </c>
      <c r="B574" s="7" t="s">
        <v>10</v>
      </c>
      <c r="C574" s="7" t="s">
        <v>49</v>
      </c>
      <c r="D574" s="7" t="s">
        <v>104</v>
      </c>
      <c r="E574" s="7" t="s">
        <v>51</v>
      </c>
      <c r="F574" s="8" t="b">
        <f aca="false">TRUE()</f>
        <v>1</v>
      </c>
      <c r="G574" s="7" t="s">
        <v>72</v>
      </c>
      <c r="H574" s="7" t="s">
        <v>73</v>
      </c>
      <c r="I574" s="7" t="s">
        <v>71</v>
      </c>
      <c r="J574" s="9" t="n">
        <v>0.725</v>
      </c>
      <c r="K574" s="9" t="n">
        <v>0.7375</v>
      </c>
      <c r="L574" s="10" t="n">
        <f aca="false">K574-J574</f>
        <v>0.0125000000000001</v>
      </c>
      <c r="M574" s="10" t="n">
        <f aca="false">IF(I574="higher",L574,-L574)</f>
        <v>0.0125000000000001</v>
      </c>
    </row>
    <row r="575" customFormat="false" ht="15" hidden="false" customHeight="false" outlineLevel="0" collapsed="false">
      <c r="A575" s="7" t="s">
        <v>48</v>
      </c>
      <c r="B575" s="7" t="s">
        <v>10</v>
      </c>
      <c r="C575" s="7" t="s">
        <v>49</v>
      </c>
      <c r="D575" s="7" t="s">
        <v>104</v>
      </c>
      <c r="E575" s="7" t="s">
        <v>51</v>
      </c>
      <c r="F575" s="8" t="b">
        <f aca="false">TRUE()</f>
        <v>1</v>
      </c>
      <c r="G575" s="7" t="s">
        <v>74</v>
      </c>
      <c r="H575" s="7" t="s">
        <v>75</v>
      </c>
      <c r="I575" s="7" t="s">
        <v>54</v>
      </c>
      <c r="J575" s="9" t="n">
        <v>0.238095238095238</v>
      </c>
      <c r="K575" s="9" t="n">
        <v>0.0952380952380952</v>
      </c>
      <c r="L575" s="10" t="n">
        <f aca="false">K575-J575</f>
        <v>-0.142857142857143</v>
      </c>
      <c r="M575" s="10" t="n">
        <f aca="false">IF(I575="higher",L575,-L575)</f>
        <v>0.142857142857143</v>
      </c>
    </row>
    <row r="576" customFormat="false" ht="15" hidden="false" customHeight="false" outlineLevel="0" collapsed="false">
      <c r="A576" s="7" t="s">
        <v>48</v>
      </c>
      <c r="B576" s="7" t="s">
        <v>10</v>
      </c>
      <c r="C576" s="7" t="s">
        <v>49</v>
      </c>
      <c r="D576" s="7" t="s">
        <v>104</v>
      </c>
      <c r="E576" s="7" t="s">
        <v>51</v>
      </c>
      <c r="F576" s="8" t="b">
        <f aca="false">TRUE()</f>
        <v>1</v>
      </c>
      <c r="G576" s="7" t="s">
        <v>76</v>
      </c>
      <c r="H576" s="7" t="s">
        <v>77</v>
      </c>
      <c r="I576" s="7" t="s">
        <v>54</v>
      </c>
      <c r="J576" s="9" t="n">
        <v>0.0256410256410256</v>
      </c>
      <c r="K576" s="9" t="n">
        <v>0.0256410256410256</v>
      </c>
      <c r="L576" s="10" t="n">
        <f aca="false">K576-J576</f>
        <v>0</v>
      </c>
      <c r="M576" s="10" t="n">
        <f aca="false">IF(I576="higher",L576,-L576)</f>
        <v>-0</v>
      </c>
    </row>
    <row r="577" customFormat="false" ht="15" hidden="false" customHeight="false" outlineLevel="0" collapsed="false">
      <c r="A577" s="7" t="s">
        <v>48</v>
      </c>
      <c r="B577" s="7" t="s">
        <v>10</v>
      </c>
      <c r="C577" s="7" t="s">
        <v>49</v>
      </c>
      <c r="D577" s="7" t="s">
        <v>104</v>
      </c>
      <c r="E577" s="7" t="s">
        <v>51</v>
      </c>
      <c r="F577" s="8" t="b">
        <f aca="false">TRUE()</f>
        <v>1</v>
      </c>
      <c r="G577" s="7" t="s">
        <v>78</v>
      </c>
      <c r="H577" s="7" t="s">
        <v>79</v>
      </c>
      <c r="I577" s="7" t="s">
        <v>54</v>
      </c>
      <c r="J577" s="9" t="n">
        <v>0.153846153846154</v>
      </c>
      <c r="K577" s="9" t="n">
        <v>0.094017094017094</v>
      </c>
      <c r="L577" s="10" t="n">
        <f aca="false">K577-J577</f>
        <v>-0.0598290598290599</v>
      </c>
      <c r="M577" s="10" t="n">
        <f aca="false">IF(I577="higher",L577,-L577)</f>
        <v>0.0598290598290599</v>
      </c>
    </row>
    <row r="578" customFormat="false" ht="15" hidden="false" customHeight="false" outlineLevel="0" collapsed="false">
      <c r="A578" s="7" t="s">
        <v>48</v>
      </c>
      <c r="B578" s="7" t="s">
        <v>10</v>
      </c>
      <c r="C578" s="7" t="s">
        <v>49</v>
      </c>
      <c r="D578" s="7" t="s">
        <v>104</v>
      </c>
      <c r="E578" s="7" t="s">
        <v>51</v>
      </c>
      <c r="F578" s="8" t="b">
        <f aca="false">TRUE()</f>
        <v>1</v>
      </c>
      <c r="G578" s="7" t="s">
        <v>80</v>
      </c>
      <c r="H578" s="7" t="s">
        <v>81</v>
      </c>
      <c r="I578" s="7" t="s">
        <v>54</v>
      </c>
      <c r="J578" s="9" t="n">
        <v>0</v>
      </c>
      <c r="K578" s="9" t="n">
        <v>0</v>
      </c>
      <c r="L578" s="10" t="n">
        <f aca="false">K578-J578</f>
        <v>0</v>
      </c>
      <c r="M578" s="10" t="n">
        <f aca="false">IF(I578="higher",L578,-L578)</f>
        <v>-0</v>
      </c>
    </row>
    <row r="579" customFormat="false" ht="15" hidden="false" customHeight="false" outlineLevel="0" collapsed="false">
      <c r="A579" s="7" t="s">
        <v>82</v>
      </c>
      <c r="B579" s="7" t="s">
        <v>83</v>
      </c>
      <c r="C579" s="7" t="s">
        <v>49</v>
      </c>
      <c r="D579" s="7" t="s">
        <v>104</v>
      </c>
      <c r="E579" s="7" t="s">
        <v>51</v>
      </c>
      <c r="F579" s="8" t="b">
        <f aca="false">TRUE()</f>
        <v>1</v>
      </c>
      <c r="G579" s="7" t="s">
        <v>52</v>
      </c>
      <c r="H579" s="7" t="s">
        <v>53</v>
      </c>
      <c r="I579" s="7" t="s">
        <v>54</v>
      </c>
      <c r="J579" s="9" t="n">
        <v>4.95913508646595</v>
      </c>
      <c r="K579" s="9" t="n">
        <v>2.27398589688962</v>
      </c>
      <c r="L579" s="10" t="n">
        <f aca="false">K579-J579</f>
        <v>-2.68514918957633</v>
      </c>
      <c r="M579" s="10" t="n">
        <f aca="false">IF(I579="higher",L579,-L579)</f>
        <v>2.68514918957633</v>
      </c>
    </row>
    <row r="580" customFormat="false" ht="15" hidden="false" customHeight="false" outlineLevel="0" collapsed="false">
      <c r="A580" s="7" t="s">
        <v>82</v>
      </c>
      <c r="B580" s="7" t="s">
        <v>83</v>
      </c>
      <c r="C580" s="7" t="s">
        <v>49</v>
      </c>
      <c r="D580" s="7" t="s">
        <v>104</v>
      </c>
      <c r="E580" s="7" t="s">
        <v>51</v>
      </c>
      <c r="F580" s="8" t="b">
        <f aca="false">TRUE()</f>
        <v>1</v>
      </c>
      <c r="G580" s="7" t="s">
        <v>55</v>
      </c>
      <c r="H580" s="7" t="s">
        <v>56</v>
      </c>
      <c r="I580" s="7" t="s">
        <v>54</v>
      </c>
      <c r="J580" s="9" t="n">
        <v>9.9834744344542</v>
      </c>
      <c r="K580" s="9" t="n">
        <v>8.57530613221527</v>
      </c>
      <c r="L580" s="10" t="n">
        <f aca="false">K580-J580</f>
        <v>-1.40816830223893</v>
      </c>
      <c r="M580" s="10" t="n">
        <f aca="false">IF(I580="higher",L580,-L580)</f>
        <v>1.40816830223893</v>
      </c>
    </row>
    <row r="581" customFormat="false" ht="15" hidden="false" customHeight="false" outlineLevel="0" collapsed="false">
      <c r="A581" s="7" t="s">
        <v>82</v>
      </c>
      <c r="B581" s="7" t="s">
        <v>83</v>
      </c>
      <c r="C581" s="7" t="s">
        <v>49</v>
      </c>
      <c r="D581" s="7" t="s">
        <v>104</v>
      </c>
      <c r="E581" s="7" t="s">
        <v>51</v>
      </c>
      <c r="F581" s="8" t="b">
        <f aca="false">TRUE()</f>
        <v>1</v>
      </c>
      <c r="G581" s="7" t="s">
        <v>57</v>
      </c>
      <c r="H581" s="7" t="s">
        <v>58</v>
      </c>
      <c r="I581" s="7" t="s">
        <v>54</v>
      </c>
      <c r="J581" s="9" t="n">
        <v>25.3973238289444</v>
      </c>
      <c r="K581" s="9" t="n">
        <v>6.37921176956997</v>
      </c>
      <c r="L581" s="10" t="n">
        <f aca="false">K581-J581</f>
        <v>-19.0181120593744</v>
      </c>
      <c r="M581" s="10" t="n">
        <f aca="false">IF(I581="higher",L581,-L581)</f>
        <v>19.0181120593744</v>
      </c>
    </row>
    <row r="582" customFormat="false" ht="15" hidden="false" customHeight="false" outlineLevel="0" collapsed="false">
      <c r="A582" s="7" t="s">
        <v>82</v>
      </c>
      <c r="B582" s="7" t="s">
        <v>83</v>
      </c>
      <c r="C582" s="7" t="s">
        <v>49</v>
      </c>
      <c r="D582" s="7" t="s">
        <v>104</v>
      </c>
      <c r="E582" s="7" t="s">
        <v>51</v>
      </c>
      <c r="F582" s="8" t="b">
        <f aca="false">TRUE()</f>
        <v>1</v>
      </c>
      <c r="G582" s="7" t="s">
        <v>59</v>
      </c>
      <c r="H582" s="7" t="s">
        <v>60</v>
      </c>
      <c r="I582" s="7" t="s">
        <v>54</v>
      </c>
      <c r="J582" s="9" t="n">
        <v>0.110056849519669</v>
      </c>
      <c r="K582" s="9" t="n">
        <v>0.0612851071987649</v>
      </c>
      <c r="L582" s="10" t="n">
        <f aca="false">K582-J582</f>
        <v>-0.0487717423209041</v>
      </c>
      <c r="M582" s="10" t="n">
        <f aca="false">IF(I582="higher",L582,-L582)</f>
        <v>0.0487717423209041</v>
      </c>
    </row>
    <row r="583" customFormat="false" ht="15" hidden="false" customHeight="false" outlineLevel="0" collapsed="false">
      <c r="A583" s="7" t="s">
        <v>82</v>
      </c>
      <c r="B583" s="7" t="s">
        <v>83</v>
      </c>
      <c r="C583" s="7" t="s">
        <v>49</v>
      </c>
      <c r="D583" s="7" t="s">
        <v>104</v>
      </c>
      <c r="E583" s="7" t="s">
        <v>51</v>
      </c>
      <c r="F583" s="8" t="b">
        <f aca="false">TRUE()</f>
        <v>1</v>
      </c>
      <c r="G583" s="7" t="s">
        <v>61</v>
      </c>
      <c r="H583" s="7" t="s">
        <v>62</v>
      </c>
      <c r="I583" s="7" t="s">
        <v>54</v>
      </c>
      <c r="J583" s="9" t="n">
        <v>14.6451073108329</v>
      </c>
      <c r="K583" s="9" t="n">
        <v>13.3057275039933</v>
      </c>
      <c r="L583" s="10" t="n">
        <f aca="false">K583-J583</f>
        <v>-1.33937980683967</v>
      </c>
      <c r="M583" s="10" t="n">
        <f aca="false">IF(I583="higher",L583,-L583)</f>
        <v>1.33937980683967</v>
      </c>
    </row>
    <row r="584" customFormat="false" ht="15" hidden="false" customHeight="false" outlineLevel="0" collapsed="false">
      <c r="A584" s="7" t="s">
        <v>82</v>
      </c>
      <c r="B584" s="7" t="s">
        <v>83</v>
      </c>
      <c r="C584" s="7" t="s">
        <v>49</v>
      </c>
      <c r="D584" s="7" t="s">
        <v>104</v>
      </c>
      <c r="E584" s="7" t="s">
        <v>51</v>
      </c>
      <c r="F584" s="8" t="b">
        <f aca="false">TRUE()</f>
        <v>1</v>
      </c>
      <c r="G584" s="7" t="s">
        <v>63</v>
      </c>
      <c r="H584" s="7" t="s">
        <v>64</v>
      </c>
      <c r="I584" s="7" t="s">
        <v>54</v>
      </c>
      <c r="J584" s="9" t="n">
        <v>5.95419130748935</v>
      </c>
      <c r="K584" s="9" t="n">
        <v>4.63843354991481</v>
      </c>
      <c r="L584" s="10" t="n">
        <f aca="false">K584-J584</f>
        <v>-1.31575775757454</v>
      </c>
      <c r="M584" s="10" t="n">
        <f aca="false">IF(I584="higher",L584,-L584)</f>
        <v>1.31575775757454</v>
      </c>
    </row>
    <row r="585" customFormat="false" ht="15" hidden="false" customHeight="false" outlineLevel="0" collapsed="false">
      <c r="A585" s="7" t="s">
        <v>82</v>
      </c>
      <c r="B585" s="7" t="s">
        <v>83</v>
      </c>
      <c r="C585" s="7" t="s">
        <v>49</v>
      </c>
      <c r="D585" s="7" t="s">
        <v>104</v>
      </c>
      <c r="E585" s="7" t="s">
        <v>51</v>
      </c>
      <c r="F585" s="8" t="b">
        <f aca="false">TRUE()</f>
        <v>1</v>
      </c>
      <c r="G585" s="7" t="s">
        <v>65</v>
      </c>
      <c r="H585" s="7" t="s">
        <v>66</v>
      </c>
      <c r="I585" s="7" t="s">
        <v>54</v>
      </c>
      <c r="J585" s="9" t="n">
        <v>12.8438341333475</v>
      </c>
      <c r="K585" s="9" t="n">
        <v>13.7570438655217</v>
      </c>
      <c r="L585" s="10" t="n">
        <f aca="false">K585-J585</f>
        <v>0.91320973217419</v>
      </c>
      <c r="M585" s="10" t="n">
        <f aca="false">IF(I585="higher",L585,-L585)</f>
        <v>-0.91320973217419</v>
      </c>
    </row>
    <row r="586" customFormat="false" ht="15" hidden="false" customHeight="false" outlineLevel="0" collapsed="false">
      <c r="A586" s="7" t="s">
        <v>82</v>
      </c>
      <c r="B586" s="7" t="s">
        <v>83</v>
      </c>
      <c r="C586" s="7" t="s">
        <v>49</v>
      </c>
      <c r="D586" s="7" t="s">
        <v>104</v>
      </c>
      <c r="E586" s="7" t="s">
        <v>51</v>
      </c>
      <c r="F586" s="8" t="b">
        <f aca="false">TRUE()</f>
        <v>1</v>
      </c>
      <c r="G586" s="7" t="s">
        <v>67</v>
      </c>
      <c r="H586" s="7" t="s">
        <v>68</v>
      </c>
      <c r="I586" s="7" t="s">
        <v>54</v>
      </c>
      <c r="J586" s="9" t="n">
        <v>25.5133629558968</v>
      </c>
      <c r="K586" s="9" t="n">
        <v>14.0946627611808</v>
      </c>
      <c r="L586" s="10" t="n">
        <f aca="false">K586-J586</f>
        <v>-11.418700194716</v>
      </c>
      <c r="M586" s="10" t="n">
        <f aca="false">IF(I586="higher",L586,-L586)</f>
        <v>11.418700194716</v>
      </c>
    </row>
    <row r="587" customFormat="false" ht="15" hidden="false" customHeight="false" outlineLevel="0" collapsed="false">
      <c r="A587" s="7" t="s">
        <v>82</v>
      </c>
      <c r="B587" s="7" t="s">
        <v>83</v>
      </c>
      <c r="C587" s="7" t="s">
        <v>49</v>
      </c>
      <c r="D587" s="7" t="s">
        <v>104</v>
      </c>
      <c r="E587" s="7" t="s">
        <v>51</v>
      </c>
      <c r="F587" s="8" t="b">
        <f aca="false">TRUE()</f>
        <v>1</v>
      </c>
      <c r="G587" s="7" t="s">
        <v>69</v>
      </c>
      <c r="H587" s="7" t="s">
        <v>70</v>
      </c>
      <c r="I587" s="7" t="s">
        <v>71</v>
      </c>
      <c r="J587" s="9" t="n">
        <v>0.3875</v>
      </c>
      <c r="K587" s="9" t="n">
        <v>0.7</v>
      </c>
      <c r="L587" s="10" t="n">
        <f aca="false">K587-J587</f>
        <v>0.3125</v>
      </c>
      <c r="M587" s="10" t="n">
        <f aca="false">IF(I587="higher",L587,-L587)</f>
        <v>0.3125</v>
      </c>
    </row>
    <row r="588" customFormat="false" ht="15" hidden="false" customHeight="false" outlineLevel="0" collapsed="false">
      <c r="A588" s="7" t="s">
        <v>82</v>
      </c>
      <c r="B588" s="7" t="s">
        <v>83</v>
      </c>
      <c r="C588" s="7" t="s">
        <v>49</v>
      </c>
      <c r="D588" s="7" t="s">
        <v>104</v>
      </c>
      <c r="E588" s="7" t="s">
        <v>51</v>
      </c>
      <c r="F588" s="8" t="b">
        <f aca="false">TRUE()</f>
        <v>1</v>
      </c>
      <c r="G588" s="7" t="s">
        <v>72</v>
      </c>
      <c r="H588" s="7" t="s">
        <v>73</v>
      </c>
      <c r="I588" s="7" t="s">
        <v>71</v>
      </c>
      <c r="J588" s="9" t="n">
        <v>0.4125</v>
      </c>
      <c r="K588" s="9" t="n">
        <v>0.7375</v>
      </c>
      <c r="L588" s="10" t="n">
        <f aca="false">K588-J588</f>
        <v>0.325</v>
      </c>
      <c r="M588" s="10" t="n">
        <f aca="false">IF(I588="higher",L588,-L588)</f>
        <v>0.325</v>
      </c>
    </row>
    <row r="589" customFormat="false" ht="15" hidden="false" customHeight="false" outlineLevel="0" collapsed="false">
      <c r="A589" s="7" t="s">
        <v>82</v>
      </c>
      <c r="B589" s="7" t="s">
        <v>83</v>
      </c>
      <c r="C589" s="7" t="s">
        <v>49</v>
      </c>
      <c r="D589" s="7" t="s">
        <v>104</v>
      </c>
      <c r="E589" s="7" t="s">
        <v>51</v>
      </c>
      <c r="F589" s="8" t="b">
        <f aca="false">TRUE()</f>
        <v>1</v>
      </c>
      <c r="G589" s="7" t="s">
        <v>74</v>
      </c>
      <c r="H589" s="7" t="s">
        <v>75</v>
      </c>
      <c r="I589" s="7" t="s">
        <v>54</v>
      </c>
      <c r="J589" s="9" t="n">
        <v>0.285714285714286</v>
      </c>
      <c r="K589" s="9" t="n">
        <v>0.0952380952380952</v>
      </c>
      <c r="L589" s="10" t="n">
        <f aca="false">K589-J589</f>
        <v>-0.19047619047619</v>
      </c>
      <c r="M589" s="10" t="n">
        <f aca="false">IF(I589="higher",L589,-L589)</f>
        <v>0.19047619047619</v>
      </c>
    </row>
    <row r="590" customFormat="false" ht="15" hidden="false" customHeight="false" outlineLevel="0" collapsed="false">
      <c r="A590" s="7" t="s">
        <v>82</v>
      </c>
      <c r="B590" s="7" t="s">
        <v>83</v>
      </c>
      <c r="C590" s="7" t="s">
        <v>49</v>
      </c>
      <c r="D590" s="7" t="s">
        <v>104</v>
      </c>
      <c r="E590" s="7" t="s">
        <v>51</v>
      </c>
      <c r="F590" s="8" t="b">
        <f aca="false">TRUE()</f>
        <v>1</v>
      </c>
      <c r="G590" s="7" t="s">
        <v>76</v>
      </c>
      <c r="H590" s="7" t="s">
        <v>77</v>
      </c>
      <c r="I590" s="7" t="s">
        <v>54</v>
      </c>
      <c r="J590" s="9" t="n">
        <v>0.0170940170940171</v>
      </c>
      <c r="K590" s="9" t="n">
        <v>0.0256410256410256</v>
      </c>
      <c r="L590" s="10" t="n">
        <f aca="false">K590-J590</f>
        <v>0.00854700854700854</v>
      </c>
      <c r="M590" s="10" t="n">
        <f aca="false">IF(I590="higher",L590,-L590)</f>
        <v>-0.00854700854700854</v>
      </c>
    </row>
    <row r="591" customFormat="false" ht="15" hidden="false" customHeight="false" outlineLevel="0" collapsed="false">
      <c r="A591" s="7" t="s">
        <v>82</v>
      </c>
      <c r="B591" s="7" t="s">
        <v>83</v>
      </c>
      <c r="C591" s="7" t="s">
        <v>49</v>
      </c>
      <c r="D591" s="7" t="s">
        <v>104</v>
      </c>
      <c r="E591" s="7" t="s">
        <v>51</v>
      </c>
      <c r="F591" s="8" t="b">
        <f aca="false">TRUE()</f>
        <v>1</v>
      </c>
      <c r="G591" s="7" t="s">
        <v>78</v>
      </c>
      <c r="H591" s="7" t="s">
        <v>79</v>
      </c>
      <c r="I591" s="7" t="s">
        <v>54</v>
      </c>
      <c r="J591" s="9" t="n">
        <v>0.094017094017094</v>
      </c>
      <c r="K591" s="9" t="n">
        <v>0.094017094017094</v>
      </c>
      <c r="L591" s="10" t="n">
        <f aca="false">K591-J591</f>
        <v>0</v>
      </c>
      <c r="M591" s="10" t="n">
        <f aca="false">IF(I591="higher",L591,-L591)</f>
        <v>-0</v>
      </c>
    </row>
    <row r="592" customFormat="false" ht="15" hidden="false" customHeight="false" outlineLevel="0" collapsed="false">
      <c r="A592" s="7" t="s">
        <v>82</v>
      </c>
      <c r="B592" s="7" t="s">
        <v>83</v>
      </c>
      <c r="C592" s="7" t="s">
        <v>49</v>
      </c>
      <c r="D592" s="7" t="s">
        <v>104</v>
      </c>
      <c r="E592" s="7" t="s">
        <v>51</v>
      </c>
      <c r="F592" s="8" t="b">
        <f aca="false">TRUE()</f>
        <v>1</v>
      </c>
      <c r="G592" s="7" t="s">
        <v>80</v>
      </c>
      <c r="H592" s="7" t="s">
        <v>81</v>
      </c>
      <c r="I592" s="7" t="s">
        <v>54</v>
      </c>
      <c r="J592" s="9" t="n">
        <v>0</v>
      </c>
      <c r="K592" s="9" t="n">
        <v>0</v>
      </c>
      <c r="L592" s="10" t="n">
        <f aca="false">K592-J592</f>
        <v>0</v>
      </c>
      <c r="M592" s="10" t="n">
        <f aca="false">IF(I592="higher",L592,-L592)</f>
        <v>-0</v>
      </c>
    </row>
    <row r="593" customFormat="false" ht="15" hidden="false" customHeight="false" outlineLevel="0" collapsed="false">
      <c r="A593" s="7" t="s">
        <v>48</v>
      </c>
      <c r="B593" s="7" t="s">
        <v>10</v>
      </c>
      <c r="C593" s="7" t="s">
        <v>49</v>
      </c>
      <c r="D593" s="7" t="s">
        <v>105</v>
      </c>
      <c r="E593" s="7" t="s">
        <v>51</v>
      </c>
      <c r="F593" s="8" t="b">
        <f aca="false">TRUE()</f>
        <v>1</v>
      </c>
      <c r="G593" s="7" t="s">
        <v>52</v>
      </c>
      <c r="H593" s="7" t="s">
        <v>53</v>
      </c>
      <c r="I593" s="7" t="s">
        <v>54</v>
      </c>
      <c r="J593" s="9" t="n">
        <v>4.59208774620019</v>
      </c>
      <c r="K593" s="9" t="n">
        <v>4.49318756496742</v>
      </c>
      <c r="L593" s="10" t="n">
        <f aca="false">K593-J593</f>
        <v>-0.0989001812327741</v>
      </c>
      <c r="M593" s="10" t="n">
        <f aca="false">IF(I593="higher",L593,-L593)</f>
        <v>0.0989001812327741</v>
      </c>
    </row>
    <row r="594" customFormat="false" ht="15" hidden="false" customHeight="false" outlineLevel="0" collapsed="false">
      <c r="A594" s="7" t="s">
        <v>48</v>
      </c>
      <c r="B594" s="7" t="s">
        <v>10</v>
      </c>
      <c r="C594" s="7" t="s">
        <v>49</v>
      </c>
      <c r="D594" s="7" t="s">
        <v>105</v>
      </c>
      <c r="E594" s="7" t="s">
        <v>51</v>
      </c>
      <c r="F594" s="8" t="b">
        <f aca="false">TRUE()</f>
        <v>1</v>
      </c>
      <c r="G594" s="7" t="s">
        <v>55</v>
      </c>
      <c r="H594" s="7" t="s">
        <v>56</v>
      </c>
      <c r="I594" s="7" t="s">
        <v>54</v>
      </c>
      <c r="J594" s="9" t="n">
        <v>12.3204522239071</v>
      </c>
      <c r="K594" s="9" t="n">
        <v>12.4612332287901</v>
      </c>
      <c r="L594" s="10" t="n">
        <f aca="false">K594-J594</f>
        <v>0.140781004882941</v>
      </c>
      <c r="M594" s="10" t="n">
        <f aca="false">IF(I594="higher",L594,-L594)</f>
        <v>-0.140781004882941</v>
      </c>
    </row>
    <row r="595" customFormat="false" ht="15" hidden="false" customHeight="false" outlineLevel="0" collapsed="false">
      <c r="A595" s="7" t="s">
        <v>48</v>
      </c>
      <c r="B595" s="7" t="s">
        <v>10</v>
      </c>
      <c r="C595" s="7" t="s">
        <v>49</v>
      </c>
      <c r="D595" s="7" t="s">
        <v>105</v>
      </c>
      <c r="E595" s="7" t="s">
        <v>51</v>
      </c>
      <c r="F595" s="8" t="b">
        <f aca="false">TRUE()</f>
        <v>1</v>
      </c>
      <c r="G595" s="7" t="s">
        <v>57</v>
      </c>
      <c r="H595" s="7" t="s">
        <v>58</v>
      </c>
      <c r="I595" s="7" t="s">
        <v>54</v>
      </c>
      <c r="J595" s="9" t="n">
        <v>5.44136159478232</v>
      </c>
      <c r="K595" s="9" t="n">
        <v>5.32372737297024</v>
      </c>
      <c r="L595" s="10" t="n">
        <f aca="false">K595-J595</f>
        <v>-0.117634221812082</v>
      </c>
      <c r="M595" s="10" t="n">
        <f aca="false">IF(I595="higher",L595,-L595)</f>
        <v>0.117634221812082</v>
      </c>
    </row>
    <row r="596" customFormat="false" ht="15" hidden="false" customHeight="false" outlineLevel="0" collapsed="false">
      <c r="A596" s="7" t="s">
        <v>48</v>
      </c>
      <c r="B596" s="7" t="s">
        <v>10</v>
      </c>
      <c r="C596" s="7" t="s">
        <v>49</v>
      </c>
      <c r="D596" s="7" t="s">
        <v>105</v>
      </c>
      <c r="E596" s="7" t="s">
        <v>51</v>
      </c>
      <c r="F596" s="8" t="b">
        <f aca="false">TRUE()</f>
        <v>1</v>
      </c>
      <c r="G596" s="7" t="s">
        <v>59</v>
      </c>
      <c r="H596" s="7" t="s">
        <v>60</v>
      </c>
      <c r="I596" s="7" t="s">
        <v>54</v>
      </c>
      <c r="J596" s="9" t="n">
        <v>0.103072843535672</v>
      </c>
      <c r="K596" s="9" t="n">
        <v>0.101687321467584</v>
      </c>
      <c r="L596" s="10" t="n">
        <f aca="false">K596-J596</f>
        <v>-0.00138552206808831</v>
      </c>
      <c r="M596" s="10" t="n">
        <f aca="false">IF(I596="higher",L596,-L596)</f>
        <v>0.00138552206808831</v>
      </c>
    </row>
    <row r="597" customFormat="false" ht="15" hidden="false" customHeight="false" outlineLevel="0" collapsed="false">
      <c r="A597" s="7" t="s">
        <v>48</v>
      </c>
      <c r="B597" s="7" t="s">
        <v>10</v>
      </c>
      <c r="C597" s="7" t="s">
        <v>49</v>
      </c>
      <c r="D597" s="7" t="s">
        <v>105</v>
      </c>
      <c r="E597" s="7" t="s">
        <v>51</v>
      </c>
      <c r="F597" s="8" t="b">
        <f aca="false">TRUE()</f>
        <v>1</v>
      </c>
      <c r="G597" s="7" t="s">
        <v>61</v>
      </c>
      <c r="H597" s="7" t="s">
        <v>62</v>
      </c>
      <c r="I597" s="7" t="s">
        <v>54</v>
      </c>
      <c r="J597" s="9" t="n">
        <v>13.6188036546702</v>
      </c>
      <c r="K597" s="9" t="n">
        <v>14.8683717873608</v>
      </c>
      <c r="L597" s="10" t="n">
        <f aca="false">K597-J597</f>
        <v>1.24956813269062</v>
      </c>
      <c r="M597" s="10" t="n">
        <f aca="false">IF(I597="higher",L597,-L597)</f>
        <v>-1.24956813269062</v>
      </c>
    </row>
    <row r="598" customFormat="false" ht="15" hidden="false" customHeight="false" outlineLevel="0" collapsed="false">
      <c r="A598" s="7" t="s">
        <v>48</v>
      </c>
      <c r="B598" s="7" t="s">
        <v>10</v>
      </c>
      <c r="C598" s="7" t="s">
        <v>49</v>
      </c>
      <c r="D598" s="7" t="s">
        <v>105</v>
      </c>
      <c r="E598" s="7" t="s">
        <v>51</v>
      </c>
      <c r="F598" s="8" t="b">
        <f aca="false">TRUE()</f>
        <v>1</v>
      </c>
      <c r="G598" s="7" t="s">
        <v>63</v>
      </c>
      <c r="H598" s="7" t="s">
        <v>64</v>
      </c>
      <c r="I598" s="7" t="s">
        <v>54</v>
      </c>
      <c r="J598" s="9" t="n">
        <v>9.22888830315173</v>
      </c>
      <c r="K598" s="9" t="n">
        <v>9.54065391807805</v>
      </c>
      <c r="L598" s="10" t="n">
        <f aca="false">K598-J598</f>
        <v>0.311765614926319</v>
      </c>
      <c r="M598" s="10" t="n">
        <f aca="false">IF(I598="higher",L598,-L598)</f>
        <v>-0.311765614926319</v>
      </c>
    </row>
    <row r="599" customFormat="false" ht="15" hidden="false" customHeight="false" outlineLevel="0" collapsed="false">
      <c r="A599" s="7" t="s">
        <v>48</v>
      </c>
      <c r="B599" s="7" t="s">
        <v>10</v>
      </c>
      <c r="C599" s="7" t="s">
        <v>49</v>
      </c>
      <c r="D599" s="7" t="s">
        <v>105</v>
      </c>
      <c r="E599" s="7" t="s">
        <v>51</v>
      </c>
      <c r="F599" s="8" t="b">
        <f aca="false">TRUE()</f>
        <v>1</v>
      </c>
      <c r="G599" s="7" t="s">
        <v>65</v>
      </c>
      <c r="H599" s="7" t="s">
        <v>66</v>
      </c>
      <c r="I599" s="7" t="s">
        <v>54</v>
      </c>
      <c r="J599" s="9" t="n">
        <v>14.7380017160449</v>
      </c>
      <c r="K599" s="9" t="n">
        <v>15.5278683519977</v>
      </c>
      <c r="L599" s="10" t="n">
        <f aca="false">K599-J599</f>
        <v>0.78986663595281</v>
      </c>
      <c r="M599" s="10" t="n">
        <f aca="false">IF(I599="higher",L599,-L599)</f>
        <v>-0.78986663595281</v>
      </c>
    </row>
    <row r="600" customFormat="false" ht="15" hidden="false" customHeight="false" outlineLevel="0" collapsed="false">
      <c r="A600" s="7" t="s">
        <v>48</v>
      </c>
      <c r="B600" s="7" t="s">
        <v>10</v>
      </c>
      <c r="C600" s="7" t="s">
        <v>49</v>
      </c>
      <c r="D600" s="7" t="s">
        <v>105</v>
      </c>
      <c r="E600" s="7" t="s">
        <v>51</v>
      </c>
      <c r="F600" s="8" t="b">
        <f aca="false">TRUE()</f>
        <v>1</v>
      </c>
      <c r="G600" s="7" t="s">
        <v>67</v>
      </c>
      <c r="H600" s="7" t="s">
        <v>68</v>
      </c>
      <c r="I600" s="7" t="s">
        <v>54</v>
      </c>
      <c r="J600" s="9" t="n">
        <v>19.9764541447085</v>
      </c>
      <c r="K600" s="9" t="n">
        <v>18.3148755938317</v>
      </c>
      <c r="L600" s="10" t="n">
        <f aca="false">K600-J600</f>
        <v>-1.66157855087674</v>
      </c>
      <c r="M600" s="10" t="n">
        <f aca="false">IF(I600="higher",L600,-L600)</f>
        <v>1.66157855087674</v>
      </c>
    </row>
    <row r="601" customFormat="false" ht="15" hidden="false" customHeight="false" outlineLevel="0" collapsed="false">
      <c r="A601" s="7" t="s">
        <v>48</v>
      </c>
      <c r="B601" s="7" t="s">
        <v>10</v>
      </c>
      <c r="C601" s="7" t="s">
        <v>49</v>
      </c>
      <c r="D601" s="7" t="s">
        <v>105</v>
      </c>
      <c r="E601" s="7" t="s">
        <v>51</v>
      </c>
      <c r="F601" s="8" t="b">
        <f aca="false">TRUE()</f>
        <v>1</v>
      </c>
      <c r="G601" s="7" t="s">
        <v>69</v>
      </c>
      <c r="H601" s="7" t="s">
        <v>70</v>
      </c>
      <c r="I601" s="7" t="s">
        <v>71</v>
      </c>
      <c r="J601" s="9" t="n">
        <v>0.219178082191781</v>
      </c>
      <c r="K601" s="9" t="n">
        <v>0.424657534246575</v>
      </c>
      <c r="L601" s="10" t="n">
        <f aca="false">K601-J601</f>
        <v>0.205479452054794</v>
      </c>
      <c r="M601" s="10" t="n">
        <f aca="false">IF(I601="higher",L601,-L601)</f>
        <v>0.205479452054794</v>
      </c>
    </row>
    <row r="602" customFormat="false" ht="15" hidden="false" customHeight="false" outlineLevel="0" collapsed="false">
      <c r="A602" s="7" t="s">
        <v>48</v>
      </c>
      <c r="B602" s="7" t="s">
        <v>10</v>
      </c>
      <c r="C602" s="7" t="s">
        <v>49</v>
      </c>
      <c r="D602" s="7" t="s">
        <v>105</v>
      </c>
      <c r="E602" s="7" t="s">
        <v>51</v>
      </c>
      <c r="F602" s="8" t="b">
        <f aca="false">TRUE()</f>
        <v>1</v>
      </c>
      <c r="G602" s="7" t="s">
        <v>72</v>
      </c>
      <c r="H602" s="7" t="s">
        <v>73</v>
      </c>
      <c r="I602" s="7" t="s">
        <v>71</v>
      </c>
      <c r="J602" s="9" t="n">
        <v>0.917808219178082</v>
      </c>
      <c r="K602" s="9" t="n">
        <v>0.835616438356164</v>
      </c>
      <c r="L602" s="10" t="n">
        <f aca="false">K602-J602</f>
        <v>-0.0821917808219178</v>
      </c>
      <c r="M602" s="10" t="n">
        <f aca="false">IF(I602="higher",L602,-L602)</f>
        <v>-0.0821917808219178</v>
      </c>
    </row>
    <row r="603" customFormat="false" ht="15" hidden="false" customHeight="false" outlineLevel="0" collapsed="false">
      <c r="A603" s="7" t="s">
        <v>48</v>
      </c>
      <c r="B603" s="7" t="s">
        <v>10</v>
      </c>
      <c r="C603" s="7" t="s">
        <v>49</v>
      </c>
      <c r="D603" s="7" t="s">
        <v>105</v>
      </c>
      <c r="E603" s="7" t="s">
        <v>51</v>
      </c>
      <c r="F603" s="8" t="b">
        <f aca="false">TRUE()</f>
        <v>1</v>
      </c>
      <c r="G603" s="7" t="s">
        <v>74</v>
      </c>
      <c r="H603" s="7" t="s">
        <v>75</v>
      </c>
      <c r="I603" s="7" t="s">
        <v>54</v>
      </c>
      <c r="J603" s="9" t="n">
        <v>0.333333333333333</v>
      </c>
      <c r="K603" s="9" t="n">
        <v>0.307692307692308</v>
      </c>
      <c r="L603" s="10" t="n">
        <f aca="false">K603-J603</f>
        <v>-0.0256410256410256</v>
      </c>
      <c r="M603" s="10" t="n">
        <f aca="false">IF(I603="higher",L603,-L603)</f>
        <v>0.0256410256410256</v>
      </c>
    </row>
    <row r="604" customFormat="false" ht="15" hidden="false" customHeight="false" outlineLevel="0" collapsed="false">
      <c r="A604" s="7" t="s">
        <v>48</v>
      </c>
      <c r="B604" s="7" t="s">
        <v>10</v>
      </c>
      <c r="C604" s="7" t="s">
        <v>49</v>
      </c>
      <c r="D604" s="7" t="s">
        <v>105</v>
      </c>
      <c r="E604" s="7" t="s">
        <v>51</v>
      </c>
      <c r="F604" s="8" t="b">
        <f aca="false">TRUE()</f>
        <v>1</v>
      </c>
      <c r="G604" s="7" t="s">
        <v>76</v>
      </c>
      <c r="H604" s="7" t="s">
        <v>77</v>
      </c>
      <c r="I604" s="7" t="s">
        <v>54</v>
      </c>
      <c r="J604" s="9" t="n">
        <v>0.4140625</v>
      </c>
      <c r="K604" s="9" t="n">
        <v>0.25</v>
      </c>
      <c r="L604" s="10" t="n">
        <f aca="false">K604-J604</f>
        <v>-0.1640625</v>
      </c>
      <c r="M604" s="10" t="n">
        <f aca="false">IF(I604="higher",L604,-L604)</f>
        <v>0.1640625</v>
      </c>
    </row>
    <row r="605" customFormat="false" ht="15" hidden="false" customHeight="false" outlineLevel="0" collapsed="false">
      <c r="A605" s="7" t="s">
        <v>48</v>
      </c>
      <c r="B605" s="7" t="s">
        <v>10</v>
      </c>
      <c r="C605" s="7" t="s">
        <v>49</v>
      </c>
      <c r="D605" s="7" t="s">
        <v>105</v>
      </c>
      <c r="E605" s="7" t="s">
        <v>51</v>
      </c>
      <c r="F605" s="8" t="b">
        <f aca="false">TRUE()</f>
        <v>1</v>
      </c>
      <c r="G605" s="7" t="s">
        <v>78</v>
      </c>
      <c r="H605" s="7" t="s">
        <v>79</v>
      </c>
      <c r="I605" s="7" t="s">
        <v>54</v>
      </c>
      <c r="J605" s="9" t="n">
        <v>0</v>
      </c>
      <c r="K605" s="9" t="n">
        <v>0</v>
      </c>
      <c r="L605" s="10" t="n">
        <f aca="false">K605-J605</f>
        <v>0</v>
      </c>
      <c r="M605" s="10" t="n">
        <f aca="false">IF(I605="higher",L605,-L605)</f>
        <v>-0</v>
      </c>
    </row>
    <row r="606" customFormat="false" ht="15" hidden="false" customHeight="false" outlineLevel="0" collapsed="false">
      <c r="A606" s="7" t="s">
        <v>48</v>
      </c>
      <c r="B606" s="7" t="s">
        <v>10</v>
      </c>
      <c r="C606" s="7" t="s">
        <v>49</v>
      </c>
      <c r="D606" s="7" t="s">
        <v>105</v>
      </c>
      <c r="E606" s="7" t="s">
        <v>51</v>
      </c>
      <c r="F606" s="8" t="b">
        <f aca="false">TRUE()</f>
        <v>1</v>
      </c>
      <c r="G606" s="7" t="s">
        <v>80</v>
      </c>
      <c r="H606" s="7" t="s">
        <v>81</v>
      </c>
      <c r="I606" s="7" t="s">
        <v>54</v>
      </c>
      <c r="J606" s="9" t="n">
        <v>0</v>
      </c>
      <c r="K606" s="9" t="n">
        <v>0</v>
      </c>
      <c r="L606" s="10" t="n">
        <f aca="false">K606-J606</f>
        <v>0</v>
      </c>
      <c r="M606" s="10" t="n">
        <f aca="false">IF(I606="higher",L606,-L606)</f>
        <v>-0</v>
      </c>
    </row>
    <row r="607" customFormat="false" ht="15" hidden="false" customHeight="false" outlineLevel="0" collapsed="false">
      <c r="A607" s="7" t="s">
        <v>82</v>
      </c>
      <c r="B607" s="7" t="s">
        <v>83</v>
      </c>
      <c r="C607" s="7" t="s">
        <v>49</v>
      </c>
      <c r="D607" s="7" t="s">
        <v>105</v>
      </c>
      <c r="E607" s="7" t="s">
        <v>51</v>
      </c>
      <c r="F607" s="8" t="b">
        <f aca="false">TRUE()</f>
        <v>1</v>
      </c>
      <c r="G607" s="7" t="s">
        <v>52</v>
      </c>
      <c r="H607" s="7" t="s">
        <v>53</v>
      </c>
      <c r="I607" s="7" t="s">
        <v>54</v>
      </c>
      <c r="J607" s="9" t="n">
        <v>3.95745603356473</v>
      </c>
      <c r="K607" s="9" t="n">
        <v>4.49318756496742</v>
      </c>
      <c r="L607" s="10" t="n">
        <f aca="false">K607-J607</f>
        <v>0.535731531402691</v>
      </c>
      <c r="M607" s="10" t="n">
        <f aca="false">IF(I607="higher",L607,-L607)</f>
        <v>-0.535731531402691</v>
      </c>
    </row>
    <row r="608" customFormat="false" ht="15" hidden="false" customHeight="false" outlineLevel="0" collapsed="false">
      <c r="A608" s="7" t="s">
        <v>82</v>
      </c>
      <c r="B608" s="7" t="s">
        <v>83</v>
      </c>
      <c r="C608" s="7" t="s">
        <v>49</v>
      </c>
      <c r="D608" s="7" t="s">
        <v>105</v>
      </c>
      <c r="E608" s="7" t="s">
        <v>51</v>
      </c>
      <c r="F608" s="8" t="b">
        <f aca="false">TRUE()</f>
        <v>1</v>
      </c>
      <c r="G608" s="7" t="s">
        <v>55</v>
      </c>
      <c r="H608" s="7" t="s">
        <v>56</v>
      </c>
      <c r="I608" s="7" t="s">
        <v>54</v>
      </c>
      <c r="J608" s="9" t="n">
        <v>11.4216628924731</v>
      </c>
      <c r="K608" s="9" t="n">
        <v>12.4612332287901</v>
      </c>
      <c r="L608" s="10" t="n">
        <f aca="false">K608-J608</f>
        <v>1.03957033631692</v>
      </c>
      <c r="M608" s="10" t="n">
        <f aca="false">IF(I608="higher",L608,-L608)</f>
        <v>-1.03957033631692</v>
      </c>
    </row>
    <row r="609" customFormat="false" ht="15" hidden="false" customHeight="false" outlineLevel="0" collapsed="false">
      <c r="A609" s="7" t="s">
        <v>82</v>
      </c>
      <c r="B609" s="7" t="s">
        <v>83</v>
      </c>
      <c r="C609" s="7" t="s">
        <v>49</v>
      </c>
      <c r="D609" s="7" t="s">
        <v>105</v>
      </c>
      <c r="E609" s="7" t="s">
        <v>51</v>
      </c>
      <c r="F609" s="8" t="b">
        <f aca="false">TRUE()</f>
        <v>1</v>
      </c>
      <c r="G609" s="7" t="s">
        <v>57</v>
      </c>
      <c r="H609" s="7" t="s">
        <v>58</v>
      </c>
      <c r="I609" s="7" t="s">
        <v>54</v>
      </c>
      <c r="J609" s="9" t="n">
        <v>5.17857624980683</v>
      </c>
      <c r="K609" s="9" t="n">
        <v>5.32372737297024</v>
      </c>
      <c r="L609" s="10" t="n">
        <f aca="false">K609-J609</f>
        <v>0.145151123163406</v>
      </c>
      <c r="M609" s="10" t="n">
        <f aca="false">IF(I609="higher",L609,-L609)</f>
        <v>-0.145151123163406</v>
      </c>
    </row>
    <row r="610" customFormat="false" ht="15" hidden="false" customHeight="false" outlineLevel="0" collapsed="false">
      <c r="A610" s="7" t="s">
        <v>82</v>
      </c>
      <c r="B610" s="7" t="s">
        <v>83</v>
      </c>
      <c r="C610" s="7" t="s">
        <v>49</v>
      </c>
      <c r="D610" s="7" t="s">
        <v>105</v>
      </c>
      <c r="E610" s="7" t="s">
        <v>51</v>
      </c>
      <c r="F610" s="8" t="b">
        <f aca="false">TRUE()</f>
        <v>1</v>
      </c>
      <c r="G610" s="7" t="s">
        <v>59</v>
      </c>
      <c r="H610" s="7" t="s">
        <v>60</v>
      </c>
      <c r="I610" s="7" t="s">
        <v>54</v>
      </c>
      <c r="J610" s="9" t="n">
        <v>0.106432636522414</v>
      </c>
      <c r="K610" s="9" t="n">
        <v>0.101687321467584</v>
      </c>
      <c r="L610" s="10" t="n">
        <f aca="false">K610-J610</f>
        <v>-0.0047453150548305</v>
      </c>
      <c r="M610" s="10" t="n">
        <f aca="false">IF(I610="higher",L610,-L610)</f>
        <v>0.0047453150548305</v>
      </c>
    </row>
    <row r="611" customFormat="false" ht="15" hidden="false" customHeight="false" outlineLevel="0" collapsed="false">
      <c r="A611" s="7" t="s">
        <v>82</v>
      </c>
      <c r="B611" s="7" t="s">
        <v>83</v>
      </c>
      <c r="C611" s="7" t="s">
        <v>49</v>
      </c>
      <c r="D611" s="7" t="s">
        <v>105</v>
      </c>
      <c r="E611" s="7" t="s">
        <v>51</v>
      </c>
      <c r="F611" s="8" t="b">
        <f aca="false">TRUE()</f>
        <v>1</v>
      </c>
      <c r="G611" s="7" t="s">
        <v>61</v>
      </c>
      <c r="H611" s="7" t="s">
        <v>62</v>
      </c>
      <c r="I611" s="7" t="s">
        <v>54</v>
      </c>
      <c r="J611" s="9" t="n">
        <v>14.1224932825457</v>
      </c>
      <c r="K611" s="9" t="n">
        <v>14.8683717873608</v>
      </c>
      <c r="L611" s="10" t="n">
        <f aca="false">K611-J611</f>
        <v>0.74587850481511</v>
      </c>
      <c r="M611" s="10" t="n">
        <f aca="false">IF(I611="higher",L611,-L611)</f>
        <v>-0.74587850481511</v>
      </c>
    </row>
    <row r="612" customFormat="false" ht="15" hidden="false" customHeight="false" outlineLevel="0" collapsed="false">
      <c r="A612" s="7" t="s">
        <v>82</v>
      </c>
      <c r="B612" s="7" t="s">
        <v>83</v>
      </c>
      <c r="C612" s="7" t="s">
        <v>49</v>
      </c>
      <c r="D612" s="7" t="s">
        <v>105</v>
      </c>
      <c r="E612" s="7" t="s">
        <v>51</v>
      </c>
      <c r="F612" s="8" t="b">
        <f aca="false">TRUE()</f>
        <v>1</v>
      </c>
      <c r="G612" s="7" t="s">
        <v>63</v>
      </c>
      <c r="H612" s="7" t="s">
        <v>64</v>
      </c>
      <c r="I612" s="7" t="s">
        <v>54</v>
      </c>
      <c r="J612" s="9" t="n">
        <v>7.18271294319959</v>
      </c>
      <c r="K612" s="9" t="n">
        <v>9.54065391807805</v>
      </c>
      <c r="L612" s="10" t="n">
        <f aca="false">K612-J612</f>
        <v>2.35794097487847</v>
      </c>
      <c r="M612" s="10" t="n">
        <f aca="false">IF(I612="higher",L612,-L612)</f>
        <v>-2.35794097487847</v>
      </c>
    </row>
    <row r="613" customFormat="false" ht="15" hidden="false" customHeight="false" outlineLevel="0" collapsed="false">
      <c r="A613" s="7" t="s">
        <v>82</v>
      </c>
      <c r="B613" s="7" t="s">
        <v>83</v>
      </c>
      <c r="C613" s="7" t="s">
        <v>49</v>
      </c>
      <c r="D613" s="7" t="s">
        <v>105</v>
      </c>
      <c r="E613" s="7" t="s">
        <v>51</v>
      </c>
      <c r="F613" s="8" t="b">
        <f aca="false">TRUE()</f>
        <v>1</v>
      </c>
      <c r="G613" s="7" t="s">
        <v>65</v>
      </c>
      <c r="H613" s="7" t="s">
        <v>66</v>
      </c>
      <c r="I613" s="7" t="s">
        <v>54</v>
      </c>
      <c r="J613" s="9" t="n">
        <v>15.1309370909212</v>
      </c>
      <c r="K613" s="9" t="n">
        <v>15.5278683519977</v>
      </c>
      <c r="L613" s="10" t="n">
        <f aca="false">K613-J613</f>
        <v>0.39693126107654</v>
      </c>
      <c r="M613" s="10" t="n">
        <f aca="false">IF(I613="higher",L613,-L613)</f>
        <v>-0.39693126107654</v>
      </c>
    </row>
    <row r="614" customFormat="false" ht="15" hidden="false" customHeight="false" outlineLevel="0" collapsed="false">
      <c r="A614" s="7" t="s">
        <v>82</v>
      </c>
      <c r="B614" s="7" t="s">
        <v>83</v>
      </c>
      <c r="C614" s="7" t="s">
        <v>49</v>
      </c>
      <c r="D614" s="7" t="s">
        <v>105</v>
      </c>
      <c r="E614" s="7" t="s">
        <v>51</v>
      </c>
      <c r="F614" s="8" t="b">
        <f aca="false">TRUE()</f>
        <v>1</v>
      </c>
      <c r="G614" s="7" t="s">
        <v>67</v>
      </c>
      <c r="H614" s="7" t="s">
        <v>68</v>
      </c>
      <c r="I614" s="7" t="s">
        <v>54</v>
      </c>
      <c r="J614" s="9" t="n">
        <v>17.5061503257773</v>
      </c>
      <c r="K614" s="9" t="n">
        <v>18.3148755938317</v>
      </c>
      <c r="L614" s="10" t="n">
        <f aca="false">K614-J614</f>
        <v>0.808725268054399</v>
      </c>
      <c r="M614" s="10" t="n">
        <f aca="false">IF(I614="higher",L614,-L614)</f>
        <v>-0.808725268054399</v>
      </c>
    </row>
    <row r="615" customFormat="false" ht="15" hidden="false" customHeight="false" outlineLevel="0" collapsed="false">
      <c r="A615" s="7" t="s">
        <v>82</v>
      </c>
      <c r="B615" s="7" t="s">
        <v>83</v>
      </c>
      <c r="C615" s="7" t="s">
        <v>49</v>
      </c>
      <c r="D615" s="7" t="s">
        <v>105</v>
      </c>
      <c r="E615" s="7" t="s">
        <v>51</v>
      </c>
      <c r="F615" s="8" t="b">
        <f aca="false">TRUE()</f>
        <v>1</v>
      </c>
      <c r="G615" s="7" t="s">
        <v>69</v>
      </c>
      <c r="H615" s="7" t="s">
        <v>70</v>
      </c>
      <c r="I615" s="7" t="s">
        <v>71</v>
      </c>
      <c r="J615" s="9" t="n">
        <v>0.547945205479452</v>
      </c>
      <c r="K615" s="9" t="n">
        <v>0.424657534246575</v>
      </c>
      <c r="L615" s="10" t="n">
        <f aca="false">K615-J615</f>
        <v>-0.123287671232877</v>
      </c>
      <c r="M615" s="10" t="n">
        <f aca="false">IF(I615="higher",L615,-L615)</f>
        <v>-0.123287671232877</v>
      </c>
    </row>
    <row r="616" customFormat="false" ht="15" hidden="false" customHeight="false" outlineLevel="0" collapsed="false">
      <c r="A616" s="7" t="s">
        <v>82</v>
      </c>
      <c r="B616" s="7" t="s">
        <v>83</v>
      </c>
      <c r="C616" s="7" t="s">
        <v>49</v>
      </c>
      <c r="D616" s="7" t="s">
        <v>105</v>
      </c>
      <c r="E616" s="7" t="s">
        <v>51</v>
      </c>
      <c r="F616" s="8" t="b">
        <f aca="false">TRUE()</f>
        <v>1</v>
      </c>
      <c r="G616" s="7" t="s">
        <v>72</v>
      </c>
      <c r="H616" s="7" t="s">
        <v>73</v>
      </c>
      <c r="I616" s="7" t="s">
        <v>71</v>
      </c>
      <c r="J616" s="9" t="n">
        <v>0.794520547945205</v>
      </c>
      <c r="K616" s="9" t="n">
        <v>0.835616438356164</v>
      </c>
      <c r="L616" s="10" t="n">
        <f aca="false">K616-J616</f>
        <v>0.041095890410959</v>
      </c>
      <c r="M616" s="10" t="n">
        <f aca="false">IF(I616="higher",L616,-L616)</f>
        <v>0.041095890410959</v>
      </c>
    </row>
    <row r="617" customFormat="false" ht="15" hidden="false" customHeight="false" outlineLevel="0" collapsed="false">
      <c r="A617" s="7" t="s">
        <v>82</v>
      </c>
      <c r="B617" s="7" t="s">
        <v>83</v>
      </c>
      <c r="C617" s="7" t="s">
        <v>49</v>
      </c>
      <c r="D617" s="7" t="s">
        <v>105</v>
      </c>
      <c r="E617" s="7" t="s">
        <v>51</v>
      </c>
      <c r="F617" s="8" t="b">
        <f aca="false">TRUE()</f>
        <v>1</v>
      </c>
      <c r="G617" s="7" t="s">
        <v>74</v>
      </c>
      <c r="H617" s="7" t="s">
        <v>75</v>
      </c>
      <c r="I617" s="7" t="s">
        <v>54</v>
      </c>
      <c r="J617" s="9" t="n">
        <v>0.0512820512820513</v>
      </c>
      <c r="K617" s="9" t="n">
        <v>0.307692307692308</v>
      </c>
      <c r="L617" s="10" t="n">
        <f aca="false">K617-J617</f>
        <v>0.256410256410256</v>
      </c>
      <c r="M617" s="10" t="n">
        <f aca="false">IF(I617="higher",L617,-L617)</f>
        <v>-0.256410256410256</v>
      </c>
    </row>
    <row r="618" customFormat="false" ht="15" hidden="false" customHeight="false" outlineLevel="0" collapsed="false">
      <c r="A618" s="7" t="s">
        <v>82</v>
      </c>
      <c r="B618" s="7" t="s">
        <v>83</v>
      </c>
      <c r="C618" s="7" t="s">
        <v>49</v>
      </c>
      <c r="D618" s="7" t="s">
        <v>105</v>
      </c>
      <c r="E618" s="7" t="s">
        <v>51</v>
      </c>
      <c r="F618" s="8" t="b">
        <f aca="false">TRUE()</f>
        <v>1</v>
      </c>
      <c r="G618" s="7" t="s">
        <v>76</v>
      </c>
      <c r="H618" s="7" t="s">
        <v>77</v>
      </c>
      <c r="I618" s="7" t="s">
        <v>54</v>
      </c>
      <c r="J618" s="9" t="n">
        <v>0.15625</v>
      </c>
      <c r="K618" s="9" t="n">
        <v>0.25</v>
      </c>
      <c r="L618" s="10" t="n">
        <f aca="false">K618-J618</f>
        <v>0.09375</v>
      </c>
      <c r="M618" s="10" t="n">
        <f aca="false">IF(I618="higher",L618,-L618)</f>
        <v>-0.09375</v>
      </c>
    </row>
    <row r="619" customFormat="false" ht="15" hidden="false" customHeight="false" outlineLevel="0" collapsed="false">
      <c r="A619" s="7" t="s">
        <v>82</v>
      </c>
      <c r="B619" s="7" t="s">
        <v>83</v>
      </c>
      <c r="C619" s="7" t="s">
        <v>49</v>
      </c>
      <c r="D619" s="7" t="s">
        <v>105</v>
      </c>
      <c r="E619" s="7" t="s">
        <v>51</v>
      </c>
      <c r="F619" s="8" t="b">
        <f aca="false">TRUE()</f>
        <v>1</v>
      </c>
      <c r="G619" s="7" t="s">
        <v>78</v>
      </c>
      <c r="H619" s="7" t="s">
        <v>79</v>
      </c>
      <c r="I619" s="7" t="s">
        <v>54</v>
      </c>
      <c r="J619" s="9" t="n">
        <v>0</v>
      </c>
      <c r="K619" s="9" t="n">
        <v>0</v>
      </c>
      <c r="L619" s="10" t="n">
        <f aca="false">K619-J619</f>
        <v>0</v>
      </c>
      <c r="M619" s="10" t="n">
        <f aca="false">IF(I619="higher",L619,-L619)</f>
        <v>-0</v>
      </c>
    </row>
    <row r="620" customFormat="false" ht="15" hidden="false" customHeight="false" outlineLevel="0" collapsed="false">
      <c r="A620" s="7" t="s">
        <v>82</v>
      </c>
      <c r="B620" s="7" t="s">
        <v>83</v>
      </c>
      <c r="C620" s="7" t="s">
        <v>49</v>
      </c>
      <c r="D620" s="7" t="s">
        <v>105</v>
      </c>
      <c r="E620" s="7" t="s">
        <v>51</v>
      </c>
      <c r="F620" s="8" t="b">
        <f aca="false">TRUE()</f>
        <v>1</v>
      </c>
      <c r="G620" s="7" t="s">
        <v>80</v>
      </c>
      <c r="H620" s="7" t="s">
        <v>81</v>
      </c>
      <c r="I620" s="7" t="s">
        <v>54</v>
      </c>
      <c r="J620" s="9" t="n">
        <v>0</v>
      </c>
      <c r="K620" s="9" t="n">
        <v>0</v>
      </c>
      <c r="L620" s="10" t="n">
        <f aca="false">K620-J620</f>
        <v>0</v>
      </c>
      <c r="M620" s="10" t="n">
        <f aca="false">IF(I620="higher",L620,-L620)</f>
        <v>-0</v>
      </c>
    </row>
    <row r="621" customFormat="false" ht="15" hidden="false" customHeight="false" outlineLevel="0" collapsed="false">
      <c r="A621" s="7" t="s">
        <v>48</v>
      </c>
      <c r="B621" s="7" t="s">
        <v>10</v>
      </c>
      <c r="C621" s="7" t="s">
        <v>49</v>
      </c>
      <c r="D621" s="7" t="s">
        <v>106</v>
      </c>
      <c r="E621" s="7" t="s">
        <v>51</v>
      </c>
      <c r="F621" s="8" t="b">
        <f aca="false">TRUE()</f>
        <v>1</v>
      </c>
      <c r="G621" s="7" t="s">
        <v>52</v>
      </c>
      <c r="H621" s="7" t="s">
        <v>53</v>
      </c>
      <c r="I621" s="7" t="s">
        <v>54</v>
      </c>
      <c r="J621" s="9" t="n">
        <v>5.00529277662524</v>
      </c>
      <c r="K621" s="9" t="n">
        <v>3.1782518331838</v>
      </c>
      <c r="L621" s="10" t="n">
        <f aca="false">K621-J621</f>
        <v>-1.82704094344143</v>
      </c>
      <c r="M621" s="10" t="n">
        <f aca="false">IF(I621="higher",L621,-L621)</f>
        <v>1.82704094344143</v>
      </c>
    </row>
    <row r="622" customFormat="false" ht="15" hidden="false" customHeight="false" outlineLevel="0" collapsed="false">
      <c r="A622" s="7" t="s">
        <v>48</v>
      </c>
      <c r="B622" s="7" t="s">
        <v>10</v>
      </c>
      <c r="C622" s="7" t="s">
        <v>49</v>
      </c>
      <c r="D622" s="7" t="s">
        <v>106</v>
      </c>
      <c r="E622" s="7" t="s">
        <v>51</v>
      </c>
      <c r="F622" s="8" t="b">
        <f aca="false">TRUE()</f>
        <v>1</v>
      </c>
      <c r="G622" s="7" t="s">
        <v>55</v>
      </c>
      <c r="H622" s="7" t="s">
        <v>56</v>
      </c>
      <c r="I622" s="7" t="s">
        <v>54</v>
      </c>
      <c r="J622" s="9" t="n">
        <v>9.49931793752653</v>
      </c>
      <c r="K622" s="9" t="n">
        <v>6.16721851708683</v>
      </c>
      <c r="L622" s="10" t="n">
        <f aca="false">K622-J622</f>
        <v>-3.3320994204397</v>
      </c>
      <c r="M622" s="10" t="n">
        <f aca="false">IF(I622="higher",L622,-L622)</f>
        <v>3.3320994204397</v>
      </c>
    </row>
    <row r="623" customFormat="false" ht="15" hidden="false" customHeight="false" outlineLevel="0" collapsed="false">
      <c r="A623" s="7" t="s">
        <v>48</v>
      </c>
      <c r="B623" s="7" t="s">
        <v>10</v>
      </c>
      <c r="C623" s="7" t="s">
        <v>49</v>
      </c>
      <c r="D623" s="7" t="s">
        <v>106</v>
      </c>
      <c r="E623" s="7" t="s">
        <v>51</v>
      </c>
      <c r="F623" s="8" t="b">
        <f aca="false">TRUE()</f>
        <v>1</v>
      </c>
      <c r="G623" s="7" t="s">
        <v>57</v>
      </c>
      <c r="H623" s="7" t="s">
        <v>58</v>
      </c>
      <c r="I623" s="7" t="s">
        <v>54</v>
      </c>
      <c r="J623" s="9" t="n">
        <v>5.88017859534121</v>
      </c>
      <c r="K623" s="9" t="n">
        <v>3.73948963331854</v>
      </c>
      <c r="L623" s="10" t="n">
        <f aca="false">K623-J623</f>
        <v>-2.14068896202267</v>
      </c>
      <c r="M623" s="10" t="n">
        <f aca="false">IF(I623="higher",L623,-L623)</f>
        <v>2.14068896202267</v>
      </c>
    </row>
    <row r="624" customFormat="false" ht="15" hidden="false" customHeight="false" outlineLevel="0" collapsed="false">
      <c r="A624" s="7" t="s">
        <v>48</v>
      </c>
      <c r="B624" s="7" t="s">
        <v>10</v>
      </c>
      <c r="C624" s="7" t="s">
        <v>49</v>
      </c>
      <c r="D624" s="7" t="s">
        <v>106</v>
      </c>
      <c r="E624" s="7" t="s">
        <v>51</v>
      </c>
      <c r="F624" s="8" t="b">
        <f aca="false">TRUE()</f>
        <v>1</v>
      </c>
      <c r="G624" s="7" t="s">
        <v>59</v>
      </c>
      <c r="H624" s="7" t="s">
        <v>60</v>
      </c>
      <c r="I624" s="7" t="s">
        <v>54</v>
      </c>
      <c r="J624" s="9" t="n">
        <v>0.112887799446228</v>
      </c>
      <c r="K624" s="9" t="n">
        <v>0.0935660008354223</v>
      </c>
      <c r="L624" s="10" t="n">
        <f aca="false">K624-J624</f>
        <v>-0.0193217986108059</v>
      </c>
      <c r="M624" s="10" t="n">
        <f aca="false">IF(I624="higher",L624,-L624)</f>
        <v>0.0193217986108059</v>
      </c>
    </row>
    <row r="625" customFormat="false" ht="15" hidden="false" customHeight="false" outlineLevel="0" collapsed="false">
      <c r="A625" s="7" t="s">
        <v>48</v>
      </c>
      <c r="B625" s="7" t="s">
        <v>10</v>
      </c>
      <c r="C625" s="7" t="s">
        <v>49</v>
      </c>
      <c r="D625" s="7" t="s">
        <v>106</v>
      </c>
      <c r="E625" s="7" t="s">
        <v>51</v>
      </c>
      <c r="F625" s="8" t="b">
        <f aca="false">TRUE()</f>
        <v>1</v>
      </c>
      <c r="G625" s="7" t="s">
        <v>61</v>
      </c>
      <c r="H625" s="7" t="s">
        <v>62</v>
      </c>
      <c r="I625" s="7" t="s">
        <v>54</v>
      </c>
      <c r="J625" s="9" t="n">
        <v>13.0813984538942</v>
      </c>
      <c r="K625" s="9" t="n">
        <v>16.7249604210872</v>
      </c>
      <c r="L625" s="10" t="n">
        <f aca="false">K625-J625</f>
        <v>3.643561967193</v>
      </c>
      <c r="M625" s="10" t="n">
        <f aca="false">IF(I625="higher",L625,-L625)</f>
        <v>-3.643561967193</v>
      </c>
    </row>
    <row r="626" customFormat="false" ht="15" hidden="false" customHeight="false" outlineLevel="0" collapsed="false">
      <c r="A626" s="7" t="s">
        <v>48</v>
      </c>
      <c r="B626" s="7" t="s">
        <v>10</v>
      </c>
      <c r="C626" s="7" t="s">
        <v>49</v>
      </c>
      <c r="D626" s="7" t="s">
        <v>106</v>
      </c>
      <c r="E626" s="7" t="s">
        <v>51</v>
      </c>
      <c r="F626" s="8" t="b">
        <f aca="false">TRUE()</f>
        <v>1</v>
      </c>
      <c r="G626" s="7" t="s">
        <v>63</v>
      </c>
      <c r="H626" s="7" t="s">
        <v>64</v>
      </c>
      <c r="I626" s="7" t="s">
        <v>54</v>
      </c>
      <c r="J626" s="9" t="n">
        <v>8.75680841147241</v>
      </c>
      <c r="K626" s="9" t="n">
        <v>8.97875436882676</v>
      </c>
      <c r="L626" s="10" t="n">
        <f aca="false">K626-J626</f>
        <v>0.221945957354356</v>
      </c>
      <c r="M626" s="10" t="n">
        <f aca="false">IF(I626="higher",L626,-L626)</f>
        <v>-0.221945957354356</v>
      </c>
    </row>
    <row r="627" customFormat="false" ht="15" hidden="false" customHeight="false" outlineLevel="0" collapsed="false">
      <c r="A627" s="7" t="s">
        <v>48</v>
      </c>
      <c r="B627" s="7" t="s">
        <v>10</v>
      </c>
      <c r="C627" s="7" t="s">
        <v>49</v>
      </c>
      <c r="D627" s="7" t="s">
        <v>106</v>
      </c>
      <c r="E627" s="7" t="s">
        <v>51</v>
      </c>
      <c r="F627" s="8" t="b">
        <f aca="false">TRUE()</f>
        <v>1</v>
      </c>
      <c r="G627" s="7" t="s">
        <v>65</v>
      </c>
      <c r="H627" s="7" t="s">
        <v>66</v>
      </c>
      <c r="I627" s="7" t="s">
        <v>54</v>
      </c>
      <c r="J627" s="9" t="n">
        <v>13.2711510512566</v>
      </c>
      <c r="K627" s="9" t="n">
        <v>14.6475744488026</v>
      </c>
      <c r="L627" s="10" t="n">
        <f aca="false">K627-J627</f>
        <v>1.37642339754602</v>
      </c>
      <c r="M627" s="10" t="n">
        <f aca="false">IF(I627="higher",L627,-L627)</f>
        <v>-1.37642339754602</v>
      </c>
    </row>
    <row r="628" customFormat="false" ht="15" hidden="false" customHeight="false" outlineLevel="0" collapsed="false">
      <c r="A628" s="7" t="s">
        <v>48</v>
      </c>
      <c r="B628" s="7" t="s">
        <v>10</v>
      </c>
      <c r="C628" s="7" t="s">
        <v>49</v>
      </c>
      <c r="D628" s="7" t="s">
        <v>106</v>
      </c>
      <c r="E628" s="7" t="s">
        <v>51</v>
      </c>
      <c r="F628" s="8" t="b">
        <f aca="false">TRUE()</f>
        <v>1</v>
      </c>
      <c r="G628" s="7" t="s">
        <v>67</v>
      </c>
      <c r="H628" s="7" t="s">
        <v>68</v>
      </c>
      <c r="I628" s="7" t="s">
        <v>54</v>
      </c>
      <c r="J628" s="9" t="n">
        <v>20.7861803200823</v>
      </c>
      <c r="K628" s="9" t="n">
        <v>19.8475518656748</v>
      </c>
      <c r="L628" s="10" t="n">
        <f aca="false">K628-J628</f>
        <v>-0.938628454407581</v>
      </c>
      <c r="M628" s="10" t="n">
        <f aca="false">IF(I628="higher",L628,-L628)</f>
        <v>0.938628454407581</v>
      </c>
    </row>
    <row r="629" customFormat="false" ht="15" hidden="false" customHeight="false" outlineLevel="0" collapsed="false">
      <c r="A629" s="7" t="s">
        <v>48</v>
      </c>
      <c r="B629" s="7" t="s">
        <v>10</v>
      </c>
      <c r="C629" s="7" t="s">
        <v>49</v>
      </c>
      <c r="D629" s="7" t="s">
        <v>106</v>
      </c>
      <c r="E629" s="7" t="s">
        <v>51</v>
      </c>
      <c r="F629" s="8" t="b">
        <f aca="false">TRUE()</f>
        <v>1</v>
      </c>
      <c r="G629" s="7" t="s">
        <v>69</v>
      </c>
      <c r="H629" s="7" t="s">
        <v>70</v>
      </c>
      <c r="I629" s="7" t="s">
        <v>71</v>
      </c>
      <c r="J629" s="9" t="n">
        <v>0.174603174603175</v>
      </c>
      <c r="K629" s="9" t="n">
        <v>0.26984126984127</v>
      </c>
      <c r="L629" s="10" t="n">
        <f aca="false">K629-J629</f>
        <v>0.0952380952380952</v>
      </c>
      <c r="M629" s="10" t="n">
        <f aca="false">IF(I629="higher",L629,-L629)</f>
        <v>0.0952380952380952</v>
      </c>
    </row>
    <row r="630" customFormat="false" ht="15" hidden="false" customHeight="false" outlineLevel="0" collapsed="false">
      <c r="A630" s="7" t="s">
        <v>48</v>
      </c>
      <c r="B630" s="7" t="s">
        <v>10</v>
      </c>
      <c r="C630" s="7" t="s">
        <v>49</v>
      </c>
      <c r="D630" s="7" t="s">
        <v>106</v>
      </c>
      <c r="E630" s="7" t="s">
        <v>51</v>
      </c>
      <c r="F630" s="8" t="b">
        <f aca="false">TRUE()</f>
        <v>1</v>
      </c>
      <c r="G630" s="7" t="s">
        <v>72</v>
      </c>
      <c r="H630" s="7" t="s">
        <v>73</v>
      </c>
      <c r="I630" s="7" t="s">
        <v>71</v>
      </c>
      <c r="J630" s="9" t="n">
        <v>0.571428571428571</v>
      </c>
      <c r="K630" s="9" t="n">
        <v>0.571428571428571</v>
      </c>
      <c r="L630" s="10" t="n">
        <f aca="false">K630-J630</f>
        <v>0</v>
      </c>
      <c r="M630" s="10" t="n">
        <f aca="false">IF(I630="higher",L630,-L630)</f>
        <v>0</v>
      </c>
    </row>
    <row r="631" customFormat="false" ht="15" hidden="false" customHeight="false" outlineLevel="0" collapsed="false">
      <c r="A631" s="7" t="s">
        <v>48</v>
      </c>
      <c r="B631" s="7" t="s">
        <v>10</v>
      </c>
      <c r="C631" s="7" t="s">
        <v>49</v>
      </c>
      <c r="D631" s="7" t="s">
        <v>106</v>
      </c>
      <c r="E631" s="7" t="s">
        <v>51</v>
      </c>
      <c r="F631" s="8" t="b">
        <f aca="false">TRUE()</f>
        <v>1</v>
      </c>
      <c r="G631" s="7" t="s">
        <v>74</v>
      </c>
      <c r="H631" s="7" t="s">
        <v>75</v>
      </c>
      <c r="I631" s="7" t="s">
        <v>54</v>
      </c>
      <c r="J631" s="9" t="n">
        <v>0.102564102564103</v>
      </c>
      <c r="K631" s="9" t="n">
        <v>0</v>
      </c>
      <c r="L631" s="10" t="n">
        <f aca="false">K631-J631</f>
        <v>-0.102564102564103</v>
      </c>
      <c r="M631" s="10" t="n">
        <f aca="false">IF(I631="higher",L631,-L631)</f>
        <v>0.102564102564103</v>
      </c>
    </row>
    <row r="632" customFormat="false" ht="15" hidden="false" customHeight="false" outlineLevel="0" collapsed="false">
      <c r="A632" s="7" t="s">
        <v>48</v>
      </c>
      <c r="B632" s="7" t="s">
        <v>10</v>
      </c>
      <c r="C632" s="7" t="s">
        <v>49</v>
      </c>
      <c r="D632" s="7" t="s">
        <v>106</v>
      </c>
      <c r="E632" s="7" t="s">
        <v>51</v>
      </c>
      <c r="F632" s="8" t="b">
        <f aca="false">TRUE()</f>
        <v>1</v>
      </c>
      <c r="G632" s="7" t="s">
        <v>76</v>
      </c>
      <c r="H632" s="7" t="s">
        <v>77</v>
      </c>
      <c r="I632" s="7" t="s">
        <v>54</v>
      </c>
      <c r="J632" s="9" t="n">
        <v>0.204918032786885</v>
      </c>
      <c r="K632" s="9" t="n">
        <v>0.19672131147541</v>
      </c>
      <c r="L632" s="10" t="n">
        <f aca="false">K632-J632</f>
        <v>-0.0081967213114755</v>
      </c>
      <c r="M632" s="10" t="n">
        <f aca="false">IF(I632="higher",L632,-L632)</f>
        <v>0.0081967213114755</v>
      </c>
    </row>
    <row r="633" customFormat="false" ht="15" hidden="false" customHeight="false" outlineLevel="0" collapsed="false">
      <c r="A633" s="7" t="s">
        <v>48</v>
      </c>
      <c r="B633" s="7" t="s">
        <v>10</v>
      </c>
      <c r="C633" s="7" t="s">
        <v>49</v>
      </c>
      <c r="D633" s="7" t="s">
        <v>106</v>
      </c>
      <c r="E633" s="7" t="s">
        <v>51</v>
      </c>
      <c r="F633" s="8" t="b">
        <f aca="false">TRUE()</f>
        <v>1</v>
      </c>
      <c r="G633" s="7" t="s">
        <v>78</v>
      </c>
      <c r="H633" s="7" t="s">
        <v>79</v>
      </c>
      <c r="I633" s="7" t="s">
        <v>54</v>
      </c>
      <c r="J633" s="9" t="n">
        <v>0</v>
      </c>
      <c r="K633" s="9" t="n">
        <v>0</v>
      </c>
      <c r="L633" s="10" t="n">
        <f aca="false">K633-J633</f>
        <v>0</v>
      </c>
      <c r="M633" s="10" t="n">
        <f aca="false">IF(I633="higher",L633,-L633)</f>
        <v>-0</v>
      </c>
    </row>
    <row r="634" customFormat="false" ht="15" hidden="false" customHeight="false" outlineLevel="0" collapsed="false">
      <c r="A634" s="7" t="s">
        <v>48</v>
      </c>
      <c r="B634" s="7" t="s">
        <v>10</v>
      </c>
      <c r="C634" s="7" t="s">
        <v>49</v>
      </c>
      <c r="D634" s="7" t="s">
        <v>106</v>
      </c>
      <c r="E634" s="7" t="s">
        <v>51</v>
      </c>
      <c r="F634" s="8" t="b">
        <f aca="false">TRUE()</f>
        <v>1</v>
      </c>
      <c r="G634" s="7" t="s">
        <v>80</v>
      </c>
      <c r="H634" s="7" t="s">
        <v>81</v>
      </c>
      <c r="I634" s="7" t="s">
        <v>54</v>
      </c>
      <c r="J634" s="9" t="n">
        <v>0</v>
      </c>
      <c r="K634" s="9" t="n">
        <v>0</v>
      </c>
      <c r="L634" s="10" t="n">
        <f aca="false">K634-J634</f>
        <v>0</v>
      </c>
      <c r="M634" s="10" t="n">
        <f aca="false">IF(I634="higher",L634,-L634)</f>
        <v>-0</v>
      </c>
    </row>
    <row r="635" customFormat="false" ht="15" hidden="false" customHeight="false" outlineLevel="0" collapsed="false">
      <c r="A635" s="7" t="s">
        <v>82</v>
      </c>
      <c r="B635" s="7" t="s">
        <v>83</v>
      </c>
      <c r="C635" s="7" t="s">
        <v>49</v>
      </c>
      <c r="D635" s="7" t="s">
        <v>106</v>
      </c>
      <c r="E635" s="7" t="s">
        <v>51</v>
      </c>
      <c r="F635" s="8" t="b">
        <f aca="false">TRUE()</f>
        <v>1</v>
      </c>
      <c r="G635" s="7" t="s">
        <v>52</v>
      </c>
      <c r="H635" s="7" t="s">
        <v>53</v>
      </c>
      <c r="I635" s="7" t="s">
        <v>54</v>
      </c>
      <c r="J635" s="9" t="n">
        <v>3.69531689806278</v>
      </c>
      <c r="K635" s="9" t="n">
        <v>3.1782518331838</v>
      </c>
      <c r="L635" s="10" t="n">
        <f aca="false">K635-J635</f>
        <v>-0.51706506487898</v>
      </c>
      <c r="M635" s="10" t="n">
        <f aca="false">IF(I635="higher",L635,-L635)</f>
        <v>0.51706506487898</v>
      </c>
    </row>
    <row r="636" customFormat="false" ht="15" hidden="false" customHeight="false" outlineLevel="0" collapsed="false">
      <c r="A636" s="7" t="s">
        <v>82</v>
      </c>
      <c r="B636" s="7" t="s">
        <v>83</v>
      </c>
      <c r="C636" s="7" t="s">
        <v>49</v>
      </c>
      <c r="D636" s="7" t="s">
        <v>106</v>
      </c>
      <c r="E636" s="7" t="s">
        <v>51</v>
      </c>
      <c r="F636" s="8" t="b">
        <f aca="false">TRUE()</f>
        <v>1</v>
      </c>
      <c r="G636" s="7" t="s">
        <v>55</v>
      </c>
      <c r="H636" s="7" t="s">
        <v>56</v>
      </c>
      <c r="I636" s="7" t="s">
        <v>54</v>
      </c>
      <c r="J636" s="9" t="n">
        <v>7.05793677211179</v>
      </c>
      <c r="K636" s="9" t="n">
        <v>6.16721851708683</v>
      </c>
      <c r="L636" s="10" t="n">
        <f aca="false">K636-J636</f>
        <v>-0.890718255024956</v>
      </c>
      <c r="M636" s="10" t="n">
        <f aca="false">IF(I636="higher",L636,-L636)</f>
        <v>0.890718255024956</v>
      </c>
    </row>
    <row r="637" customFormat="false" ht="15" hidden="false" customHeight="false" outlineLevel="0" collapsed="false">
      <c r="A637" s="7" t="s">
        <v>82</v>
      </c>
      <c r="B637" s="7" t="s">
        <v>83</v>
      </c>
      <c r="C637" s="7" t="s">
        <v>49</v>
      </c>
      <c r="D637" s="7" t="s">
        <v>106</v>
      </c>
      <c r="E637" s="7" t="s">
        <v>51</v>
      </c>
      <c r="F637" s="8" t="b">
        <f aca="false">TRUE()</f>
        <v>1</v>
      </c>
      <c r="G637" s="7" t="s">
        <v>57</v>
      </c>
      <c r="H637" s="7" t="s">
        <v>58</v>
      </c>
      <c r="I637" s="7" t="s">
        <v>54</v>
      </c>
      <c r="J637" s="9" t="n">
        <v>10.4241075730782</v>
      </c>
      <c r="K637" s="9" t="n">
        <v>3.73948963331854</v>
      </c>
      <c r="L637" s="10" t="n">
        <f aca="false">K637-J637</f>
        <v>-6.68461793975967</v>
      </c>
      <c r="M637" s="10" t="n">
        <f aca="false">IF(I637="higher",L637,-L637)</f>
        <v>6.68461793975967</v>
      </c>
    </row>
    <row r="638" customFormat="false" ht="15" hidden="false" customHeight="false" outlineLevel="0" collapsed="false">
      <c r="A638" s="7" t="s">
        <v>82</v>
      </c>
      <c r="B638" s="7" t="s">
        <v>83</v>
      </c>
      <c r="C638" s="7" t="s">
        <v>49</v>
      </c>
      <c r="D638" s="7" t="s">
        <v>106</v>
      </c>
      <c r="E638" s="7" t="s">
        <v>51</v>
      </c>
      <c r="F638" s="8" t="b">
        <f aca="false">TRUE()</f>
        <v>1</v>
      </c>
      <c r="G638" s="7" t="s">
        <v>59</v>
      </c>
      <c r="H638" s="7" t="s">
        <v>60</v>
      </c>
      <c r="I638" s="7" t="s">
        <v>54</v>
      </c>
      <c r="J638" s="9" t="n">
        <v>0.0795771957873668</v>
      </c>
      <c r="K638" s="9" t="n">
        <v>0.0935660008354223</v>
      </c>
      <c r="L638" s="10" t="n">
        <f aca="false">K638-J638</f>
        <v>0.0139888050480556</v>
      </c>
      <c r="M638" s="10" t="n">
        <f aca="false">IF(I638="higher",L638,-L638)</f>
        <v>-0.0139888050480556</v>
      </c>
    </row>
    <row r="639" customFormat="false" ht="15" hidden="false" customHeight="false" outlineLevel="0" collapsed="false">
      <c r="A639" s="7" t="s">
        <v>82</v>
      </c>
      <c r="B639" s="7" t="s">
        <v>83</v>
      </c>
      <c r="C639" s="7" t="s">
        <v>49</v>
      </c>
      <c r="D639" s="7" t="s">
        <v>106</v>
      </c>
      <c r="E639" s="7" t="s">
        <v>51</v>
      </c>
      <c r="F639" s="8" t="b">
        <f aca="false">TRUE()</f>
        <v>1</v>
      </c>
      <c r="G639" s="7" t="s">
        <v>61</v>
      </c>
      <c r="H639" s="7" t="s">
        <v>62</v>
      </c>
      <c r="I639" s="7" t="s">
        <v>54</v>
      </c>
      <c r="J639" s="9" t="n">
        <v>12.6338985035086</v>
      </c>
      <c r="K639" s="9" t="n">
        <v>16.7249604210872</v>
      </c>
      <c r="L639" s="10" t="n">
        <f aca="false">K639-J639</f>
        <v>4.09106191757865</v>
      </c>
      <c r="M639" s="10" t="n">
        <f aca="false">IF(I639="higher",L639,-L639)</f>
        <v>-4.09106191757865</v>
      </c>
    </row>
    <row r="640" customFormat="false" ht="15" hidden="false" customHeight="false" outlineLevel="0" collapsed="false">
      <c r="A640" s="7" t="s">
        <v>82</v>
      </c>
      <c r="B640" s="7" t="s">
        <v>83</v>
      </c>
      <c r="C640" s="7" t="s">
        <v>49</v>
      </c>
      <c r="D640" s="7" t="s">
        <v>106</v>
      </c>
      <c r="E640" s="7" t="s">
        <v>51</v>
      </c>
      <c r="F640" s="8" t="b">
        <f aca="false">TRUE()</f>
        <v>1</v>
      </c>
      <c r="G640" s="7" t="s">
        <v>63</v>
      </c>
      <c r="H640" s="7" t="s">
        <v>64</v>
      </c>
      <c r="I640" s="7" t="s">
        <v>54</v>
      </c>
      <c r="J640" s="9" t="n">
        <v>6.59322449078494</v>
      </c>
      <c r="K640" s="9" t="n">
        <v>8.97875436882676</v>
      </c>
      <c r="L640" s="10" t="n">
        <f aca="false">K640-J640</f>
        <v>2.38552987804182</v>
      </c>
      <c r="M640" s="10" t="n">
        <f aca="false">IF(I640="higher",L640,-L640)</f>
        <v>-2.38552987804182</v>
      </c>
    </row>
    <row r="641" customFormat="false" ht="15" hidden="false" customHeight="false" outlineLevel="0" collapsed="false">
      <c r="A641" s="7" t="s">
        <v>82</v>
      </c>
      <c r="B641" s="7" t="s">
        <v>83</v>
      </c>
      <c r="C641" s="7" t="s">
        <v>49</v>
      </c>
      <c r="D641" s="7" t="s">
        <v>106</v>
      </c>
      <c r="E641" s="7" t="s">
        <v>51</v>
      </c>
      <c r="F641" s="8" t="b">
        <f aca="false">TRUE()</f>
        <v>1</v>
      </c>
      <c r="G641" s="7" t="s">
        <v>65</v>
      </c>
      <c r="H641" s="7" t="s">
        <v>66</v>
      </c>
      <c r="I641" s="7" t="s">
        <v>54</v>
      </c>
      <c r="J641" s="9" t="n">
        <v>11.798909170312</v>
      </c>
      <c r="K641" s="9" t="n">
        <v>14.6475744488026</v>
      </c>
      <c r="L641" s="10" t="n">
        <f aca="false">K641-J641</f>
        <v>2.84866527849056</v>
      </c>
      <c r="M641" s="10" t="n">
        <f aca="false">IF(I641="higher",L641,-L641)</f>
        <v>-2.84866527849056</v>
      </c>
    </row>
    <row r="642" customFormat="false" ht="15" hidden="false" customHeight="false" outlineLevel="0" collapsed="false">
      <c r="A642" s="7" t="s">
        <v>82</v>
      </c>
      <c r="B642" s="7" t="s">
        <v>83</v>
      </c>
      <c r="C642" s="7" t="s">
        <v>49</v>
      </c>
      <c r="D642" s="7" t="s">
        <v>106</v>
      </c>
      <c r="E642" s="7" t="s">
        <v>51</v>
      </c>
      <c r="F642" s="8" t="b">
        <f aca="false">TRUE()</f>
        <v>1</v>
      </c>
      <c r="G642" s="7" t="s">
        <v>67</v>
      </c>
      <c r="H642" s="7" t="s">
        <v>68</v>
      </c>
      <c r="I642" s="7" t="s">
        <v>54</v>
      </c>
      <c r="J642" s="9" t="n">
        <v>20.8305127320607</v>
      </c>
      <c r="K642" s="9" t="n">
        <v>19.8475518656748</v>
      </c>
      <c r="L642" s="10" t="n">
        <f aca="false">K642-J642</f>
        <v>-0.982960866385991</v>
      </c>
      <c r="M642" s="10" t="n">
        <f aca="false">IF(I642="higher",L642,-L642)</f>
        <v>0.982960866385991</v>
      </c>
    </row>
    <row r="643" customFormat="false" ht="15" hidden="false" customHeight="false" outlineLevel="0" collapsed="false">
      <c r="A643" s="7" t="s">
        <v>82</v>
      </c>
      <c r="B643" s="7" t="s">
        <v>83</v>
      </c>
      <c r="C643" s="7" t="s">
        <v>49</v>
      </c>
      <c r="D643" s="7" t="s">
        <v>106</v>
      </c>
      <c r="E643" s="7" t="s">
        <v>51</v>
      </c>
      <c r="F643" s="8" t="b">
        <f aca="false">TRUE()</f>
        <v>1</v>
      </c>
      <c r="G643" s="7" t="s">
        <v>69</v>
      </c>
      <c r="H643" s="7" t="s">
        <v>70</v>
      </c>
      <c r="I643" s="7" t="s">
        <v>71</v>
      </c>
      <c r="J643" s="9" t="n">
        <v>0.317460317460317</v>
      </c>
      <c r="K643" s="9" t="n">
        <v>0.26984126984127</v>
      </c>
      <c r="L643" s="10" t="n">
        <f aca="false">K643-J643</f>
        <v>-0.0476190476190476</v>
      </c>
      <c r="M643" s="10" t="n">
        <f aca="false">IF(I643="higher",L643,-L643)</f>
        <v>-0.0476190476190476</v>
      </c>
    </row>
    <row r="644" customFormat="false" ht="15" hidden="false" customHeight="false" outlineLevel="0" collapsed="false">
      <c r="A644" s="7" t="s">
        <v>82</v>
      </c>
      <c r="B644" s="7" t="s">
        <v>83</v>
      </c>
      <c r="C644" s="7" t="s">
        <v>49</v>
      </c>
      <c r="D644" s="7" t="s">
        <v>106</v>
      </c>
      <c r="E644" s="7" t="s">
        <v>51</v>
      </c>
      <c r="F644" s="8" t="b">
        <f aca="false">TRUE()</f>
        <v>1</v>
      </c>
      <c r="G644" s="7" t="s">
        <v>72</v>
      </c>
      <c r="H644" s="7" t="s">
        <v>73</v>
      </c>
      <c r="I644" s="7" t="s">
        <v>71</v>
      </c>
      <c r="J644" s="9" t="n">
        <v>0.555555555555556</v>
      </c>
      <c r="K644" s="9" t="n">
        <v>0.571428571428571</v>
      </c>
      <c r="L644" s="10" t="n">
        <f aca="false">K644-J644</f>
        <v>0.0158730158730158</v>
      </c>
      <c r="M644" s="10" t="n">
        <f aca="false">IF(I644="higher",L644,-L644)</f>
        <v>0.0158730158730158</v>
      </c>
    </row>
    <row r="645" customFormat="false" ht="15" hidden="false" customHeight="false" outlineLevel="0" collapsed="false">
      <c r="A645" s="7" t="s">
        <v>82</v>
      </c>
      <c r="B645" s="7" t="s">
        <v>83</v>
      </c>
      <c r="C645" s="7" t="s">
        <v>49</v>
      </c>
      <c r="D645" s="7" t="s">
        <v>106</v>
      </c>
      <c r="E645" s="7" t="s">
        <v>51</v>
      </c>
      <c r="F645" s="8" t="b">
        <f aca="false">TRUE()</f>
        <v>1</v>
      </c>
      <c r="G645" s="7" t="s">
        <v>74</v>
      </c>
      <c r="H645" s="7" t="s">
        <v>75</v>
      </c>
      <c r="I645" s="7" t="s">
        <v>54</v>
      </c>
      <c r="J645" s="9" t="n">
        <v>0.0769230769230769</v>
      </c>
      <c r="K645" s="9" t="n">
        <v>0</v>
      </c>
      <c r="L645" s="10" t="n">
        <f aca="false">K645-J645</f>
        <v>-0.0769230769230769</v>
      </c>
      <c r="M645" s="10" t="n">
        <f aca="false">IF(I645="higher",L645,-L645)</f>
        <v>0.0769230769230769</v>
      </c>
    </row>
    <row r="646" customFormat="false" ht="15" hidden="false" customHeight="false" outlineLevel="0" collapsed="false">
      <c r="A646" s="7" t="s">
        <v>82</v>
      </c>
      <c r="B646" s="7" t="s">
        <v>83</v>
      </c>
      <c r="C646" s="7" t="s">
        <v>49</v>
      </c>
      <c r="D646" s="7" t="s">
        <v>106</v>
      </c>
      <c r="E646" s="7" t="s">
        <v>51</v>
      </c>
      <c r="F646" s="8" t="b">
        <f aca="false">TRUE()</f>
        <v>1</v>
      </c>
      <c r="G646" s="7" t="s">
        <v>76</v>
      </c>
      <c r="H646" s="7" t="s">
        <v>77</v>
      </c>
      <c r="I646" s="7" t="s">
        <v>54</v>
      </c>
      <c r="J646" s="9" t="n">
        <v>0.131147540983607</v>
      </c>
      <c r="K646" s="9" t="n">
        <v>0.19672131147541</v>
      </c>
      <c r="L646" s="10" t="n">
        <f aca="false">K646-J646</f>
        <v>0.0655737704918032</v>
      </c>
      <c r="M646" s="10" t="n">
        <f aca="false">IF(I646="higher",L646,-L646)</f>
        <v>-0.0655737704918032</v>
      </c>
    </row>
    <row r="647" customFormat="false" ht="15" hidden="false" customHeight="false" outlineLevel="0" collapsed="false">
      <c r="A647" s="7" t="s">
        <v>82</v>
      </c>
      <c r="B647" s="7" t="s">
        <v>83</v>
      </c>
      <c r="C647" s="7" t="s">
        <v>49</v>
      </c>
      <c r="D647" s="7" t="s">
        <v>106</v>
      </c>
      <c r="E647" s="7" t="s">
        <v>51</v>
      </c>
      <c r="F647" s="8" t="b">
        <f aca="false">TRUE()</f>
        <v>1</v>
      </c>
      <c r="G647" s="7" t="s">
        <v>78</v>
      </c>
      <c r="H647" s="7" t="s">
        <v>79</v>
      </c>
      <c r="I647" s="7" t="s">
        <v>54</v>
      </c>
      <c r="J647" s="9" t="n">
        <v>0</v>
      </c>
      <c r="K647" s="9" t="n">
        <v>0</v>
      </c>
      <c r="L647" s="10" t="n">
        <f aca="false">K647-J647</f>
        <v>0</v>
      </c>
      <c r="M647" s="10" t="n">
        <f aca="false">IF(I647="higher",L647,-L647)</f>
        <v>-0</v>
      </c>
    </row>
    <row r="648" customFormat="false" ht="15" hidden="false" customHeight="false" outlineLevel="0" collapsed="false">
      <c r="A648" s="7" t="s">
        <v>82</v>
      </c>
      <c r="B648" s="7" t="s">
        <v>83</v>
      </c>
      <c r="C648" s="7" t="s">
        <v>49</v>
      </c>
      <c r="D648" s="7" t="s">
        <v>106</v>
      </c>
      <c r="E648" s="7" t="s">
        <v>51</v>
      </c>
      <c r="F648" s="8" t="b">
        <f aca="false">TRUE()</f>
        <v>1</v>
      </c>
      <c r="G648" s="7" t="s">
        <v>80</v>
      </c>
      <c r="H648" s="7" t="s">
        <v>81</v>
      </c>
      <c r="I648" s="7" t="s">
        <v>54</v>
      </c>
      <c r="J648" s="9" t="n">
        <v>0</v>
      </c>
      <c r="K648" s="9" t="n">
        <v>0</v>
      </c>
      <c r="L648" s="10" t="n">
        <f aca="false">K648-J648</f>
        <v>0</v>
      </c>
      <c r="M648" s="10" t="n">
        <f aca="false">IF(I648="higher",L648,-L648)</f>
        <v>-0</v>
      </c>
    </row>
    <row r="649" customFormat="false" ht="15" hidden="false" customHeight="false" outlineLevel="0" collapsed="false">
      <c r="A649" s="7" t="s">
        <v>48</v>
      </c>
      <c r="B649" s="7" t="s">
        <v>10</v>
      </c>
      <c r="C649" s="7" t="s">
        <v>49</v>
      </c>
      <c r="D649" s="7" t="s">
        <v>107</v>
      </c>
      <c r="E649" s="7" t="s">
        <v>51</v>
      </c>
      <c r="F649" s="8" t="b">
        <f aca="false">TRUE()</f>
        <v>1</v>
      </c>
      <c r="G649" s="7" t="s">
        <v>52</v>
      </c>
      <c r="H649" s="7" t="s">
        <v>53</v>
      </c>
      <c r="I649" s="7" t="s">
        <v>54</v>
      </c>
      <c r="J649" s="9" t="n">
        <v>4.40843975063471</v>
      </c>
      <c r="K649" s="9" t="n">
        <v>3.07697501411768</v>
      </c>
      <c r="L649" s="10" t="n">
        <f aca="false">K649-J649</f>
        <v>-1.33146473651702</v>
      </c>
      <c r="M649" s="10" t="n">
        <f aca="false">IF(I649="higher",L649,-L649)</f>
        <v>1.33146473651702</v>
      </c>
    </row>
    <row r="650" customFormat="false" ht="15" hidden="false" customHeight="false" outlineLevel="0" collapsed="false">
      <c r="A650" s="7" t="s">
        <v>48</v>
      </c>
      <c r="B650" s="7" t="s">
        <v>10</v>
      </c>
      <c r="C650" s="7" t="s">
        <v>49</v>
      </c>
      <c r="D650" s="7" t="s">
        <v>107</v>
      </c>
      <c r="E650" s="7" t="s">
        <v>51</v>
      </c>
      <c r="F650" s="8" t="b">
        <f aca="false">TRUE()</f>
        <v>1</v>
      </c>
      <c r="G650" s="7" t="s">
        <v>55</v>
      </c>
      <c r="H650" s="7" t="s">
        <v>56</v>
      </c>
      <c r="I650" s="7" t="s">
        <v>54</v>
      </c>
      <c r="J650" s="9" t="n">
        <v>6.78153719731961</v>
      </c>
      <c r="K650" s="9" t="n">
        <v>6.25415150245964</v>
      </c>
      <c r="L650" s="10" t="n">
        <f aca="false">K650-J650</f>
        <v>-0.527385694859969</v>
      </c>
      <c r="M650" s="10" t="n">
        <f aca="false">IF(I650="higher",L650,-L650)</f>
        <v>0.527385694859969</v>
      </c>
    </row>
    <row r="651" customFormat="false" ht="15" hidden="false" customHeight="false" outlineLevel="0" collapsed="false">
      <c r="A651" s="7" t="s">
        <v>48</v>
      </c>
      <c r="B651" s="7" t="s">
        <v>10</v>
      </c>
      <c r="C651" s="7" t="s">
        <v>49</v>
      </c>
      <c r="D651" s="7" t="s">
        <v>107</v>
      </c>
      <c r="E651" s="7" t="s">
        <v>51</v>
      </c>
      <c r="F651" s="8" t="b">
        <f aca="false">TRUE()</f>
        <v>1</v>
      </c>
      <c r="G651" s="7" t="s">
        <v>57</v>
      </c>
      <c r="H651" s="7" t="s">
        <v>58</v>
      </c>
      <c r="I651" s="7" t="s">
        <v>54</v>
      </c>
      <c r="J651" s="9" t="n">
        <v>3.74206596279424</v>
      </c>
      <c r="K651" s="9" t="n">
        <v>3.32713286650569</v>
      </c>
      <c r="L651" s="10" t="n">
        <f aca="false">K651-J651</f>
        <v>-0.414933096288545</v>
      </c>
      <c r="M651" s="10" t="n">
        <f aca="false">IF(I651="higher",L651,-L651)</f>
        <v>0.414933096288545</v>
      </c>
    </row>
    <row r="652" customFormat="false" ht="15" hidden="false" customHeight="false" outlineLevel="0" collapsed="false">
      <c r="A652" s="7" t="s">
        <v>48</v>
      </c>
      <c r="B652" s="7" t="s">
        <v>10</v>
      </c>
      <c r="C652" s="7" t="s">
        <v>49</v>
      </c>
      <c r="D652" s="7" t="s">
        <v>107</v>
      </c>
      <c r="E652" s="7" t="s">
        <v>51</v>
      </c>
      <c r="F652" s="8" t="b">
        <f aca="false">TRUE()</f>
        <v>1</v>
      </c>
      <c r="G652" s="7" t="s">
        <v>59</v>
      </c>
      <c r="H652" s="7" t="s">
        <v>60</v>
      </c>
      <c r="I652" s="7" t="s">
        <v>54</v>
      </c>
      <c r="J652" s="9" t="n">
        <v>0.0874518582392837</v>
      </c>
      <c r="K652" s="9" t="n">
        <v>0.0502160886953991</v>
      </c>
      <c r="L652" s="10" t="n">
        <f aca="false">K652-J652</f>
        <v>-0.0372357695438847</v>
      </c>
      <c r="M652" s="10" t="n">
        <f aca="false">IF(I652="higher",L652,-L652)</f>
        <v>0.0372357695438847</v>
      </c>
    </row>
    <row r="653" customFormat="false" ht="15" hidden="false" customHeight="false" outlineLevel="0" collapsed="false">
      <c r="A653" s="7" t="s">
        <v>48</v>
      </c>
      <c r="B653" s="7" t="s">
        <v>10</v>
      </c>
      <c r="C653" s="7" t="s">
        <v>49</v>
      </c>
      <c r="D653" s="7" t="s">
        <v>107</v>
      </c>
      <c r="E653" s="7" t="s">
        <v>51</v>
      </c>
      <c r="F653" s="8" t="b">
        <f aca="false">TRUE()</f>
        <v>1</v>
      </c>
      <c r="G653" s="7" t="s">
        <v>61</v>
      </c>
      <c r="H653" s="7" t="s">
        <v>62</v>
      </c>
      <c r="I653" s="7" t="s">
        <v>54</v>
      </c>
      <c r="J653" s="9" t="n">
        <v>11.8090460970523</v>
      </c>
      <c r="K653" s="9" t="n">
        <v>11.3456555929732</v>
      </c>
      <c r="L653" s="10" t="n">
        <f aca="false">K653-J653</f>
        <v>-0.463390504079149</v>
      </c>
      <c r="M653" s="10" t="n">
        <f aca="false">IF(I653="higher",L653,-L653)</f>
        <v>0.463390504079149</v>
      </c>
    </row>
    <row r="654" customFormat="false" ht="15" hidden="false" customHeight="false" outlineLevel="0" collapsed="false">
      <c r="A654" s="7" t="s">
        <v>48</v>
      </c>
      <c r="B654" s="7" t="s">
        <v>10</v>
      </c>
      <c r="C654" s="7" t="s">
        <v>49</v>
      </c>
      <c r="D654" s="7" t="s">
        <v>107</v>
      </c>
      <c r="E654" s="7" t="s">
        <v>51</v>
      </c>
      <c r="F654" s="8" t="b">
        <f aca="false">TRUE()</f>
        <v>1</v>
      </c>
      <c r="G654" s="7" t="s">
        <v>63</v>
      </c>
      <c r="H654" s="7" t="s">
        <v>64</v>
      </c>
      <c r="I654" s="7" t="s">
        <v>54</v>
      </c>
      <c r="J654" s="9" t="n">
        <v>7.22653849037132</v>
      </c>
      <c r="K654" s="9" t="n">
        <v>5.32038137768154</v>
      </c>
      <c r="L654" s="10" t="n">
        <f aca="false">K654-J654</f>
        <v>-1.90615711268978</v>
      </c>
      <c r="M654" s="10" t="n">
        <f aca="false">IF(I654="higher",L654,-L654)</f>
        <v>1.90615711268978</v>
      </c>
    </row>
    <row r="655" customFormat="false" ht="15" hidden="false" customHeight="false" outlineLevel="0" collapsed="false">
      <c r="A655" s="7" t="s">
        <v>48</v>
      </c>
      <c r="B655" s="7" t="s">
        <v>10</v>
      </c>
      <c r="C655" s="7" t="s">
        <v>49</v>
      </c>
      <c r="D655" s="7" t="s">
        <v>107</v>
      </c>
      <c r="E655" s="7" t="s">
        <v>51</v>
      </c>
      <c r="F655" s="8" t="b">
        <f aca="false">TRUE()</f>
        <v>1</v>
      </c>
      <c r="G655" s="7" t="s">
        <v>65</v>
      </c>
      <c r="H655" s="7" t="s">
        <v>66</v>
      </c>
      <c r="I655" s="7" t="s">
        <v>54</v>
      </c>
      <c r="J655" s="9" t="n">
        <v>10.7433714755092</v>
      </c>
      <c r="K655" s="9" t="n">
        <v>9.8014300093305</v>
      </c>
      <c r="L655" s="10" t="n">
        <f aca="false">K655-J655</f>
        <v>-0.941941466178745</v>
      </c>
      <c r="M655" s="10" t="n">
        <f aca="false">IF(I655="higher",L655,-L655)</f>
        <v>0.941941466178745</v>
      </c>
    </row>
    <row r="656" customFormat="false" ht="15" hidden="false" customHeight="false" outlineLevel="0" collapsed="false">
      <c r="A656" s="7" t="s">
        <v>48</v>
      </c>
      <c r="B656" s="7" t="s">
        <v>10</v>
      </c>
      <c r="C656" s="7" t="s">
        <v>49</v>
      </c>
      <c r="D656" s="7" t="s">
        <v>107</v>
      </c>
      <c r="E656" s="7" t="s">
        <v>51</v>
      </c>
      <c r="F656" s="8" t="b">
        <f aca="false">TRUE()</f>
        <v>1</v>
      </c>
      <c r="G656" s="7" t="s">
        <v>67</v>
      </c>
      <c r="H656" s="7" t="s">
        <v>68</v>
      </c>
      <c r="I656" s="7" t="s">
        <v>54</v>
      </c>
      <c r="J656" s="9" t="n">
        <v>15.559178850238</v>
      </c>
      <c r="K656" s="9" t="n">
        <v>14.9300445110525</v>
      </c>
      <c r="L656" s="10" t="n">
        <f aca="false">K656-J656</f>
        <v>-0.62913433918556</v>
      </c>
      <c r="M656" s="10" t="n">
        <f aca="false">IF(I656="higher",L656,-L656)</f>
        <v>0.62913433918556</v>
      </c>
    </row>
    <row r="657" customFormat="false" ht="15" hidden="false" customHeight="false" outlineLevel="0" collapsed="false">
      <c r="A657" s="7" t="s">
        <v>48</v>
      </c>
      <c r="B657" s="7" t="s">
        <v>10</v>
      </c>
      <c r="C657" s="7" t="s">
        <v>49</v>
      </c>
      <c r="D657" s="7" t="s">
        <v>107</v>
      </c>
      <c r="E657" s="7" t="s">
        <v>51</v>
      </c>
      <c r="F657" s="8" t="b">
        <f aca="false">TRUE()</f>
        <v>1</v>
      </c>
      <c r="G657" s="7" t="s">
        <v>69</v>
      </c>
      <c r="H657" s="7" t="s">
        <v>70</v>
      </c>
      <c r="I657" s="7" t="s">
        <v>71</v>
      </c>
      <c r="J657" s="9" t="n">
        <v>0.540983606557377</v>
      </c>
      <c r="K657" s="9" t="n">
        <v>0.557377049180328</v>
      </c>
      <c r="L657" s="10" t="n">
        <f aca="false">K657-J657</f>
        <v>0.0163934426229507</v>
      </c>
      <c r="M657" s="10" t="n">
        <f aca="false">IF(I657="higher",L657,-L657)</f>
        <v>0.0163934426229507</v>
      </c>
    </row>
    <row r="658" customFormat="false" ht="15" hidden="false" customHeight="false" outlineLevel="0" collapsed="false">
      <c r="A658" s="7" t="s">
        <v>48</v>
      </c>
      <c r="B658" s="7" t="s">
        <v>10</v>
      </c>
      <c r="C658" s="7" t="s">
        <v>49</v>
      </c>
      <c r="D658" s="7" t="s">
        <v>107</v>
      </c>
      <c r="E658" s="7" t="s">
        <v>51</v>
      </c>
      <c r="F658" s="8" t="b">
        <f aca="false">TRUE()</f>
        <v>1</v>
      </c>
      <c r="G658" s="7" t="s">
        <v>72</v>
      </c>
      <c r="H658" s="7" t="s">
        <v>73</v>
      </c>
      <c r="I658" s="7" t="s">
        <v>71</v>
      </c>
      <c r="J658" s="9" t="n">
        <v>0.754098360655738</v>
      </c>
      <c r="K658" s="9" t="n">
        <v>0.704918032786885</v>
      </c>
      <c r="L658" s="10" t="n">
        <f aca="false">K658-J658</f>
        <v>-0.0491803278688524</v>
      </c>
      <c r="M658" s="10" t="n">
        <f aca="false">IF(I658="higher",L658,-L658)</f>
        <v>-0.0491803278688524</v>
      </c>
    </row>
    <row r="659" customFormat="false" ht="15" hidden="false" customHeight="false" outlineLevel="0" collapsed="false">
      <c r="A659" s="7" t="s">
        <v>48</v>
      </c>
      <c r="B659" s="7" t="s">
        <v>10</v>
      </c>
      <c r="C659" s="7" t="s">
        <v>49</v>
      </c>
      <c r="D659" s="7" t="s">
        <v>107</v>
      </c>
      <c r="E659" s="7" t="s">
        <v>51</v>
      </c>
      <c r="F659" s="8" t="b">
        <f aca="false">TRUE()</f>
        <v>1</v>
      </c>
      <c r="G659" s="7" t="s">
        <v>74</v>
      </c>
      <c r="H659" s="7" t="s">
        <v>75</v>
      </c>
      <c r="I659" s="7" t="s">
        <v>54</v>
      </c>
      <c r="J659" s="9" t="n">
        <v>0.266666666666667</v>
      </c>
      <c r="K659" s="9" t="n">
        <v>0.333333333333333</v>
      </c>
      <c r="L659" s="10" t="n">
        <f aca="false">K659-J659</f>
        <v>0.0666666666666666</v>
      </c>
      <c r="M659" s="10" t="n">
        <f aca="false">IF(I659="higher",L659,-L659)</f>
        <v>-0.0666666666666666</v>
      </c>
    </row>
    <row r="660" customFormat="false" ht="15" hidden="false" customHeight="false" outlineLevel="0" collapsed="false">
      <c r="A660" s="7" t="s">
        <v>48</v>
      </c>
      <c r="B660" s="7" t="s">
        <v>10</v>
      </c>
      <c r="C660" s="7" t="s">
        <v>49</v>
      </c>
      <c r="D660" s="7" t="s">
        <v>107</v>
      </c>
      <c r="E660" s="7" t="s">
        <v>51</v>
      </c>
      <c r="F660" s="8" t="b">
        <f aca="false">TRUE()</f>
        <v>1</v>
      </c>
      <c r="G660" s="7" t="s">
        <v>76</v>
      </c>
      <c r="H660" s="7" t="s">
        <v>77</v>
      </c>
      <c r="I660" s="7" t="s">
        <v>54</v>
      </c>
      <c r="J660" s="9" t="n">
        <v>0.119266055045872</v>
      </c>
      <c r="K660" s="9" t="n">
        <v>0.0825688073394496</v>
      </c>
      <c r="L660" s="10" t="n">
        <f aca="false">K660-J660</f>
        <v>-0.036697247706422</v>
      </c>
      <c r="M660" s="10" t="n">
        <f aca="false">IF(I660="higher",L660,-L660)</f>
        <v>0.036697247706422</v>
      </c>
    </row>
    <row r="661" customFormat="false" ht="15" hidden="false" customHeight="false" outlineLevel="0" collapsed="false">
      <c r="A661" s="7" t="s">
        <v>48</v>
      </c>
      <c r="B661" s="7" t="s">
        <v>10</v>
      </c>
      <c r="C661" s="7" t="s">
        <v>49</v>
      </c>
      <c r="D661" s="7" t="s">
        <v>107</v>
      </c>
      <c r="E661" s="7" t="s">
        <v>51</v>
      </c>
      <c r="F661" s="8" t="b">
        <f aca="false">TRUE()</f>
        <v>1</v>
      </c>
      <c r="G661" s="7" t="s">
        <v>78</v>
      </c>
      <c r="H661" s="7" t="s">
        <v>79</v>
      </c>
      <c r="I661" s="7" t="s">
        <v>54</v>
      </c>
      <c r="J661" s="9" t="n">
        <v>0</v>
      </c>
      <c r="K661" s="9" t="n">
        <v>0</v>
      </c>
      <c r="L661" s="10" t="n">
        <f aca="false">K661-J661</f>
        <v>0</v>
      </c>
      <c r="M661" s="10" t="n">
        <f aca="false">IF(I661="higher",L661,-L661)</f>
        <v>-0</v>
      </c>
    </row>
    <row r="662" customFormat="false" ht="15" hidden="false" customHeight="false" outlineLevel="0" collapsed="false">
      <c r="A662" s="7" t="s">
        <v>48</v>
      </c>
      <c r="B662" s="7" t="s">
        <v>10</v>
      </c>
      <c r="C662" s="7" t="s">
        <v>49</v>
      </c>
      <c r="D662" s="7" t="s">
        <v>107</v>
      </c>
      <c r="E662" s="7" t="s">
        <v>51</v>
      </c>
      <c r="F662" s="8" t="b">
        <f aca="false">TRUE()</f>
        <v>1</v>
      </c>
      <c r="G662" s="7" t="s">
        <v>80</v>
      </c>
      <c r="H662" s="7" t="s">
        <v>81</v>
      </c>
      <c r="I662" s="7" t="s">
        <v>54</v>
      </c>
      <c r="J662" s="9" t="n">
        <v>0</v>
      </c>
      <c r="K662" s="9" t="n">
        <v>0</v>
      </c>
      <c r="L662" s="10" t="n">
        <f aca="false">K662-J662</f>
        <v>0</v>
      </c>
      <c r="M662" s="10" t="n">
        <f aca="false">IF(I662="higher",L662,-L662)</f>
        <v>-0</v>
      </c>
    </row>
    <row r="663" customFormat="false" ht="15" hidden="false" customHeight="false" outlineLevel="0" collapsed="false">
      <c r="A663" s="7" t="s">
        <v>82</v>
      </c>
      <c r="B663" s="7" t="s">
        <v>83</v>
      </c>
      <c r="C663" s="7" t="s">
        <v>49</v>
      </c>
      <c r="D663" s="7" t="s">
        <v>107</v>
      </c>
      <c r="E663" s="7" t="s">
        <v>51</v>
      </c>
      <c r="F663" s="8" t="b">
        <f aca="false">TRUE()</f>
        <v>1</v>
      </c>
      <c r="G663" s="7" t="s">
        <v>52</v>
      </c>
      <c r="H663" s="7" t="s">
        <v>53</v>
      </c>
      <c r="I663" s="7" t="s">
        <v>54</v>
      </c>
      <c r="J663" s="9" t="n">
        <v>3.14977375596365</v>
      </c>
      <c r="K663" s="9" t="n">
        <v>3.07697501411768</v>
      </c>
      <c r="L663" s="10" t="n">
        <f aca="false">K663-J663</f>
        <v>-0.072798741845967</v>
      </c>
      <c r="M663" s="10" t="n">
        <f aca="false">IF(I663="higher",L663,-L663)</f>
        <v>0.072798741845967</v>
      </c>
    </row>
    <row r="664" customFormat="false" ht="15" hidden="false" customHeight="false" outlineLevel="0" collapsed="false">
      <c r="A664" s="7" t="s">
        <v>82</v>
      </c>
      <c r="B664" s="7" t="s">
        <v>83</v>
      </c>
      <c r="C664" s="7" t="s">
        <v>49</v>
      </c>
      <c r="D664" s="7" t="s">
        <v>107</v>
      </c>
      <c r="E664" s="7" t="s">
        <v>51</v>
      </c>
      <c r="F664" s="8" t="b">
        <f aca="false">TRUE()</f>
        <v>1</v>
      </c>
      <c r="G664" s="7" t="s">
        <v>55</v>
      </c>
      <c r="H664" s="7" t="s">
        <v>56</v>
      </c>
      <c r="I664" s="7" t="s">
        <v>54</v>
      </c>
      <c r="J664" s="9" t="n">
        <v>6.64689622701032</v>
      </c>
      <c r="K664" s="9" t="n">
        <v>6.25415150245964</v>
      </c>
      <c r="L664" s="10" t="n">
        <f aca="false">K664-J664</f>
        <v>-0.392744724550679</v>
      </c>
      <c r="M664" s="10" t="n">
        <f aca="false">IF(I664="higher",L664,-L664)</f>
        <v>0.392744724550679</v>
      </c>
    </row>
    <row r="665" customFormat="false" ht="15" hidden="false" customHeight="false" outlineLevel="0" collapsed="false">
      <c r="A665" s="7" t="s">
        <v>82</v>
      </c>
      <c r="B665" s="7" t="s">
        <v>83</v>
      </c>
      <c r="C665" s="7" t="s">
        <v>49</v>
      </c>
      <c r="D665" s="7" t="s">
        <v>107</v>
      </c>
      <c r="E665" s="7" t="s">
        <v>51</v>
      </c>
      <c r="F665" s="8" t="b">
        <f aca="false">TRUE()</f>
        <v>1</v>
      </c>
      <c r="G665" s="7" t="s">
        <v>57</v>
      </c>
      <c r="H665" s="7" t="s">
        <v>58</v>
      </c>
      <c r="I665" s="7" t="s">
        <v>54</v>
      </c>
      <c r="J665" s="9" t="n">
        <v>3.98312930255224</v>
      </c>
      <c r="K665" s="9" t="n">
        <v>3.32713286650569</v>
      </c>
      <c r="L665" s="10" t="n">
        <f aca="false">K665-J665</f>
        <v>-0.655996436046548</v>
      </c>
      <c r="M665" s="10" t="n">
        <f aca="false">IF(I665="higher",L665,-L665)</f>
        <v>0.655996436046548</v>
      </c>
    </row>
    <row r="666" customFormat="false" ht="15" hidden="false" customHeight="false" outlineLevel="0" collapsed="false">
      <c r="A666" s="7" t="s">
        <v>82</v>
      </c>
      <c r="B666" s="7" t="s">
        <v>83</v>
      </c>
      <c r="C666" s="7" t="s">
        <v>49</v>
      </c>
      <c r="D666" s="7" t="s">
        <v>107</v>
      </c>
      <c r="E666" s="7" t="s">
        <v>51</v>
      </c>
      <c r="F666" s="8" t="b">
        <f aca="false">TRUE()</f>
        <v>1</v>
      </c>
      <c r="G666" s="7" t="s">
        <v>59</v>
      </c>
      <c r="H666" s="7" t="s">
        <v>60</v>
      </c>
      <c r="I666" s="7" t="s">
        <v>54</v>
      </c>
      <c r="J666" s="9" t="n">
        <v>0.0693274476539254</v>
      </c>
      <c r="K666" s="9" t="n">
        <v>0.0502160886953991</v>
      </c>
      <c r="L666" s="10" t="n">
        <f aca="false">K666-J666</f>
        <v>-0.0191113589585263</v>
      </c>
      <c r="M666" s="10" t="n">
        <f aca="false">IF(I666="higher",L666,-L666)</f>
        <v>0.0191113589585263</v>
      </c>
    </row>
    <row r="667" customFormat="false" ht="15" hidden="false" customHeight="false" outlineLevel="0" collapsed="false">
      <c r="A667" s="7" t="s">
        <v>82</v>
      </c>
      <c r="B667" s="7" t="s">
        <v>83</v>
      </c>
      <c r="C667" s="7" t="s">
        <v>49</v>
      </c>
      <c r="D667" s="7" t="s">
        <v>107</v>
      </c>
      <c r="E667" s="7" t="s">
        <v>51</v>
      </c>
      <c r="F667" s="8" t="b">
        <f aca="false">TRUE()</f>
        <v>1</v>
      </c>
      <c r="G667" s="7" t="s">
        <v>61</v>
      </c>
      <c r="H667" s="7" t="s">
        <v>62</v>
      </c>
      <c r="I667" s="7" t="s">
        <v>54</v>
      </c>
      <c r="J667" s="9" t="n">
        <v>12.6010113423954</v>
      </c>
      <c r="K667" s="9" t="n">
        <v>11.3456555929732</v>
      </c>
      <c r="L667" s="10" t="n">
        <f aca="false">K667-J667</f>
        <v>-1.25535574942226</v>
      </c>
      <c r="M667" s="10" t="n">
        <f aca="false">IF(I667="higher",L667,-L667)</f>
        <v>1.25535574942226</v>
      </c>
    </row>
    <row r="668" customFormat="false" ht="15" hidden="false" customHeight="false" outlineLevel="0" collapsed="false">
      <c r="A668" s="7" t="s">
        <v>82</v>
      </c>
      <c r="B668" s="7" t="s">
        <v>83</v>
      </c>
      <c r="C668" s="7" t="s">
        <v>49</v>
      </c>
      <c r="D668" s="7" t="s">
        <v>107</v>
      </c>
      <c r="E668" s="7" t="s">
        <v>51</v>
      </c>
      <c r="F668" s="8" t="b">
        <f aca="false">TRUE()</f>
        <v>1</v>
      </c>
      <c r="G668" s="7" t="s">
        <v>63</v>
      </c>
      <c r="H668" s="7" t="s">
        <v>64</v>
      </c>
      <c r="I668" s="7" t="s">
        <v>54</v>
      </c>
      <c r="J668" s="9" t="n">
        <v>5.91086180876382</v>
      </c>
      <c r="K668" s="9" t="n">
        <v>5.32038137768154</v>
      </c>
      <c r="L668" s="10" t="n">
        <f aca="false">K668-J668</f>
        <v>-0.590480431082285</v>
      </c>
      <c r="M668" s="10" t="n">
        <f aca="false">IF(I668="higher",L668,-L668)</f>
        <v>0.590480431082285</v>
      </c>
    </row>
    <row r="669" customFormat="false" ht="15" hidden="false" customHeight="false" outlineLevel="0" collapsed="false">
      <c r="A669" s="7" t="s">
        <v>82</v>
      </c>
      <c r="B669" s="7" t="s">
        <v>83</v>
      </c>
      <c r="C669" s="7" t="s">
        <v>49</v>
      </c>
      <c r="D669" s="7" t="s">
        <v>107</v>
      </c>
      <c r="E669" s="7" t="s">
        <v>51</v>
      </c>
      <c r="F669" s="8" t="b">
        <f aca="false">TRUE()</f>
        <v>1</v>
      </c>
      <c r="G669" s="7" t="s">
        <v>65</v>
      </c>
      <c r="H669" s="7" t="s">
        <v>66</v>
      </c>
      <c r="I669" s="7" t="s">
        <v>54</v>
      </c>
      <c r="J669" s="9" t="n">
        <v>11.5465771668288</v>
      </c>
      <c r="K669" s="9" t="n">
        <v>9.8014300093305</v>
      </c>
      <c r="L669" s="10" t="n">
        <f aca="false">K669-J669</f>
        <v>-1.74514715749826</v>
      </c>
      <c r="M669" s="10" t="n">
        <f aca="false">IF(I669="higher",L669,-L669)</f>
        <v>1.74514715749826</v>
      </c>
    </row>
    <row r="670" customFormat="false" ht="15" hidden="false" customHeight="false" outlineLevel="0" collapsed="false">
      <c r="A670" s="7" t="s">
        <v>82</v>
      </c>
      <c r="B670" s="7" t="s">
        <v>83</v>
      </c>
      <c r="C670" s="7" t="s">
        <v>49</v>
      </c>
      <c r="D670" s="7" t="s">
        <v>107</v>
      </c>
      <c r="E670" s="7" t="s">
        <v>51</v>
      </c>
      <c r="F670" s="8" t="b">
        <f aca="false">TRUE()</f>
        <v>1</v>
      </c>
      <c r="G670" s="7" t="s">
        <v>67</v>
      </c>
      <c r="H670" s="7" t="s">
        <v>68</v>
      </c>
      <c r="I670" s="7" t="s">
        <v>54</v>
      </c>
      <c r="J670" s="9" t="n">
        <v>17.9086395216631</v>
      </c>
      <c r="K670" s="9" t="n">
        <v>14.9300445110525</v>
      </c>
      <c r="L670" s="10" t="n">
        <f aca="false">K670-J670</f>
        <v>-2.9785950106106</v>
      </c>
      <c r="M670" s="10" t="n">
        <f aca="false">IF(I670="higher",L670,-L670)</f>
        <v>2.9785950106106</v>
      </c>
    </row>
    <row r="671" customFormat="false" ht="15" hidden="false" customHeight="false" outlineLevel="0" collapsed="false">
      <c r="A671" s="7" t="s">
        <v>82</v>
      </c>
      <c r="B671" s="7" t="s">
        <v>83</v>
      </c>
      <c r="C671" s="7" t="s">
        <v>49</v>
      </c>
      <c r="D671" s="7" t="s">
        <v>107</v>
      </c>
      <c r="E671" s="7" t="s">
        <v>51</v>
      </c>
      <c r="F671" s="8" t="b">
        <f aca="false">TRUE()</f>
        <v>1</v>
      </c>
      <c r="G671" s="7" t="s">
        <v>69</v>
      </c>
      <c r="H671" s="7" t="s">
        <v>70</v>
      </c>
      <c r="I671" s="7" t="s">
        <v>71</v>
      </c>
      <c r="J671" s="9" t="n">
        <v>0.557377049180328</v>
      </c>
      <c r="K671" s="9" t="n">
        <v>0.557377049180328</v>
      </c>
      <c r="L671" s="10" t="n">
        <f aca="false">K671-J671</f>
        <v>0</v>
      </c>
      <c r="M671" s="10" t="n">
        <f aca="false">IF(I671="higher",L671,-L671)</f>
        <v>0</v>
      </c>
    </row>
    <row r="672" customFormat="false" ht="15" hidden="false" customHeight="false" outlineLevel="0" collapsed="false">
      <c r="A672" s="7" t="s">
        <v>82</v>
      </c>
      <c r="B672" s="7" t="s">
        <v>83</v>
      </c>
      <c r="C672" s="7" t="s">
        <v>49</v>
      </c>
      <c r="D672" s="7" t="s">
        <v>107</v>
      </c>
      <c r="E672" s="7" t="s">
        <v>51</v>
      </c>
      <c r="F672" s="8" t="b">
        <f aca="false">TRUE()</f>
        <v>1</v>
      </c>
      <c r="G672" s="7" t="s">
        <v>72</v>
      </c>
      <c r="H672" s="7" t="s">
        <v>73</v>
      </c>
      <c r="I672" s="7" t="s">
        <v>71</v>
      </c>
      <c r="J672" s="9" t="n">
        <v>0.868852459016393</v>
      </c>
      <c r="K672" s="9" t="n">
        <v>0.704918032786885</v>
      </c>
      <c r="L672" s="10" t="n">
        <f aca="false">K672-J672</f>
        <v>-0.163934426229508</v>
      </c>
      <c r="M672" s="10" t="n">
        <f aca="false">IF(I672="higher",L672,-L672)</f>
        <v>-0.163934426229508</v>
      </c>
    </row>
    <row r="673" customFormat="false" ht="15" hidden="false" customHeight="false" outlineLevel="0" collapsed="false">
      <c r="A673" s="7" t="s">
        <v>82</v>
      </c>
      <c r="B673" s="7" t="s">
        <v>83</v>
      </c>
      <c r="C673" s="7" t="s">
        <v>49</v>
      </c>
      <c r="D673" s="7" t="s">
        <v>107</v>
      </c>
      <c r="E673" s="7" t="s">
        <v>51</v>
      </c>
      <c r="F673" s="8" t="b">
        <f aca="false">TRUE()</f>
        <v>1</v>
      </c>
      <c r="G673" s="7" t="s">
        <v>74</v>
      </c>
      <c r="H673" s="7" t="s">
        <v>75</v>
      </c>
      <c r="I673" s="7" t="s">
        <v>54</v>
      </c>
      <c r="J673" s="9" t="n">
        <v>0.366666666666667</v>
      </c>
      <c r="K673" s="9" t="n">
        <v>0.333333333333333</v>
      </c>
      <c r="L673" s="10" t="n">
        <f aca="false">K673-J673</f>
        <v>-0.0333333333333333</v>
      </c>
      <c r="M673" s="10" t="n">
        <f aca="false">IF(I673="higher",L673,-L673)</f>
        <v>0.0333333333333333</v>
      </c>
    </row>
    <row r="674" customFormat="false" ht="15" hidden="false" customHeight="false" outlineLevel="0" collapsed="false">
      <c r="A674" s="7" t="s">
        <v>82</v>
      </c>
      <c r="B674" s="7" t="s">
        <v>83</v>
      </c>
      <c r="C674" s="7" t="s">
        <v>49</v>
      </c>
      <c r="D674" s="7" t="s">
        <v>107</v>
      </c>
      <c r="E674" s="7" t="s">
        <v>51</v>
      </c>
      <c r="F674" s="8" t="b">
        <f aca="false">TRUE()</f>
        <v>1</v>
      </c>
      <c r="G674" s="7" t="s">
        <v>76</v>
      </c>
      <c r="H674" s="7" t="s">
        <v>77</v>
      </c>
      <c r="I674" s="7" t="s">
        <v>54</v>
      </c>
      <c r="J674" s="9" t="n">
        <v>0.18348623853211</v>
      </c>
      <c r="K674" s="9" t="n">
        <v>0.0825688073394496</v>
      </c>
      <c r="L674" s="10" t="n">
        <f aca="false">K674-J674</f>
        <v>-0.100917431192661</v>
      </c>
      <c r="M674" s="10" t="n">
        <f aca="false">IF(I674="higher",L674,-L674)</f>
        <v>0.100917431192661</v>
      </c>
    </row>
    <row r="675" customFormat="false" ht="15" hidden="false" customHeight="false" outlineLevel="0" collapsed="false">
      <c r="A675" s="7" t="s">
        <v>82</v>
      </c>
      <c r="B675" s="7" t="s">
        <v>83</v>
      </c>
      <c r="C675" s="7" t="s">
        <v>49</v>
      </c>
      <c r="D675" s="7" t="s">
        <v>107</v>
      </c>
      <c r="E675" s="7" t="s">
        <v>51</v>
      </c>
      <c r="F675" s="8" t="b">
        <f aca="false">TRUE()</f>
        <v>1</v>
      </c>
      <c r="G675" s="7" t="s">
        <v>78</v>
      </c>
      <c r="H675" s="7" t="s">
        <v>79</v>
      </c>
      <c r="I675" s="7" t="s">
        <v>54</v>
      </c>
      <c r="J675" s="9" t="n">
        <v>0</v>
      </c>
      <c r="K675" s="9" t="n">
        <v>0</v>
      </c>
      <c r="L675" s="10" t="n">
        <f aca="false">K675-J675</f>
        <v>0</v>
      </c>
      <c r="M675" s="10" t="n">
        <f aca="false">IF(I675="higher",L675,-L675)</f>
        <v>-0</v>
      </c>
    </row>
    <row r="676" customFormat="false" ht="15" hidden="false" customHeight="false" outlineLevel="0" collapsed="false">
      <c r="A676" s="7" t="s">
        <v>82</v>
      </c>
      <c r="B676" s="7" t="s">
        <v>83</v>
      </c>
      <c r="C676" s="7" t="s">
        <v>49</v>
      </c>
      <c r="D676" s="7" t="s">
        <v>107</v>
      </c>
      <c r="E676" s="7" t="s">
        <v>51</v>
      </c>
      <c r="F676" s="8" t="b">
        <f aca="false">TRUE()</f>
        <v>1</v>
      </c>
      <c r="G676" s="7" t="s">
        <v>80</v>
      </c>
      <c r="H676" s="7" t="s">
        <v>81</v>
      </c>
      <c r="I676" s="7" t="s">
        <v>54</v>
      </c>
      <c r="J676" s="9" t="n">
        <v>0</v>
      </c>
      <c r="K676" s="9" t="n">
        <v>0</v>
      </c>
      <c r="L676" s="10" t="n">
        <f aca="false">K676-J676</f>
        <v>0</v>
      </c>
      <c r="M676" s="10" t="n">
        <f aca="false">IF(I676="higher",L676,-L676)</f>
        <v>-0</v>
      </c>
    </row>
    <row r="677" customFormat="false" ht="15" hidden="false" customHeight="false" outlineLevel="0" collapsed="false">
      <c r="A677" s="7" t="s">
        <v>48</v>
      </c>
      <c r="B677" s="7" t="s">
        <v>10</v>
      </c>
      <c r="C677" s="7" t="s">
        <v>49</v>
      </c>
      <c r="D677" s="7" t="s">
        <v>108</v>
      </c>
      <c r="E677" s="7" t="s">
        <v>51</v>
      </c>
      <c r="F677" s="8" t="b">
        <f aca="false">TRUE()</f>
        <v>1</v>
      </c>
      <c r="G677" s="7" t="s">
        <v>52</v>
      </c>
      <c r="H677" s="7" t="s">
        <v>53</v>
      </c>
      <c r="I677" s="7" t="s">
        <v>54</v>
      </c>
      <c r="J677" s="9" t="n">
        <v>3.68154603774437</v>
      </c>
      <c r="K677" s="9" t="n">
        <v>2.32932097804085</v>
      </c>
      <c r="L677" s="10" t="n">
        <f aca="false">K677-J677</f>
        <v>-1.35222505970353</v>
      </c>
      <c r="M677" s="10" t="n">
        <f aca="false">IF(I677="higher",L677,-L677)</f>
        <v>1.35222505970353</v>
      </c>
    </row>
    <row r="678" customFormat="false" ht="15" hidden="false" customHeight="false" outlineLevel="0" collapsed="false">
      <c r="A678" s="7" t="s">
        <v>48</v>
      </c>
      <c r="B678" s="7" t="s">
        <v>10</v>
      </c>
      <c r="C678" s="7" t="s">
        <v>49</v>
      </c>
      <c r="D678" s="7" t="s">
        <v>108</v>
      </c>
      <c r="E678" s="7" t="s">
        <v>51</v>
      </c>
      <c r="F678" s="8" t="b">
        <f aca="false">TRUE()</f>
        <v>1</v>
      </c>
      <c r="G678" s="7" t="s">
        <v>55</v>
      </c>
      <c r="H678" s="7" t="s">
        <v>56</v>
      </c>
      <c r="I678" s="7" t="s">
        <v>54</v>
      </c>
      <c r="J678" s="9" t="n">
        <v>9.05310719976094</v>
      </c>
      <c r="K678" s="9" t="n">
        <v>8.9123804921112</v>
      </c>
      <c r="L678" s="10" t="n">
        <f aca="false">K678-J678</f>
        <v>-0.140726707649733</v>
      </c>
      <c r="M678" s="10" t="n">
        <f aca="false">IF(I678="higher",L678,-L678)</f>
        <v>0.140726707649733</v>
      </c>
    </row>
    <row r="679" customFormat="false" ht="15" hidden="false" customHeight="false" outlineLevel="0" collapsed="false">
      <c r="A679" s="7" t="s">
        <v>48</v>
      </c>
      <c r="B679" s="7" t="s">
        <v>10</v>
      </c>
      <c r="C679" s="7" t="s">
        <v>49</v>
      </c>
      <c r="D679" s="7" t="s">
        <v>108</v>
      </c>
      <c r="E679" s="7" t="s">
        <v>51</v>
      </c>
      <c r="F679" s="8" t="b">
        <f aca="false">TRUE()</f>
        <v>1</v>
      </c>
      <c r="G679" s="7" t="s">
        <v>57</v>
      </c>
      <c r="H679" s="7" t="s">
        <v>58</v>
      </c>
      <c r="I679" s="7" t="s">
        <v>54</v>
      </c>
      <c r="J679" s="9" t="n">
        <v>5.51546063605455</v>
      </c>
      <c r="K679" s="9" t="n">
        <v>4.44200191885717</v>
      </c>
      <c r="L679" s="10" t="n">
        <f aca="false">K679-J679</f>
        <v>-1.07345871719739</v>
      </c>
      <c r="M679" s="10" t="n">
        <f aca="false">IF(I679="higher",L679,-L679)</f>
        <v>1.07345871719739</v>
      </c>
    </row>
    <row r="680" customFormat="false" ht="15" hidden="false" customHeight="false" outlineLevel="0" collapsed="false">
      <c r="A680" s="7" t="s">
        <v>48</v>
      </c>
      <c r="B680" s="7" t="s">
        <v>10</v>
      </c>
      <c r="C680" s="7" t="s">
        <v>49</v>
      </c>
      <c r="D680" s="7" t="s">
        <v>108</v>
      </c>
      <c r="E680" s="7" t="s">
        <v>51</v>
      </c>
      <c r="F680" s="8" t="b">
        <f aca="false">TRUE()</f>
        <v>1</v>
      </c>
      <c r="G680" s="7" t="s">
        <v>59</v>
      </c>
      <c r="H680" s="7" t="s">
        <v>60</v>
      </c>
      <c r="I680" s="7" t="s">
        <v>54</v>
      </c>
      <c r="J680" s="9" t="n">
        <v>0.104467867370373</v>
      </c>
      <c r="K680" s="9" t="n">
        <v>0.0669156780179939</v>
      </c>
      <c r="L680" s="10" t="n">
        <f aca="false">K680-J680</f>
        <v>-0.0375521893523795</v>
      </c>
      <c r="M680" s="10" t="n">
        <f aca="false">IF(I680="higher",L680,-L680)</f>
        <v>0.0375521893523795</v>
      </c>
    </row>
    <row r="681" customFormat="false" ht="15" hidden="false" customHeight="false" outlineLevel="0" collapsed="false">
      <c r="A681" s="7" t="s">
        <v>48</v>
      </c>
      <c r="B681" s="7" t="s">
        <v>10</v>
      </c>
      <c r="C681" s="7" t="s">
        <v>49</v>
      </c>
      <c r="D681" s="7" t="s">
        <v>108</v>
      </c>
      <c r="E681" s="7" t="s">
        <v>51</v>
      </c>
      <c r="F681" s="8" t="b">
        <f aca="false">TRUE()</f>
        <v>1</v>
      </c>
      <c r="G681" s="7" t="s">
        <v>61</v>
      </c>
      <c r="H681" s="7" t="s">
        <v>62</v>
      </c>
      <c r="I681" s="7" t="s">
        <v>54</v>
      </c>
      <c r="J681" s="9" t="n">
        <v>11.9746322994371</v>
      </c>
      <c r="K681" s="9" t="n">
        <v>13.7374207583631</v>
      </c>
      <c r="L681" s="10" t="n">
        <f aca="false">K681-J681</f>
        <v>1.76278845892597</v>
      </c>
      <c r="M681" s="10" t="n">
        <f aca="false">IF(I681="higher",L681,-L681)</f>
        <v>-1.76278845892597</v>
      </c>
    </row>
    <row r="682" customFormat="false" ht="15" hidden="false" customHeight="false" outlineLevel="0" collapsed="false">
      <c r="A682" s="7" t="s">
        <v>48</v>
      </c>
      <c r="B682" s="7" t="s">
        <v>10</v>
      </c>
      <c r="C682" s="7" t="s">
        <v>49</v>
      </c>
      <c r="D682" s="7" t="s">
        <v>108</v>
      </c>
      <c r="E682" s="7" t="s">
        <v>51</v>
      </c>
      <c r="F682" s="8" t="b">
        <f aca="false">TRUE()</f>
        <v>1</v>
      </c>
      <c r="G682" s="7" t="s">
        <v>63</v>
      </c>
      <c r="H682" s="7" t="s">
        <v>64</v>
      </c>
      <c r="I682" s="7" t="s">
        <v>54</v>
      </c>
      <c r="J682" s="9" t="n">
        <v>9.89653517903638</v>
      </c>
      <c r="K682" s="9" t="n">
        <v>10.8239343612188</v>
      </c>
      <c r="L682" s="10" t="n">
        <f aca="false">K682-J682</f>
        <v>0.927399182182439</v>
      </c>
      <c r="M682" s="10" t="n">
        <f aca="false">IF(I682="higher",L682,-L682)</f>
        <v>-0.927399182182439</v>
      </c>
    </row>
    <row r="683" customFormat="false" ht="15" hidden="false" customHeight="false" outlineLevel="0" collapsed="false">
      <c r="A683" s="7" t="s">
        <v>48</v>
      </c>
      <c r="B683" s="7" t="s">
        <v>10</v>
      </c>
      <c r="C683" s="7" t="s">
        <v>49</v>
      </c>
      <c r="D683" s="7" t="s">
        <v>108</v>
      </c>
      <c r="E683" s="7" t="s">
        <v>51</v>
      </c>
      <c r="F683" s="8" t="b">
        <f aca="false">TRUE()</f>
        <v>1</v>
      </c>
      <c r="G683" s="7" t="s">
        <v>65</v>
      </c>
      <c r="H683" s="7" t="s">
        <v>66</v>
      </c>
      <c r="I683" s="7" t="s">
        <v>54</v>
      </c>
      <c r="J683" s="9" t="n">
        <v>11.4321764837036</v>
      </c>
      <c r="K683" s="9" t="n">
        <v>12.3962238853801</v>
      </c>
      <c r="L683" s="10" t="n">
        <f aca="false">K683-J683</f>
        <v>0.96404740167651</v>
      </c>
      <c r="M683" s="10" t="n">
        <f aca="false">IF(I683="higher",L683,-L683)</f>
        <v>-0.96404740167651</v>
      </c>
    </row>
    <row r="684" customFormat="false" ht="15" hidden="false" customHeight="false" outlineLevel="0" collapsed="false">
      <c r="A684" s="7" t="s">
        <v>48</v>
      </c>
      <c r="B684" s="7" t="s">
        <v>10</v>
      </c>
      <c r="C684" s="7" t="s">
        <v>49</v>
      </c>
      <c r="D684" s="7" t="s">
        <v>108</v>
      </c>
      <c r="E684" s="7" t="s">
        <v>51</v>
      </c>
      <c r="F684" s="8" t="b">
        <f aca="false">TRUE()</f>
        <v>1</v>
      </c>
      <c r="G684" s="7" t="s">
        <v>67</v>
      </c>
      <c r="H684" s="7" t="s">
        <v>68</v>
      </c>
      <c r="I684" s="7" t="s">
        <v>54</v>
      </c>
      <c r="J684" s="9" t="n">
        <v>18.5102664505049</v>
      </c>
      <c r="K684" s="9" t="n">
        <v>21.9569535499747</v>
      </c>
      <c r="L684" s="10" t="n">
        <f aca="false">K684-J684</f>
        <v>3.44668709946981</v>
      </c>
      <c r="M684" s="10" t="n">
        <f aca="false">IF(I684="higher",L684,-L684)</f>
        <v>-3.44668709946981</v>
      </c>
    </row>
    <row r="685" customFormat="false" ht="15" hidden="false" customHeight="false" outlineLevel="0" collapsed="false">
      <c r="A685" s="7" t="s">
        <v>48</v>
      </c>
      <c r="B685" s="7" t="s">
        <v>10</v>
      </c>
      <c r="C685" s="7" t="s">
        <v>49</v>
      </c>
      <c r="D685" s="7" t="s">
        <v>108</v>
      </c>
      <c r="E685" s="7" t="s">
        <v>51</v>
      </c>
      <c r="F685" s="8" t="b">
        <f aca="false">TRUE()</f>
        <v>1</v>
      </c>
      <c r="G685" s="7" t="s">
        <v>69</v>
      </c>
      <c r="H685" s="7" t="s">
        <v>70</v>
      </c>
      <c r="I685" s="7" t="s">
        <v>71</v>
      </c>
      <c r="J685" s="9" t="n">
        <v>0.34375</v>
      </c>
      <c r="K685" s="9" t="n">
        <v>0.5625</v>
      </c>
      <c r="L685" s="10" t="n">
        <f aca="false">K685-J685</f>
        <v>0.21875</v>
      </c>
      <c r="M685" s="10" t="n">
        <f aca="false">IF(I685="higher",L685,-L685)</f>
        <v>0.21875</v>
      </c>
    </row>
    <row r="686" customFormat="false" ht="15" hidden="false" customHeight="false" outlineLevel="0" collapsed="false">
      <c r="A686" s="7" t="s">
        <v>48</v>
      </c>
      <c r="B686" s="7" t="s">
        <v>10</v>
      </c>
      <c r="C686" s="7" t="s">
        <v>49</v>
      </c>
      <c r="D686" s="7" t="s">
        <v>108</v>
      </c>
      <c r="E686" s="7" t="s">
        <v>51</v>
      </c>
      <c r="F686" s="8" t="b">
        <f aca="false">TRUE()</f>
        <v>1</v>
      </c>
      <c r="G686" s="7" t="s">
        <v>72</v>
      </c>
      <c r="H686" s="7" t="s">
        <v>73</v>
      </c>
      <c r="I686" s="7" t="s">
        <v>71</v>
      </c>
      <c r="J686" s="9" t="n">
        <v>0.921875</v>
      </c>
      <c r="K686" s="9" t="n">
        <v>0.921875</v>
      </c>
      <c r="L686" s="10" t="n">
        <f aca="false">K686-J686</f>
        <v>0</v>
      </c>
      <c r="M686" s="10" t="n">
        <f aca="false">IF(I686="higher",L686,-L686)</f>
        <v>0</v>
      </c>
    </row>
    <row r="687" customFormat="false" ht="15" hidden="false" customHeight="false" outlineLevel="0" collapsed="false">
      <c r="A687" s="7" t="s">
        <v>48</v>
      </c>
      <c r="B687" s="7" t="s">
        <v>10</v>
      </c>
      <c r="C687" s="7" t="s">
        <v>49</v>
      </c>
      <c r="D687" s="7" t="s">
        <v>108</v>
      </c>
      <c r="E687" s="7" t="s">
        <v>51</v>
      </c>
      <c r="F687" s="8" t="b">
        <f aca="false">TRUE()</f>
        <v>1</v>
      </c>
      <c r="G687" s="7" t="s">
        <v>74</v>
      </c>
      <c r="H687" s="7" t="s">
        <v>75</v>
      </c>
      <c r="I687" s="7" t="s">
        <v>54</v>
      </c>
      <c r="J687" s="9" t="n">
        <v>0.136363636363636</v>
      </c>
      <c r="K687" s="9" t="n">
        <v>0.0909090909090909</v>
      </c>
      <c r="L687" s="10" t="n">
        <f aca="false">K687-J687</f>
        <v>-0.0454545454545455</v>
      </c>
      <c r="M687" s="10" t="n">
        <f aca="false">IF(I687="higher",L687,-L687)</f>
        <v>0.0454545454545455</v>
      </c>
    </row>
    <row r="688" customFormat="false" ht="15" hidden="false" customHeight="false" outlineLevel="0" collapsed="false">
      <c r="A688" s="7" t="s">
        <v>48</v>
      </c>
      <c r="B688" s="7" t="s">
        <v>10</v>
      </c>
      <c r="C688" s="7" t="s">
        <v>49</v>
      </c>
      <c r="D688" s="7" t="s">
        <v>108</v>
      </c>
      <c r="E688" s="7" t="s">
        <v>51</v>
      </c>
      <c r="F688" s="8" t="b">
        <f aca="false">TRUE()</f>
        <v>1</v>
      </c>
      <c r="G688" s="7" t="s">
        <v>76</v>
      </c>
      <c r="H688" s="7" t="s">
        <v>77</v>
      </c>
      <c r="I688" s="7" t="s">
        <v>54</v>
      </c>
      <c r="J688" s="9" t="n">
        <v>0.372549019607843</v>
      </c>
      <c r="K688" s="9" t="n">
        <v>0.225490196078431</v>
      </c>
      <c r="L688" s="10" t="n">
        <f aca="false">K688-J688</f>
        <v>-0.147058823529412</v>
      </c>
      <c r="M688" s="10" t="n">
        <f aca="false">IF(I688="higher",L688,-L688)</f>
        <v>0.147058823529412</v>
      </c>
    </row>
    <row r="689" customFormat="false" ht="15" hidden="false" customHeight="false" outlineLevel="0" collapsed="false">
      <c r="A689" s="7" t="s">
        <v>48</v>
      </c>
      <c r="B689" s="7" t="s">
        <v>10</v>
      </c>
      <c r="C689" s="7" t="s">
        <v>49</v>
      </c>
      <c r="D689" s="7" t="s">
        <v>108</v>
      </c>
      <c r="E689" s="7" t="s">
        <v>51</v>
      </c>
      <c r="F689" s="8" t="b">
        <f aca="false">TRUE()</f>
        <v>1</v>
      </c>
      <c r="G689" s="7" t="s">
        <v>78</v>
      </c>
      <c r="H689" s="7" t="s">
        <v>79</v>
      </c>
      <c r="I689" s="7" t="s">
        <v>54</v>
      </c>
      <c r="J689" s="9" t="n">
        <v>0</v>
      </c>
      <c r="K689" s="9" t="n">
        <v>0.0490196078431373</v>
      </c>
      <c r="L689" s="10" t="n">
        <f aca="false">K689-J689</f>
        <v>0.0490196078431373</v>
      </c>
      <c r="M689" s="10" t="n">
        <f aca="false">IF(I689="higher",L689,-L689)</f>
        <v>-0.0490196078431373</v>
      </c>
    </row>
    <row r="690" customFormat="false" ht="15" hidden="false" customHeight="false" outlineLevel="0" collapsed="false">
      <c r="A690" s="7" t="s">
        <v>48</v>
      </c>
      <c r="B690" s="7" t="s">
        <v>10</v>
      </c>
      <c r="C690" s="7" t="s">
        <v>49</v>
      </c>
      <c r="D690" s="7" t="s">
        <v>108</v>
      </c>
      <c r="E690" s="7" t="s">
        <v>51</v>
      </c>
      <c r="F690" s="8" t="b">
        <f aca="false">TRUE()</f>
        <v>1</v>
      </c>
      <c r="G690" s="7" t="s">
        <v>80</v>
      </c>
      <c r="H690" s="7" t="s">
        <v>81</v>
      </c>
      <c r="I690" s="7" t="s">
        <v>54</v>
      </c>
      <c r="J690" s="9" t="n">
        <v>0</v>
      </c>
      <c r="K690" s="9" t="n">
        <v>0</v>
      </c>
      <c r="L690" s="10" t="n">
        <f aca="false">K690-J690</f>
        <v>0</v>
      </c>
      <c r="M690" s="10" t="n">
        <f aca="false">IF(I690="higher",L690,-L690)</f>
        <v>-0</v>
      </c>
    </row>
    <row r="691" customFormat="false" ht="15" hidden="false" customHeight="false" outlineLevel="0" collapsed="false">
      <c r="A691" s="7" t="s">
        <v>82</v>
      </c>
      <c r="B691" s="7" t="s">
        <v>83</v>
      </c>
      <c r="C691" s="7" t="s">
        <v>49</v>
      </c>
      <c r="D691" s="7" t="s">
        <v>108</v>
      </c>
      <c r="E691" s="7" t="s">
        <v>51</v>
      </c>
      <c r="F691" s="8" t="b">
        <f aca="false">TRUE()</f>
        <v>1</v>
      </c>
      <c r="G691" s="7" t="s">
        <v>52</v>
      </c>
      <c r="H691" s="7" t="s">
        <v>53</v>
      </c>
      <c r="I691" s="7" t="s">
        <v>54</v>
      </c>
      <c r="J691" s="9" t="n">
        <v>2.21202445828789</v>
      </c>
      <c r="K691" s="9" t="n">
        <v>2.32932097804085</v>
      </c>
      <c r="L691" s="10" t="n">
        <f aca="false">K691-J691</f>
        <v>0.117296519752959</v>
      </c>
      <c r="M691" s="10" t="n">
        <f aca="false">IF(I691="higher",L691,-L691)</f>
        <v>-0.117296519752959</v>
      </c>
    </row>
    <row r="692" customFormat="false" ht="15" hidden="false" customHeight="false" outlineLevel="0" collapsed="false">
      <c r="A692" s="7" t="s">
        <v>82</v>
      </c>
      <c r="B692" s="7" t="s">
        <v>83</v>
      </c>
      <c r="C692" s="7" t="s">
        <v>49</v>
      </c>
      <c r="D692" s="7" t="s">
        <v>108</v>
      </c>
      <c r="E692" s="7" t="s">
        <v>51</v>
      </c>
      <c r="F692" s="8" t="b">
        <f aca="false">TRUE()</f>
        <v>1</v>
      </c>
      <c r="G692" s="7" t="s">
        <v>55</v>
      </c>
      <c r="H692" s="7" t="s">
        <v>56</v>
      </c>
      <c r="I692" s="7" t="s">
        <v>54</v>
      </c>
      <c r="J692" s="9" t="n">
        <v>9.8601191749644</v>
      </c>
      <c r="K692" s="9" t="n">
        <v>8.9123804921112</v>
      </c>
      <c r="L692" s="10" t="n">
        <f aca="false">K692-J692</f>
        <v>-0.947738682853199</v>
      </c>
      <c r="M692" s="10" t="n">
        <f aca="false">IF(I692="higher",L692,-L692)</f>
        <v>0.947738682853199</v>
      </c>
    </row>
    <row r="693" customFormat="false" ht="15" hidden="false" customHeight="false" outlineLevel="0" collapsed="false">
      <c r="A693" s="7" t="s">
        <v>82</v>
      </c>
      <c r="B693" s="7" t="s">
        <v>83</v>
      </c>
      <c r="C693" s="7" t="s">
        <v>49</v>
      </c>
      <c r="D693" s="7" t="s">
        <v>108</v>
      </c>
      <c r="E693" s="7" t="s">
        <v>51</v>
      </c>
      <c r="F693" s="8" t="b">
        <f aca="false">TRUE()</f>
        <v>1</v>
      </c>
      <c r="G693" s="7" t="s">
        <v>57</v>
      </c>
      <c r="H693" s="7" t="s">
        <v>58</v>
      </c>
      <c r="I693" s="7" t="s">
        <v>54</v>
      </c>
      <c r="J693" s="9" t="n">
        <v>7.54096823943592</v>
      </c>
      <c r="K693" s="9" t="n">
        <v>4.44200191885717</v>
      </c>
      <c r="L693" s="10" t="n">
        <f aca="false">K693-J693</f>
        <v>-3.09896632057875</v>
      </c>
      <c r="M693" s="10" t="n">
        <f aca="false">IF(I693="higher",L693,-L693)</f>
        <v>3.09896632057875</v>
      </c>
    </row>
    <row r="694" customFormat="false" ht="15" hidden="false" customHeight="false" outlineLevel="0" collapsed="false">
      <c r="A694" s="7" t="s">
        <v>82</v>
      </c>
      <c r="B694" s="7" t="s">
        <v>83</v>
      </c>
      <c r="C694" s="7" t="s">
        <v>49</v>
      </c>
      <c r="D694" s="7" t="s">
        <v>108</v>
      </c>
      <c r="E694" s="7" t="s">
        <v>51</v>
      </c>
      <c r="F694" s="8" t="b">
        <f aca="false">TRUE()</f>
        <v>1</v>
      </c>
      <c r="G694" s="7" t="s">
        <v>59</v>
      </c>
      <c r="H694" s="7" t="s">
        <v>60</v>
      </c>
      <c r="I694" s="7" t="s">
        <v>54</v>
      </c>
      <c r="J694" s="9" t="n">
        <v>0.0974349745175948</v>
      </c>
      <c r="K694" s="9" t="n">
        <v>0.0669156780179939</v>
      </c>
      <c r="L694" s="10" t="n">
        <f aca="false">K694-J694</f>
        <v>-0.0305192964996009</v>
      </c>
      <c r="M694" s="10" t="n">
        <f aca="false">IF(I694="higher",L694,-L694)</f>
        <v>0.0305192964996009</v>
      </c>
    </row>
    <row r="695" customFormat="false" ht="15" hidden="false" customHeight="false" outlineLevel="0" collapsed="false">
      <c r="A695" s="7" t="s">
        <v>82</v>
      </c>
      <c r="B695" s="7" t="s">
        <v>83</v>
      </c>
      <c r="C695" s="7" t="s">
        <v>49</v>
      </c>
      <c r="D695" s="7" t="s">
        <v>108</v>
      </c>
      <c r="E695" s="7" t="s">
        <v>51</v>
      </c>
      <c r="F695" s="8" t="b">
        <f aca="false">TRUE()</f>
        <v>1</v>
      </c>
      <c r="G695" s="7" t="s">
        <v>61</v>
      </c>
      <c r="H695" s="7" t="s">
        <v>62</v>
      </c>
      <c r="I695" s="7" t="s">
        <v>54</v>
      </c>
      <c r="J695" s="9" t="n">
        <v>15.2731843348191</v>
      </c>
      <c r="K695" s="9" t="n">
        <v>13.7374207583631</v>
      </c>
      <c r="L695" s="10" t="n">
        <f aca="false">K695-J695</f>
        <v>-1.53576357645607</v>
      </c>
      <c r="M695" s="10" t="n">
        <f aca="false">IF(I695="higher",L695,-L695)</f>
        <v>1.53576357645607</v>
      </c>
    </row>
    <row r="696" customFormat="false" ht="15" hidden="false" customHeight="false" outlineLevel="0" collapsed="false">
      <c r="A696" s="7" t="s">
        <v>82</v>
      </c>
      <c r="B696" s="7" t="s">
        <v>83</v>
      </c>
      <c r="C696" s="7" t="s">
        <v>49</v>
      </c>
      <c r="D696" s="7" t="s">
        <v>108</v>
      </c>
      <c r="E696" s="7" t="s">
        <v>51</v>
      </c>
      <c r="F696" s="8" t="b">
        <f aca="false">TRUE()</f>
        <v>1</v>
      </c>
      <c r="G696" s="7" t="s">
        <v>63</v>
      </c>
      <c r="H696" s="7" t="s">
        <v>64</v>
      </c>
      <c r="I696" s="7" t="s">
        <v>54</v>
      </c>
      <c r="J696" s="9" t="n">
        <v>15.729909369749</v>
      </c>
      <c r="K696" s="9" t="n">
        <v>10.8239343612188</v>
      </c>
      <c r="L696" s="10" t="n">
        <f aca="false">K696-J696</f>
        <v>-4.90597500853017</v>
      </c>
      <c r="M696" s="10" t="n">
        <f aca="false">IF(I696="higher",L696,-L696)</f>
        <v>4.90597500853017</v>
      </c>
    </row>
    <row r="697" customFormat="false" ht="15" hidden="false" customHeight="false" outlineLevel="0" collapsed="false">
      <c r="A697" s="7" t="s">
        <v>82</v>
      </c>
      <c r="B697" s="7" t="s">
        <v>83</v>
      </c>
      <c r="C697" s="7" t="s">
        <v>49</v>
      </c>
      <c r="D697" s="7" t="s">
        <v>108</v>
      </c>
      <c r="E697" s="7" t="s">
        <v>51</v>
      </c>
      <c r="F697" s="8" t="b">
        <f aca="false">TRUE()</f>
        <v>1</v>
      </c>
      <c r="G697" s="7" t="s">
        <v>65</v>
      </c>
      <c r="H697" s="7" t="s">
        <v>66</v>
      </c>
      <c r="I697" s="7" t="s">
        <v>54</v>
      </c>
      <c r="J697" s="9" t="n">
        <v>16.2918436079925</v>
      </c>
      <c r="K697" s="9" t="n">
        <v>12.3962238853801</v>
      </c>
      <c r="L697" s="10" t="n">
        <f aca="false">K697-J697</f>
        <v>-3.89561972261235</v>
      </c>
      <c r="M697" s="10" t="n">
        <f aca="false">IF(I697="higher",L697,-L697)</f>
        <v>3.89561972261235</v>
      </c>
    </row>
    <row r="698" customFormat="false" ht="15" hidden="false" customHeight="false" outlineLevel="0" collapsed="false">
      <c r="A698" s="7" t="s">
        <v>82</v>
      </c>
      <c r="B698" s="7" t="s">
        <v>83</v>
      </c>
      <c r="C698" s="7" t="s">
        <v>49</v>
      </c>
      <c r="D698" s="7" t="s">
        <v>108</v>
      </c>
      <c r="E698" s="7" t="s">
        <v>51</v>
      </c>
      <c r="F698" s="8" t="b">
        <f aca="false">TRUE()</f>
        <v>1</v>
      </c>
      <c r="G698" s="7" t="s">
        <v>67</v>
      </c>
      <c r="H698" s="7" t="s">
        <v>68</v>
      </c>
      <c r="I698" s="7" t="s">
        <v>54</v>
      </c>
      <c r="J698" s="9" t="n">
        <v>28.2531162984217</v>
      </c>
      <c r="K698" s="9" t="n">
        <v>21.9569535499747</v>
      </c>
      <c r="L698" s="10" t="n">
        <f aca="false">K698-J698</f>
        <v>-6.296162748447</v>
      </c>
      <c r="M698" s="10" t="n">
        <f aca="false">IF(I698="higher",L698,-L698)</f>
        <v>6.296162748447</v>
      </c>
    </row>
    <row r="699" customFormat="false" ht="15" hidden="false" customHeight="false" outlineLevel="0" collapsed="false">
      <c r="A699" s="7" t="s">
        <v>82</v>
      </c>
      <c r="B699" s="7" t="s">
        <v>83</v>
      </c>
      <c r="C699" s="7" t="s">
        <v>49</v>
      </c>
      <c r="D699" s="7" t="s">
        <v>108</v>
      </c>
      <c r="E699" s="7" t="s">
        <v>51</v>
      </c>
      <c r="F699" s="8" t="b">
        <f aca="false">TRUE()</f>
        <v>1</v>
      </c>
      <c r="G699" s="7" t="s">
        <v>69</v>
      </c>
      <c r="H699" s="7" t="s">
        <v>70</v>
      </c>
      <c r="I699" s="7" t="s">
        <v>71</v>
      </c>
      <c r="J699" s="9" t="n">
        <v>0.75</v>
      </c>
      <c r="K699" s="9" t="n">
        <v>0.5625</v>
      </c>
      <c r="L699" s="10" t="n">
        <f aca="false">K699-J699</f>
        <v>-0.1875</v>
      </c>
      <c r="M699" s="10" t="n">
        <f aca="false">IF(I699="higher",L699,-L699)</f>
        <v>-0.1875</v>
      </c>
    </row>
    <row r="700" customFormat="false" ht="15" hidden="false" customHeight="false" outlineLevel="0" collapsed="false">
      <c r="A700" s="7" t="s">
        <v>82</v>
      </c>
      <c r="B700" s="7" t="s">
        <v>83</v>
      </c>
      <c r="C700" s="7" t="s">
        <v>49</v>
      </c>
      <c r="D700" s="7" t="s">
        <v>108</v>
      </c>
      <c r="E700" s="7" t="s">
        <v>51</v>
      </c>
      <c r="F700" s="8" t="b">
        <f aca="false">TRUE()</f>
        <v>1</v>
      </c>
      <c r="G700" s="7" t="s">
        <v>72</v>
      </c>
      <c r="H700" s="7" t="s">
        <v>73</v>
      </c>
      <c r="I700" s="7" t="s">
        <v>71</v>
      </c>
      <c r="J700" s="9" t="n">
        <v>0.953125</v>
      </c>
      <c r="K700" s="9" t="n">
        <v>0.921875</v>
      </c>
      <c r="L700" s="10" t="n">
        <f aca="false">K700-J700</f>
        <v>-0.03125</v>
      </c>
      <c r="M700" s="10" t="n">
        <f aca="false">IF(I700="higher",L700,-L700)</f>
        <v>-0.03125</v>
      </c>
    </row>
    <row r="701" customFormat="false" ht="15" hidden="false" customHeight="false" outlineLevel="0" collapsed="false">
      <c r="A701" s="7" t="s">
        <v>82</v>
      </c>
      <c r="B701" s="7" t="s">
        <v>83</v>
      </c>
      <c r="C701" s="7" t="s">
        <v>49</v>
      </c>
      <c r="D701" s="7" t="s">
        <v>108</v>
      </c>
      <c r="E701" s="7" t="s">
        <v>51</v>
      </c>
      <c r="F701" s="8" t="b">
        <f aca="false">TRUE()</f>
        <v>1</v>
      </c>
      <c r="G701" s="7" t="s">
        <v>74</v>
      </c>
      <c r="H701" s="7" t="s">
        <v>75</v>
      </c>
      <c r="I701" s="7" t="s">
        <v>54</v>
      </c>
      <c r="J701" s="9" t="n">
        <v>0.0454545454545455</v>
      </c>
      <c r="K701" s="9" t="n">
        <v>0.0909090909090909</v>
      </c>
      <c r="L701" s="10" t="n">
        <f aca="false">K701-J701</f>
        <v>0.0454545454545455</v>
      </c>
      <c r="M701" s="10" t="n">
        <f aca="false">IF(I701="higher",L701,-L701)</f>
        <v>-0.0454545454545455</v>
      </c>
    </row>
    <row r="702" customFormat="false" ht="15" hidden="false" customHeight="false" outlineLevel="0" collapsed="false">
      <c r="A702" s="7" t="s">
        <v>82</v>
      </c>
      <c r="B702" s="7" t="s">
        <v>83</v>
      </c>
      <c r="C702" s="7" t="s">
        <v>49</v>
      </c>
      <c r="D702" s="7" t="s">
        <v>108</v>
      </c>
      <c r="E702" s="7" t="s">
        <v>51</v>
      </c>
      <c r="F702" s="8" t="b">
        <f aca="false">TRUE()</f>
        <v>1</v>
      </c>
      <c r="G702" s="7" t="s">
        <v>76</v>
      </c>
      <c r="H702" s="7" t="s">
        <v>77</v>
      </c>
      <c r="I702" s="7" t="s">
        <v>54</v>
      </c>
      <c r="J702" s="9" t="n">
        <v>0.166666666666667</v>
      </c>
      <c r="K702" s="9" t="n">
        <v>0.225490196078431</v>
      </c>
      <c r="L702" s="10" t="n">
        <f aca="false">K702-J702</f>
        <v>0.0588235294117647</v>
      </c>
      <c r="M702" s="10" t="n">
        <f aca="false">IF(I702="higher",L702,-L702)</f>
        <v>-0.0588235294117647</v>
      </c>
    </row>
    <row r="703" customFormat="false" ht="15" hidden="false" customHeight="false" outlineLevel="0" collapsed="false">
      <c r="A703" s="7" t="s">
        <v>82</v>
      </c>
      <c r="B703" s="7" t="s">
        <v>83</v>
      </c>
      <c r="C703" s="7" t="s">
        <v>49</v>
      </c>
      <c r="D703" s="7" t="s">
        <v>108</v>
      </c>
      <c r="E703" s="7" t="s">
        <v>51</v>
      </c>
      <c r="F703" s="8" t="b">
        <f aca="false">TRUE()</f>
        <v>1</v>
      </c>
      <c r="G703" s="7" t="s">
        <v>78</v>
      </c>
      <c r="H703" s="7" t="s">
        <v>79</v>
      </c>
      <c r="I703" s="7" t="s">
        <v>54</v>
      </c>
      <c r="J703" s="9" t="n">
        <v>0</v>
      </c>
      <c r="K703" s="9" t="n">
        <v>0.0490196078431373</v>
      </c>
      <c r="L703" s="10" t="n">
        <f aca="false">K703-J703</f>
        <v>0.0490196078431373</v>
      </c>
      <c r="M703" s="10" t="n">
        <f aca="false">IF(I703="higher",L703,-L703)</f>
        <v>-0.0490196078431373</v>
      </c>
    </row>
    <row r="704" customFormat="false" ht="15" hidden="false" customHeight="false" outlineLevel="0" collapsed="false">
      <c r="A704" s="7" t="s">
        <v>82</v>
      </c>
      <c r="B704" s="7" t="s">
        <v>83</v>
      </c>
      <c r="C704" s="7" t="s">
        <v>49</v>
      </c>
      <c r="D704" s="7" t="s">
        <v>108</v>
      </c>
      <c r="E704" s="7" t="s">
        <v>51</v>
      </c>
      <c r="F704" s="8" t="b">
        <f aca="false">TRUE()</f>
        <v>1</v>
      </c>
      <c r="G704" s="7" t="s">
        <v>80</v>
      </c>
      <c r="H704" s="7" t="s">
        <v>81</v>
      </c>
      <c r="I704" s="7" t="s">
        <v>54</v>
      </c>
      <c r="J704" s="9" t="n">
        <v>0</v>
      </c>
      <c r="K704" s="9" t="n">
        <v>0</v>
      </c>
      <c r="L704" s="10" t="n">
        <f aca="false">K704-J704</f>
        <v>0</v>
      </c>
      <c r="M704" s="10" t="n">
        <f aca="false">IF(I704="higher",L704,-L704)</f>
        <v>-0</v>
      </c>
    </row>
    <row r="705" customFormat="false" ht="15" hidden="false" customHeight="false" outlineLevel="0" collapsed="false">
      <c r="A705" s="7" t="s">
        <v>48</v>
      </c>
      <c r="B705" s="7" t="s">
        <v>10</v>
      </c>
      <c r="C705" s="7" t="s">
        <v>49</v>
      </c>
      <c r="D705" s="7" t="s">
        <v>109</v>
      </c>
      <c r="E705" s="7" t="s">
        <v>51</v>
      </c>
      <c r="F705" s="8" t="b">
        <f aca="false">TRUE()</f>
        <v>1</v>
      </c>
      <c r="G705" s="7" t="s">
        <v>52</v>
      </c>
      <c r="H705" s="7" t="s">
        <v>53</v>
      </c>
      <c r="I705" s="7" t="s">
        <v>54</v>
      </c>
      <c r="J705" s="9" t="n">
        <v>5.92683452569093</v>
      </c>
      <c r="K705" s="9" t="n">
        <v>2.95456244714251</v>
      </c>
      <c r="L705" s="10" t="n">
        <f aca="false">K705-J705</f>
        <v>-2.97227207854842</v>
      </c>
      <c r="M705" s="10" t="n">
        <f aca="false">IF(I705="higher",L705,-L705)</f>
        <v>2.97227207854842</v>
      </c>
    </row>
    <row r="706" customFormat="false" ht="15" hidden="false" customHeight="false" outlineLevel="0" collapsed="false">
      <c r="A706" s="7" t="s">
        <v>48</v>
      </c>
      <c r="B706" s="7" t="s">
        <v>10</v>
      </c>
      <c r="C706" s="7" t="s">
        <v>49</v>
      </c>
      <c r="D706" s="7" t="s">
        <v>109</v>
      </c>
      <c r="E706" s="7" t="s">
        <v>51</v>
      </c>
      <c r="F706" s="8" t="b">
        <f aca="false">TRUE()</f>
        <v>1</v>
      </c>
      <c r="G706" s="7" t="s">
        <v>55</v>
      </c>
      <c r="H706" s="7" t="s">
        <v>56</v>
      </c>
      <c r="I706" s="7" t="s">
        <v>54</v>
      </c>
      <c r="J706" s="9" t="n">
        <v>12.7956995934996</v>
      </c>
      <c r="K706" s="9" t="n">
        <v>9.48665613096294</v>
      </c>
      <c r="L706" s="10" t="n">
        <f aca="false">K706-J706</f>
        <v>-3.30904346253667</v>
      </c>
      <c r="M706" s="10" t="n">
        <f aca="false">IF(I706="higher",L706,-L706)</f>
        <v>3.30904346253667</v>
      </c>
    </row>
    <row r="707" customFormat="false" ht="15" hidden="false" customHeight="false" outlineLevel="0" collapsed="false">
      <c r="A707" s="7" t="s">
        <v>48</v>
      </c>
      <c r="B707" s="7" t="s">
        <v>10</v>
      </c>
      <c r="C707" s="7" t="s">
        <v>49</v>
      </c>
      <c r="D707" s="7" t="s">
        <v>109</v>
      </c>
      <c r="E707" s="7" t="s">
        <v>51</v>
      </c>
      <c r="F707" s="8" t="b">
        <f aca="false">TRUE()</f>
        <v>1</v>
      </c>
      <c r="G707" s="7" t="s">
        <v>57</v>
      </c>
      <c r="H707" s="7" t="s">
        <v>58</v>
      </c>
      <c r="I707" s="7" t="s">
        <v>54</v>
      </c>
      <c r="J707" s="9" t="n">
        <v>5.03729960096457</v>
      </c>
      <c r="K707" s="9" t="n">
        <v>5.94102716630453</v>
      </c>
      <c r="L707" s="10" t="n">
        <f aca="false">K707-J707</f>
        <v>0.903727565339955</v>
      </c>
      <c r="M707" s="10" t="n">
        <f aca="false">IF(I707="higher",L707,-L707)</f>
        <v>-0.903727565339955</v>
      </c>
    </row>
    <row r="708" customFormat="false" ht="15" hidden="false" customHeight="false" outlineLevel="0" collapsed="false">
      <c r="A708" s="7" t="s">
        <v>48</v>
      </c>
      <c r="B708" s="7" t="s">
        <v>10</v>
      </c>
      <c r="C708" s="7" t="s">
        <v>49</v>
      </c>
      <c r="D708" s="7" t="s">
        <v>109</v>
      </c>
      <c r="E708" s="7" t="s">
        <v>51</v>
      </c>
      <c r="F708" s="8" t="b">
        <f aca="false">TRUE()</f>
        <v>1</v>
      </c>
      <c r="G708" s="7" t="s">
        <v>59</v>
      </c>
      <c r="H708" s="7" t="s">
        <v>60</v>
      </c>
      <c r="I708" s="7" t="s">
        <v>54</v>
      </c>
      <c r="J708" s="9" t="n">
        <v>0.096165699803162</v>
      </c>
      <c r="K708" s="9" t="n">
        <v>0.0845300364182804</v>
      </c>
      <c r="L708" s="10" t="n">
        <f aca="false">K708-J708</f>
        <v>-0.0116356633848816</v>
      </c>
      <c r="M708" s="10" t="n">
        <f aca="false">IF(I708="higher",L708,-L708)</f>
        <v>0.0116356633848816</v>
      </c>
    </row>
    <row r="709" customFormat="false" ht="15" hidden="false" customHeight="false" outlineLevel="0" collapsed="false">
      <c r="A709" s="7" t="s">
        <v>48</v>
      </c>
      <c r="B709" s="7" t="s">
        <v>10</v>
      </c>
      <c r="C709" s="7" t="s">
        <v>49</v>
      </c>
      <c r="D709" s="7" t="s">
        <v>109</v>
      </c>
      <c r="E709" s="7" t="s">
        <v>51</v>
      </c>
      <c r="F709" s="8" t="b">
        <f aca="false">TRUE()</f>
        <v>1</v>
      </c>
      <c r="G709" s="7" t="s">
        <v>61</v>
      </c>
      <c r="H709" s="7" t="s">
        <v>62</v>
      </c>
      <c r="I709" s="7" t="s">
        <v>54</v>
      </c>
      <c r="J709" s="9" t="n">
        <v>12.417944640591</v>
      </c>
      <c r="K709" s="9" t="n">
        <v>16.0683429602752</v>
      </c>
      <c r="L709" s="10" t="n">
        <f aca="false">K709-J709</f>
        <v>3.65039831968424</v>
      </c>
      <c r="M709" s="10" t="n">
        <f aca="false">IF(I709="higher",L709,-L709)</f>
        <v>-3.65039831968424</v>
      </c>
    </row>
    <row r="710" customFormat="false" ht="15" hidden="false" customHeight="false" outlineLevel="0" collapsed="false">
      <c r="A710" s="7" t="s">
        <v>48</v>
      </c>
      <c r="B710" s="7" t="s">
        <v>10</v>
      </c>
      <c r="C710" s="7" t="s">
        <v>49</v>
      </c>
      <c r="D710" s="7" t="s">
        <v>109</v>
      </c>
      <c r="E710" s="7" t="s">
        <v>51</v>
      </c>
      <c r="F710" s="8" t="b">
        <f aca="false">TRUE()</f>
        <v>1</v>
      </c>
      <c r="G710" s="7" t="s">
        <v>63</v>
      </c>
      <c r="H710" s="7" t="s">
        <v>64</v>
      </c>
      <c r="I710" s="7" t="s">
        <v>54</v>
      </c>
      <c r="J710" s="9" t="n">
        <v>7.46562596259576</v>
      </c>
      <c r="K710" s="9" t="n">
        <v>6.30597349758378</v>
      </c>
      <c r="L710" s="10" t="n">
        <f aca="false">K710-J710</f>
        <v>-1.15965246501198</v>
      </c>
      <c r="M710" s="10" t="n">
        <f aca="false">IF(I710="higher",L710,-L710)</f>
        <v>1.15965246501198</v>
      </c>
    </row>
    <row r="711" customFormat="false" ht="15" hidden="false" customHeight="false" outlineLevel="0" collapsed="false">
      <c r="A711" s="7" t="s">
        <v>48</v>
      </c>
      <c r="B711" s="7" t="s">
        <v>10</v>
      </c>
      <c r="C711" s="7" t="s">
        <v>49</v>
      </c>
      <c r="D711" s="7" t="s">
        <v>109</v>
      </c>
      <c r="E711" s="7" t="s">
        <v>51</v>
      </c>
      <c r="F711" s="8" t="b">
        <f aca="false">TRUE()</f>
        <v>1</v>
      </c>
      <c r="G711" s="7" t="s">
        <v>65</v>
      </c>
      <c r="H711" s="7" t="s">
        <v>66</v>
      </c>
      <c r="I711" s="7" t="s">
        <v>54</v>
      </c>
      <c r="J711" s="9" t="n">
        <v>12.5538079369559</v>
      </c>
      <c r="K711" s="9" t="n">
        <v>13.5234158127176</v>
      </c>
      <c r="L711" s="10" t="n">
        <f aca="false">K711-J711</f>
        <v>0.96960787576176</v>
      </c>
      <c r="M711" s="10" t="n">
        <f aca="false">IF(I711="higher",L711,-L711)</f>
        <v>-0.96960787576176</v>
      </c>
    </row>
    <row r="712" customFormat="false" ht="15" hidden="false" customHeight="false" outlineLevel="0" collapsed="false">
      <c r="A712" s="7" t="s">
        <v>48</v>
      </c>
      <c r="B712" s="7" t="s">
        <v>10</v>
      </c>
      <c r="C712" s="7" t="s">
        <v>49</v>
      </c>
      <c r="D712" s="7" t="s">
        <v>109</v>
      </c>
      <c r="E712" s="7" t="s">
        <v>51</v>
      </c>
      <c r="F712" s="8" t="b">
        <f aca="false">TRUE()</f>
        <v>1</v>
      </c>
      <c r="G712" s="7" t="s">
        <v>67</v>
      </c>
      <c r="H712" s="7" t="s">
        <v>68</v>
      </c>
      <c r="I712" s="7" t="s">
        <v>54</v>
      </c>
      <c r="J712" s="9" t="n">
        <v>17.6663429256073</v>
      </c>
      <c r="K712" s="9" t="n">
        <v>23.1748468219478</v>
      </c>
      <c r="L712" s="10" t="n">
        <f aca="false">K712-J712</f>
        <v>5.50850389634054</v>
      </c>
      <c r="M712" s="10" t="n">
        <f aca="false">IF(I712="higher",L712,-L712)</f>
        <v>-5.50850389634054</v>
      </c>
    </row>
    <row r="713" customFormat="false" ht="15" hidden="false" customHeight="false" outlineLevel="0" collapsed="false">
      <c r="A713" s="7" t="s">
        <v>48</v>
      </c>
      <c r="B713" s="7" t="s">
        <v>10</v>
      </c>
      <c r="C713" s="7" t="s">
        <v>49</v>
      </c>
      <c r="D713" s="7" t="s">
        <v>109</v>
      </c>
      <c r="E713" s="7" t="s">
        <v>51</v>
      </c>
      <c r="F713" s="8" t="b">
        <f aca="false">TRUE()</f>
        <v>1</v>
      </c>
      <c r="G713" s="7" t="s">
        <v>69</v>
      </c>
      <c r="H713" s="7" t="s">
        <v>70</v>
      </c>
      <c r="I713" s="7" t="s">
        <v>71</v>
      </c>
      <c r="J713" s="9" t="n">
        <v>0.670731707317073</v>
      </c>
      <c r="K713" s="9" t="n">
        <v>0.536585365853659</v>
      </c>
      <c r="L713" s="10" t="n">
        <f aca="false">K713-J713</f>
        <v>-0.134146341463415</v>
      </c>
      <c r="M713" s="10" t="n">
        <f aca="false">IF(I713="higher",L713,-L713)</f>
        <v>-0.134146341463415</v>
      </c>
    </row>
    <row r="714" customFormat="false" ht="15" hidden="false" customHeight="false" outlineLevel="0" collapsed="false">
      <c r="A714" s="7" t="s">
        <v>48</v>
      </c>
      <c r="B714" s="7" t="s">
        <v>10</v>
      </c>
      <c r="C714" s="7" t="s">
        <v>49</v>
      </c>
      <c r="D714" s="7" t="s">
        <v>109</v>
      </c>
      <c r="E714" s="7" t="s">
        <v>51</v>
      </c>
      <c r="F714" s="8" t="b">
        <f aca="false">TRUE()</f>
        <v>1</v>
      </c>
      <c r="G714" s="7" t="s">
        <v>72</v>
      </c>
      <c r="H714" s="7" t="s">
        <v>73</v>
      </c>
      <c r="I714" s="7" t="s">
        <v>71</v>
      </c>
      <c r="J714" s="9" t="n">
        <v>0.719512195121951</v>
      </c>
      <c r="K714" s="9" t="n">
        <v>0.865853658536585</v>
      </c>
      <c r="L714" s="10" t="n">
        <f aca="false">K714-J714</f>
        <v>0.146341463414634</v>
      </c>
      <c r="M714" s="10" t="n">
        <f aca="false">IF(I714="higher",L714,-L714)</f>
        <v>0.146341463414634</v>
      </c>
    </row>
    <row r="715" customFormat="false" ht="15" hidden="false" customHeight="false" outlineLevel="0" collapsed="false">
      <c r="A715" s="7" t="s">
        <v>48</v>
      </c>
      <c r="B715" s="7" t="s">
        <v>10</v>
      </c>
      <c r="C715" s="7" t="s">
        <v>49</v>
      </c>
      <c r="D715" s="7" t="s">
        <v>109</v>
      </c>
      <c r="E715" s="7" t="s">
        <v>51</v>
      </c>
      <c r="F715" s="8" t="b">
        <f aca="false">TRUE()</f>
        <v>1</v>
      </c>
      <c r="G715" s="7" t="s">
        <v>74</v>
      </c>
      <c r="H715" s="7" t="s">
        <v>75</v>
      </c>
      <c r="I715" s="7" t="s">
        <v>54</v>
      </c>
      <c r="J715" s="9" t="n">
        <v>0</v>
      </c>
      <c r="K715" s="9" t="n">
        <v>0</v>
      </c>
      <c r="L715" s="10" t="n">
        <f aca="false">K715-J715</f>
        <v>0</v>
      </c>
      <c r="M715" s="10" t="n">
        <f aca="false">IF(I715="higher",L715,-L715)</f>
        <v>-0</v>
      </c>
    </row>
    <row r="716" customFormat="false" ht="15" hidden="false" customHeight="false" outlineLevel="0" collapsed="false">
      <c r="A716" s="7" t="s">
        <v>48</v>
      </c>
      <c r="B716" s="7" t="s">
        <v>10</v>
      </c>
      <c r="C716" s="7" t="s">
        <v>49</v>
      </c>
      <c r="D716" s="7" t="s">
        <v>109</v>
      </c>
      <c r="E716" s="7" t="s">
        <v>51</v>
      </c>
      <c r="F716" s="8" t="b">
        <f aca="false">TRUE()</f>
        <v>1</v>
      </c>
      <c r="G716" s="7" t="s">
        <v>76</v>
      </c>
      <c r="H716" s="7" t="s">
        <v>77</v>
      </c>
      <c r="I716" s="7" t="s">
        <v>54</v>
      </c>
      <c r="J716" s="9" t="n">
        <v>0.0373831775700935</v>
      </c>
      <c r="K716" s="9" t="n">
        <v>0.252336448598131</v>
      </c>
      <c r="L716" s="10" t="n">
        <f aca="false">K716-J716</f>
        <v>0.214953271028037</v>
      </c>
      <c r="M716" s="10" t="n">
        <f aca="false">IF(I716="higher",L716,-L716)</f>
        <v>-0.214953271028037</v>
      </c>
    </row>
    <row r="717" customFormat="false" ht="15" hidden="false" customHeight="false" outlineLevel="0" collapsed="false">
      <c r="A717" s="7" t="s">
        <v>48</v>
      </c>
      <c r="B717" s="7" t="s">
        <v>10</v>
      </c>
      <c r="C717" s="7" t="s">
        <v>49</v>
      </c>
      <c r="D717" s="7" t="s">
        <v>109</v>
      </c>
      <c r="E717" s="7" t="s">
        <v>51</v>
      </c>
      <c r="F717" s="8" t="b">
        <f aca="false">TRUE()</f>
        <v>1</v>
      </c>
      <c r="G717" s="7" t="s">
        <v>78</v>
      </c>
      <c r="H717" s="7" t="s">
        <v>79</v>
      </c>
      <c r="I717" s="7" t="s">
        <v>54</v>
      </c>
      <c r="J717" s="9" t="n">
        <v>0.11214953271028</v>
      </c>
      <c r="K717" s="9" t="n">
        <v>0.0186915887850467</v>
      </c>
      <c r="L717" s="10" t="n">
        <f aca="false">K717-J717</f>
        <v>-0.0934579439252337</v>
      </c>
      <c r="M717" s="10" t="n">
        <f aca="false">IF(I717="higher",L717,-L717)</f>
        <v>0.0934579439252337</v>
      </c>
    </row>
    <row r="718" customFormat="false" ht="15" hidden="false" customHeight="false" outlineLevel="0" collapsed="false">
      <c r="A718" s="7" t="s">
        <v>48</v>
      </c>
      <c r="B718" s="7" t="s">
        <v>10</v>
      </c>
      <c r="C718" s="7" t="s">
        <v>49</v>
      </c>
      <c r="D718" s="7" t="s">
        <v>109</v>
      </c>
      <c r="E718" s="7" t="s">
        <v>51</v>
      </c>
      <c r="F718" s="8" t="b">
        <f aca="false">TRUE()</f>
        <v>1</v>
      </c>
      <c r="G718" s="7" t="s">
        <v>80</v>
      </c>
      <c r="H718" s="7" t="s">
        <v>81</v>
      </c>
      <c r="I718" s="7" t="s">
        <v>54</v>
      </c>
      <c r="J718" s="9" t="n">
        <v>0</v>
      </c>
      <c r="K718" s="9" t="n">
        <v>0</v>
      </c>
      <c r="L718" s="10" t="n">
        <f aca="false">K718-J718</f>
        <v>0</v>
      </c>
      <c r="M718" s="10" t="n">
        <f aca="false">IF(I718="higher",L718,-L718)</f>
        <v>-0</v>
      </c>
    </row>
    <row r="719" customFormat="false" ht="15" hidden="false" customHeight="false" outlineLevel="0" collapsed="false">
      <c r="A719" s="7" t="s">
        <v>82</v>
      </c>
      <c r="B719" s="7" t="s">
        <v>83</v>
      </c>
      <c r="C719" s="7" t="s">
        <v>49</v>
      </c>
      <c r="D719" s="7" t="s">
        <v>109</v>
      </c>
      <c r="E719" s="7" t="s">
        <v>51</v>
      </c>
      <c r="F719" s="8" t="b">
        <f aca="false">TRUE()</f>
        <v>1</v>
      </c>
      <c r="G719" s="7" t="s">
        <v>52</v>
      </c>
      <c r="H719" s="7" t="s">
        <v>53</v>
      </c>
      <c r="I719" s="7" t="s">
        <v>54</v>
      </c>
      <c r="J719" s="9" t="n">
        <v>3.2293496661136</v>
      </c>
      <c r="K719" s="9" t="n">
        <v>2.95456244714251</v>
      </c>
      <c r="L719" s="10" t="n">
        <f aca="false">K719-J719</f>
        <v>-0.274787218971094</v>
      </c>
      <c r="M719" s="10" t="n">
        <f aca="false">IF(I719="higher",L719,-L719)</f>
        <v>0.274787218971094</v>
      </c>
    </row>
    <row r="720" customFormat="false" ht="15" hidden="false" customHeight="false" outlineLevel="0" collapsed="false">
      <c r="A720" s="7" t="s">
        <v>82</v>
      </c>
      <c r="B720" s="7" t="s">
        <v>83</v>
      </c>
      <c r="C720" s="7" t="s">
        <v>49</v>
      </c>
      <c r="D720" s="7" t="s">
        <v>109</v>
      </c>
      <c r="E720" s="7" t="s">
        <v>51</v>
      </c>
      <c r="F720" s="8" t="b">
        <f aca="false">TRUE()</f>
        <v>1</v>
      </c>
      <c r="G720" s="7" t="s">
        <v>55</v>
      </c>
      <c r="H720" s="7" t="s">
        <v>56</v>
      </c>
      <c r="I720" s="7" t="s">
        <v>54</v>
      </c>
      <c r="J720" s="9" t="n">
        <v>10.6686454698544</v>
      </c>
      <c r="K720" s="9" t="n">
        <v>9.48665613096294</v>
      </c>
      <c r="L720" s="10" t="n">
        <f aca="false">K720-J720</f>
        <v>-1.18198933889147</v>
      </c>
      <c r="M720" s="10" t="n">
        <f aca="false">IF(I720="higher",L720,-L720)</f>
        <v>1.18198933889147</v>
      </c>
    </row>
    <row r="721" customFormat="false" ht="15" hidden="false" customHeight="false" outlineLevel="0" collapsed="false">
      <c r="A721" s="7" t="s">
        <v>82</v>
      </c>
      <c r="B721" s="7" t="s">
        <v>83</v>
      </c>
      <c r="C721" s="7" t="s">
        <v>49</v>
      </c>
      <c r="D721" s="7" t="s">
        <v>109</v>
      </c>
      <c r="E721" s="7" t="s">
        <v>51</v>
      </c>
      <c r="F721" s="8" t="b">
        <f aca="false">TRUE()</f>
        <v>1</v>
      </c>
      <c r="G721" s="7" t="s">
        <v>57</v>
      </c>
      <c r="H721" s="7" t="s">
        <v>58</v>
      </c>
      <c r="I721" s="7" t="s">
        <v>54</v>
      </c>
      <c r="J721" s="9" t="n">
        <v>5.49300034714823</v>
      </c>
      <c r="K721" s="9" t="n">
        <v>5.94102716630453</v>
      </c>
      <c r="L721" s="10" t="n">
        <f aca="false">K721-J721</f>
        <v>0.448026819156297</v>
      </c>
      <c r="M721" s="10" t="n">
        <f aca="false">IF(I721="higher",L721,-L721)</f>
        <v>-0.448026819156297</v>
      </c>
    </row>
    <row r="722" customFormat="false" ht="15" hidden="false" customHeight="false" outlineLevel="0" collapsed="false">
      <c r="A722" s="7" t="s">
        <v>82</v>
      </c>
      <c r="B722" s="7" t="s">
        <v>83</v>
      </c>
      <c r="C722" s="7" t="s">
        <v>49</v>
      </c>
      <c r="D722" s="7" t="s">
        <v>109</v>
      </c>
      <c r="E722" s="7" t="s">
        <v>51</v>
      </c>
      <c r="F722" s="8" t="b">
        <f aca="false">TRUE()</f>
        <v>1</v>
      </c>
      <c r="G722" s="7" t="s">
        <v>59</v>
      </c>
      <c r="H722" s="7" t="s">
        <v>60</v>
      </c>
      <c r="I722" s="7" t="s">
        <v>54</v>
      </c>
      <c r="J722" s="9" t="n">
        <v>0.0715899126969731</v>
      </c>
      <c r="K722" s="9" t="n">
        <v>0.0845300364182804</v>
      </c>
      <c r="L722" s="10" t="n">
        <f aca="false">K722-J722</f>
        <v>0.0129401237213073</v>
      </c>
      <c r="M722" s="10" t="n">
        <f aca="false">IF(I722="higher",L722,-L722)</f>
        <v>-0.0129401237213073</v>
      </c>
    </row>
    <row r="723" customFormat="false" ht="15" hidden="false" customHeight="false" outlineLevel="0" collapsed="false">
      <c r="A723" s="7" t="s">
        <v>82</v>
      </c>
      <c r="B723" s="7" t="s">
        <v>83</v>
      </c>
      <c r="C723" s="7" t="s">
        <v>49</v>
      </c>
      <c r="D723" s="7" t="s">
        <v>109</v>
      </c>
      <c r="E723" s="7" t="s">
        <v>51</v>
      </c>
      <c r="F723" s="8" t="b">
        <f aca="false">TRUE()</f>
        <v>1</v>
      </c>
      <c r="G723" s="7" t="s">
        <v>61</v>
      </c>
      <c r="H723" s="7" t="s">
        <v>62</v>
      </c>
      <c r="I723" s="7" t="s">
        <v>54</v>
      </c>
      <c r="J723" s="9" t="n">
        <v>12.2314620347472</v>
      </c>
      <c r="K723" s="9" t="n">
        <v>16.0683429602752</v>
      </c>
      <c r="L723" s="10" t="n">
        <f aca="false">K723-J723</f>
        <v>3.8368809255281</v>
      </c>
      <c r="M723" s="10" t="n">
        <f aca="false">IF(I723="higher",L723,-L723)</f>
        <v>-3.8368809255281</v>
      </c>
    </row>
    <row r="724" customFormat="false" ht="15" hidden="false" customHeight="false" outlineLevel="0" collapsed="false">
      <c r="A724" s="7" t="s">
        <v>82</v>
      </c>
      <c r="B724" s="7" t="s">
        <v>83</v>
      </c>
      <c r="C724" s="7" t="s">
        <v>49</v>
      </c>
      <c r="D724" s="7" t="s">
        <v>109</v>
      </c>
      <c r="E724" s="7" t="s">
        <v>51</v>
      </c>
      <c r="F724" s="8" t="b">
        <f aca="false">TRUE()</f>
        <v>1</v>
      </c>
      <c r="G724" s="7" t="s">
        <v>63</v>
      </c>
      <c r="H724" s="7" t="s">
        <v>64</v>
      </c>
      <c r="I724" s="7" t="s">
        <v>54</v>
      </c>
      <c r="J724" s="9" t="n">
        <v>5.47649493061196</v>
      </c>
      <c r="K724" s="9" t="n">
        <v>6.30597349758378</v>
      </c>
      <c r="L724" s="10" t="n">
        <f aca="false">K724-J724</f>
        <v>0.829478566971826</v>
      </c>
      <c r="M724" s="10" t="n">
        <f aca="false">IF(I724="higher",L724,-L724)</f>
        <v>-0.829478566971826</v>
      </c>
    </row>
    <row r="725" customFormat="false" ht="15" hidden="false" customHeight="false" outlineLevel="0" collapsed="false">
      <c r="A725" s="7" t="s">
        <v>82</v>
      </c>
      <c r="B725" s="7" t="s">
        <v>83</v>
      </c>
      <c r="C725" s="7" t="s">
        <v>49</v>
      </c>
      <c r="D725" s="7" t="s">
        <v>109</v>
      </c>
      <c r="E725" s="7" t="s">
        <v>51</v>
      </c>
      <c r="F725" s="8" t="b">
        <f aca="false">TRUE()</f>
        <v>1</v>
      </c>
      <c r="G725" s="7" t="s">
        <v>65</v>
      </c>
      <c r="H725" s="7" t="s">
        <v>66</v>
      </c>
      <c r="I725" s="7" t="s">
        <v>54</v>
      </c>
      <c r="J725" s="9" t="n">
        <v>12.3696397049127</v>
      </c>
      <c r="K725" s="9" t="n">
        <v>13.5234158127176</v>
      </c>
      <c r="L725" s="10" t="n">
        <f aca="false">K725-J725</f>
        <v>1.15377610780491</v>
      </c>
      <c r="M725" s="10" t="n">
        <f aca="false">IF(I725="higher",L725,-L725)</f>
        <v>-1.15377610780491</v>
      </c>
    </row>
    <row r="726" customFormat="false" ht="15" hidden="false" customHeight="false" outlineLevel="0" collapsed="false">
      <c r="A726" s="7" t="s">
        <v>82</v>
      </c>
      <c r="B726" s="7" t="s">
        <v>83</v>
      </c>
      <c r="C726" s="7" t="s">
        <v>49</v>
      </c>
      <c r="D726" s="7" t="s">
        <v>109</v>
      </c>
      <c r="E726" s="7" t="s">
        <v>51</v>
      </c>
      <c r="F726" s="8" t="b">
        <f aca="false">TRUE()</f>
        <v>1</v>
      </c>
      <c r="G726" s="7" t="s">
        <v>67</v>
      </c>
      <c r="H726" s="7" t="s">
        <v>68</v>
      </c>
      <c r="I726" s="7" t="s">
        <v>54</v>
      </c>
      <c r="J726" s="9" t="n">
        <v>14.9992009183764</v>
      </c>
      <c r="K726" s="9" t="n">
        <v>23.1748468219478</v>
      </c>
      <c r="L726" s="10" t="n">
        <f aca="false">K726-J726</f>
        <v>8.17564590357142</v>
      </c>
      <c r="M726" s="10" t="n">
        <f aca="false">IF(I726="higher",L726,-L726)</f>
        <v>-8.17564590357142</v>
      </c>
    </row>
    <row r="727" customFormat="false" ht="15" hidden="false" customHeight="false" outlineLevel="0" collapsed="false">
      <c r="A727" s="7" t="s">
        <v>82</v>
      </c>
      <c r="B727" s="7" t="s">
        <v>83</v>
      </c>
      <c r="C727" s="7" t="s">
        <v>49</v>
      </c>
      <c r="D727" s="7" t="s">
        <v>109</v>
      </c>
      <c r="E727" s="7" t="s">
        <v>51</v>
      </c>
      <c r="F727" s="8" t="b">
        <f aca="false">TRUE()</f>
        <v>1</v>
      </c>
      <c r="G727" s="7" t="s">
        <v>69</v>
      </c>
      <c r="H727" s="7" t="s">
        <v>70</v>
      </c>
      <c r="I727" s="7" t="s">
        <v>71</v>
      </c>
      <c r="J727" s="9" t="n">
        <v>0.548780487804878</v>
      </c>
      <c r="K727" s="9" t="n">
        <v>0.536585365853659</v>
      </c>
      <c r="L727" s="10" t="n">
        <f aca="false">K727-J727</f>
        <v>-0.0121951219512195</v>
      </c>
      <c r="M727" s="10" t="n">
        <f aca="false">IF(I727="higher",L727,-L727)</f>
        <v>-0.0121951219512195</v>
      </c>
    </row>
    <row r="728" customFormat="false" ht="15" hidden="false" customHeight="false" outlineLevel="0" collapsed="false">
      <c r="A728" s="7" t="s">
        <v>82</v>
      </c>
      <c r="B728" s="7" t="s">
        <v>83</v>
      </c>
      <c r="C728" s="7" t="s">
        <v>49</v>
      </c>
      <c r="D728" s="7" t="s">
        <v>109</v>
      </c>
      <c r="E728" s="7" t="s">
        <v>51</v>
      </c>
      <c r="F728" s="8" t="b">
        <f aca="false">TRUE()</f>
        <v>1</v>
      </c>
      <c r="G728" s="7" t="s">
        <v>72</v>
      </c>
      <c r="H728" s="7" t="s">
        <v>73</v>
      </c>
      <c r="I728" s="7" t="s">
        <v>71</v>
      </c>
      <c r="J728" s="9" t="n">
        <v>0.597560975609756</v>
      </c>
      <c r="K728" s="9" t="n">
        <v>0.865853658536585</v>
      </c>
      <c r="L728" s="10" t="n">
        <f aca="false">K728-J728</f>
        <v>0.268292682926829</v>
      </c>
      <c r="M728" s="10" t="n">
        <f aca="false">IF(I728="higher",L728,-L728)</f>
        <v>0.268292682926829</v>
      </c>
    </row>
    <row r="729" customFormat="false" ht="15" hidden="false" customHeight="false" outlineLevel="0" collapsed="false">
      <c r="A729" s="7" t="s">
        <v>82</v>
      </c>
      <c r="B729" s="7" t="s">
        <v>83</v>
      </c>
      <c r="C729" s="7" t="s">
        <v>49</v>
      </c>
      <c r="D729" s="7" t="s">
        <v>109</v>
      </c>
      <c r="E729" s="7" t="s">
        <v>51</v>
      </c>
      <c r="F729" s="8" t="b">
        <f aca="false">TRUE()</f>
        <v>1</v>
      </c>
      <c r="G729" s="7" t="s">
        <v>74</v>
      </c>
      <c r="H729" s="7" t="s">
        <v>75</v>
      </c>
      <c r="I729" s="7" t="s">
        <v>54</v>
      </c>
      <c r="J729" s="9" t="n">
        <v>0.0555555555555556</v>
      </c>
      <c r="K729" s="9" t="n">
        <v>0</v>
      </c>
      <c r="L729" s="10" t="n">
        <f aca="false">K729-J729</f>
        <v>-0.0555555555555556</v>
      </c>
      <c r="M729" s="10" t="n">
        <f aca="false">IF(I729="higher",L729,-L729)</f>
        <v>0.0555555555555556</v>
      </c>
    </row>
    <row r="730" customFormat="false" ht="15" hidden="false" customHeight="false" outlineLevel="0" collapsed="false">
      <c r="A730" s="7" t="s">
        <v>82</v>
      </c>
      <c r="B730" s="7" t="s">
        <v>83</v>
      </c>
      <c r="C730" s="7" t="s">
        <v>49</v>
      </c>
      <c r="D730" s="7" t="s">
        <v>109</v>
      </c>
      <c r="E730" s="7" t="s">
        <v>51</v>
      </c>
      <c r="F730" s="8" t="b">
        <f aca="false">TRUE()</f>
        <v>1</v>
      </c>
      <c r="G730" s="7" t="s">
        <v>76</v>
      </c>
      <c r="H730" s="7" t="s">
        <v>77</v>
      </c>
      <c r="I730" s="7" t="s">
        <v>54</v>
      </c>
      <c r="J730" s="9" t="n">
        <v>0.0373831775700935</v>
      </c>
      <c r="K730" s="9" t="n">
        <v>0.252336448598131</v>
      </c>
      <c r="L730" s="10" t="n">
        <f aca="false">K730-J730</f>
        <v>0.214953271028037</v>
      </c>
      <c r="M730" s="10" t="n">
        <f aca="false">IF(I730="higher",L730,-L730)</f>
        <v>-0.214953271028037</v>
      </c>
    </row>
    <row r="731" customFormat="false" ht="15" hidden="false" customHeight="false" outlineLevel="0" collapsed="false">
      <c r="A731" s="7" t="s">
        <v>82</v>
      </c>
      <c r="B731" s="7" t="s">
        <v>83</v>
      </c>
      <c r="C731" s="7" t="s">
        <v>49</v>
      </c>
      <c r="D731" s="7" t="s">
        <v>109</v>
      </c>
      <c r="E731" s="7" t="s">
        <v>51</v>
      </c>
      <c r="F731" s="8" t="b">
        <f aca="false">TRUE()</f>
        <v>1</v>
      </c>
      <c r="G731" s="7" t="s">
        <v>78</v>
      </c>
      <c r="H731" s="7" t="s">
        <v>79</v>
      </c>
      <c r="I731" s="7" t="s">
        <v>54</v>
      </c>
      <c r="J731" s="9" t="n">
        <v>0.11214953271028</v>
      </c>
      <c r="K731" s="9" t="n">
        <v>0.0186915887850467</v>
      </c>
      <c r="L731" s="10" t="n">
        <f aca="false">K731-J731</f>
        <v>-0.0934579439252337</v>
      </c>
      <c r="M731" s="10" t="n">
        <f aca="false">IF(I731="higher",L731,-L731)</f>
        <v>0.0934579439252337</v>
      </c>
    </row>
    <row r="732" customFormat="false" ht="15" hidden="false" customHeight="false" outlineLevel="0" collapsed="false">
      <c r="A732" s="7" t="s">
        <v>82</v>
      </c>
      <c r="B732" s="7" t="s">
        <v>83</v>
      </c>
      <c r="C732" s="7" t="s">
        <v>49</v>
      </c>
      <c r="D732" s="7" t="s">
        <v>109</v>
      </c>
      <c r="E732" s="7" t="s">
        <v>51</v>
      </c>
      <c r="F732" s="8" t="b">
        <f aca="false">TRUE()</f>
        <v>1</v>
      </c>
      <c r="G732" s="7" t="s">
        <v>80</v>
      </c>
      <c r="H732" s="7" t="s">
        <v>81</v>
      </c>
      <c r="I732" s="7" t="s">
        <v>54</v>
      </c>
      <c r="J732" s="9" t="n">
        <v>0</v>
      </c>
      <c r="K732" s="9" t="n">
        <v>0</v>
      </c>
      <c r="L732" s="10" t="n">
        <f aca="false">K732-J732</f>
        <v>0</v>
      </c>
      <c r="M732" s="10" t="n">
        <f aca="false">IF(I732="higher",L732,-L732)</f>
        <v>-0</v>
      </c>
    </row>
    <row r="733" customFormat="false" ht="15" hidden="false" customHeight="false" outlineLevel="0" collapsed="false">
      <c r="A733" s="7" t="s">
        <v>48</v>
      </c>
      <c r="B733" s="7" t="s">
        <v>10</v>
      </c>
      <c r="C733" s="7" t="s">
        <v>49</v>
      </c>
      <c r="D733" s="7" t="s">
        <v>110</v>
      </c>
      <c r="E733" s="7" t="s">
        <v>51</v>
      </c>
      <c r="F733" s="8" t="b">
        <f aca="false">TRUE()</f>
        <v>1</v>
      </c>
      <c r="G733" s="7" t="s">
        <v>52</v>
      </c>
      <c r="H733" s="7" t="s">
        <v>53</v>
      </c>
      <c r="I733" s="7" t="s">
        <v>54</v>
      </c>
      <c r="J733" s="9" t="n">
        <v>3.30235298783693</v>
      </c>
      <c r="K733" s="9" t="n">
        <v>1.95088410945214</v>
      </c>
      <c r="L733" s="10" t="n">
        <f aca="false">K733-J733</f>
        <v>-1.35146887838479</v>
      </c>
      <c r="M733" s="10" t="n">
        <f aca="false">IF(I733="higher",L733,-L733)</f>
        <v>1.35146887838479</v>
      </c>
    </row>
    <row r="734" customFormat="false" ht="15" hidden="false" customHeight="false" outlineLevel="0" collapsed="false">
      <c r="A734" s="7" t="s">
        <v>48</v>
      </c>
      <c r="B734" s="7" t="s">
        <v>10</v>
      </c>
      <c r="C734" s="7" t="s">
        <v>49</v>
      </c>
      <c r="D734" s="7" t="s">
        <v>110</v>
      </c>
      <c r="E734" s="7" t="s">
        <v>51</v>
      </c>
      <c r="F734" s="8" t="b">
        <f aca="false">TRUE()</f>
        <v>1</v>
      </c>
      <c r="G734" s="7" t="s">
        <v>55</v>
      </c>
      <c r="H734" s="7" t="s">
        <v>56</v>
      </c>
      <c r="I734" s="7" t="s">
        <v>54</v>
      </c>
      <c r="J734" s="9" t="n">
        <v>6.12249008968877</v>
      </c>
      <c r="K734" s="9" t="n">
        <v>5.18803966550844</v>
      </c>
      <c r="L734" s="10" t="n">
        <f aca="false">K734-J734</f>
        <v>-0.934450424180333</v>
      </c>
      <c r="M734" s="10" t="n">
        <f aca="false">IF(I734="higher",L734,-L734)</f>
        <v>0.934450424180333</v>
      </c>
    </row>
    <row r="735" customFormat="false" ht="15" hidden="false" customHeight="false" outlineLevel="0" collapsed="false">
      <c r="A735" s="7" t="s">
        <v>48</v>
      </c>
      <c r="B735" s="7" t="s">
        <v>10</v>
      </c>
      <c r="C735" s="7" t="s">
        <v>49</v>
      </c>
      <c r="D735" s="7" t="s">
        <v>110</v>
      </c>
      <c r="E735" s="7" t="s">
        <v>51</v>
      </c>
      <c r="F735" s="8" t="b">
        <f aca="false">TRUE()</f>
        <v>1</v>
      </c>
      <c r="G735" s="7" t="s">
        <v>57</v>
      </c>
      <c r="H735" s="7" t="s">
        <v>58</v>
      </c>
      <c r="I735" s="7" t="s">
        <v>54</v>
      </c>
      <c r="J735" s="9" t="n">
        <v>6.49258157273402</v>
      </c>
      <c r="K735" s="9" t="n">
        <v>3.5172158625006</v>
      </c>
      <c r="L735" s="10" t="n">
        <f aca="false">K735-J735</f>
        <v>-2.97536571023342</v>
      </c>
      <c r="M735" s="10" t="n">
        <f aca="false">IF(I735="higher",L735,-L735)</f>
        <v>2.97536571023342</v>
      </c>
    </row>
    <row r="736" customFormat="false" ht="15" hidden="false" customHeight="false" outlineLevel="0" collapsed="false">
      <c r="A736" s="7" t="s">
        <v>48</v>
      </c>
      <c r="B736" s="7" t="s">
        <v>10</v>
      </c>
      <c r="C736" s="7" t="s">
        <v>49</v>
      </c>
      <c r="D736" s="7" t="s">
        <v>110</v>
      </c>
      <c r="E736" s="7" t="s">
        <v>51</v>
      </c>
      <c r="F736" s="8" t="b">
        <f aca="false">TRUE()</f>
        <v>1</v>
      </c>
      <c r="G736" s="7" t="s">
        <v>59</v>
      </c>
      <c r="H736" s="7" t="s">
        <v>60</v>
      </c>
      <c r="I736" s="7" t="s">
        <v>54</v>
      </c>
      <c r="J736" s="9" t="n">
        <v>0.044847164033079</v>
      </c>
      <c r="K736" s="9" t="n">
        <v>0.0481226675793689</v>
      </c>
      <c r="L736" s="10" t="n">
        <f aca="false">K736-J736</f>
        <v>0.00327550354628993</v>
      </c>
      <c r="M736" s="10" t="n">
        <f aca="false">IF(I736="higher",L736,-L736)</f>
        <v>-0.00327550354628993</v>
      </c>
    </row>
    <row r="737" customFormat="false" ht="15" hidden="false" customHeight="false" outlineLevel="0" collapsed="false">
      <c r="A737" s="7" t="s">
        <v>48</v>
      </c>
      <c r="B737" s="7" t="s">
        <v>10</v>
      </c>
      <c r="C737" s="7" t="s">
        <v>49</v>
      </c>
      <c r="D737" s="7" t="s">
        <v>110</v>
      </c>
      <c r="E737" s="7" t="s">
        <v>51</v>
      </c>
      <c r="F737" s="8" t="b">
        <f aca="false">TRUE()</f>
        <v>1</v>
      </c>
      <c r="G737" s="7" t="s">
        <v>61</v>
      </c>
      <c r="H737" s="7" t="s">
        <v>62</v>
      </c>
      <c r="I737" s="7" t="s">
        <v>54</v>
      </c>
      <c r="J737" s="9" t="n">
        <v>25.8266262328302</v>
      </c>
      <c r="K737" s="9" t="n">
        <v>18.4446873598602</v>
      </c>
      <c r="L737" s="10" t="n">
        <f aca="false">K737-J737</f>
        <v>-7.38193887297003</v>
      </c>
      <c r="M737" s="10" t="n">
        <f aca="false">IF(I737="higher",L737,-L737)</f>
        <v>7.38193887297003</v>
      </c>
    </row>
    <row r="738" customFormat="false" ht="15" hidden="false" customHeight="false" outlineLevel="0" collapsed="false">
      <c r="A738" s="7" t="s">
        <v>48</v>
      </c>
      <c r="B738" s="7" t="s">
        <v>10</v>
      </c>
      <c r="C738" s="7" t="s">
        <v>49</v>
      </c>
      <c r="D738" s="7" t="s">
        <v>110</v>
      </c>
      <c r="E738" s="7" t="s">
        <v>51</v>
      </c>
      <c r="F738" s="8" t="b">
        <f aca="false">TRUE()</f>
        <v>1</v>
      </c>
      <c r="G738" s="7" t="s">
        <v>63</v>
      </c>
      <c r="H738" s="7" t="s">
        <v>64</v>
      </c>
      <c r="I738" s="7" t="s">
        <v>54</v>
      </c>
      <c r="J738" s="9" t="n">
        <v>5.43055133407262</v>
      </c>
      <c r="K738" s="9" t="n">
        <v>4.70112679668681</v>
      </c>
      <c r="L738" s="10" t="n">
        <f aca="false">K738-J738</f>
        <v>-0.729424537385816</v>
      </c>
      <c r="M738" s="10" t="n">
        <f aca="false">IF(I738="higher",L738,-L738)</f>
        <v>0.729424537385816</v>
      </c>
    </row>
    <row r="739" customFormat="false" ht="15" hidden="false" customHeight="false" outlineLevel="0" collapsed="false">
      <c r="A739" s="7" t="s">
        <v>48</v>
      </c>
      <c r="B739" s="7" t="s">
        <v>10</v>
      </c>
      <c r="C739" s="7" t="s">
        <v>49</v>
      </c>
      <c r="D739" s="7" t="s">
        <v>110</v>
      </c>
      <c r="E739" s="7" t="s">
        <v>51</v>
      </c>
      <c r="F739" s="8" t="b">
        <f aca="false">TRUE()</f>
        <v>1</v>
      </c>
      <c r="G739" s="7" t="s">
        <v>65</v>
      </c>
      <c r="H739" s="7" t="s">
        <v>66</v>
      </c>
      <c r="I739" s="7" t="s">
        <v>54</v>
      </c>
      <c r="J739" s="9" t="n">
        <v>26.9248879420843</v>
      </c>
      <c r="K739" s="9" t="n">
        <v>19.1817882227027</v>
      </c>
      <c r="L739" s="10" t="n">
        <f aca="false">K739-J739</f>
        <v>-7.74309971938165</v>
      </c>
      <c r="M739" s="10" t="n">
        <f aca="false">IF(I739="higher",L739,-L739)</f>
        <v>7.74309971938165</v>
      </c>
    </row>
    <row r="740" customFormat="false" ht="15" hidden="false" customHeight="false" outlineLevel="0" collapsed="false">
      <c r="A740" s="7" t="s">
        <v>48</v>
      </c>
      <c r="B740" s="7" t="s">
        <v>10</v>
      </c>
      <c r="C740" s="7" t="s">
        <v>49</v>
      </c>
      <c r="D740" s="7" t="s">
        <v>110</v>
      </c>
      <c r="E740" s="7" t="s">
        <v>51</v>
      </c>
      <c r="F740" s="8" t="b">
        <f aca="false">TRUE()</f>
        <v>1</v>
      </c>
      <c r="G740" s="7" t="s">
        <v>67</v>
      </c>
      <c r="H740" s="7" t="s">
        <v>68</v>
      </c>
      <c r="I740" s="7" t="s">
        <v>54</v>
      </c>
      <c r="J740" s="9" t="n">
        <v>9.12502466206663</v>
      </c>
      <c r="K740" s="9" t="n">
        <v>10.4603233596512</v>
      </c>
      <c r="L740" s="10" t="n">
        <f aca="false">K740-J740</f>
        <v>1.33529869758455</v>
      </c>
      <c r="M740" s="10" t="n">
        <f aca="false">IF(I740="higher",L740,-L740)</f>
        <v>-1.33529869758455</v>
      </c>
    </row>
    <row r="741" customFormat="false" ht="15" hidden="false" customHeight="false" outlineLevel="0" collapsed="false">
      <c r="A741" s="7" t="s">
        <v>48</v>
      </c>
      <c r="B741" s="7" t="s">
        <v>10</v>
      </c>
      <c r="C741" s="7" t="s">
        <v>49</v>
      </c>
      <c r="D741" s="7" t="s">
        <v>110</v>
      </c>
      <c r="E741" s="7" t="s">
        <v>51</v>
      </c>
      <c r="F741" s="8" t="b">
        <f aca="false">TRUE()</f>
        <v>1</v>
      </c>
      <c r="G741" s="7" t="s">
        <v>69</v>
      </c>
      <c r="H741" s="7" t="s">
        <v>70</v>
      </c>
      <c r="I741" s="7" t="s">
        <v>71</v>
      </c>
      <c r="J741" s="9" t="n">
        <v>0.641304347826087</v>
      </c>
      <c r="K741" s="9" t="n">
        <v>0.695652173913043</v>
      </c>
      <c r="L741" s="10" t="n">
        <f aca="false">K741-J741</f>
        <v>0.0543478260869565</v>
      </c>
      <c r="M741" s="10" t="n">
        <f aca="false">IF(I741="higher",L741,-L741)</f>
        <v>0.0543478260869565</v>
      </c>
    </row>
    <row r="742" customFormat="false" ht="15" hidden="false" customHeight="false" outlineLevel="0" collapsed="false">
      <c r="A742" s="7" t="s">
        <v>48</v>
      </c>
      <c r="B742" s="7" t="s">
        <v>10</v>
      </c>
      <c r="C742" s="7" t="s">
        <v>49</v>
      </c>
      <c r="D742" s="7" t="s">
        <v>110</v>
      </c>
      <c r="E742" s="7" t="s">
        <v>51</v>
      </c>
      <c r="F742" s="8" t="b">
        <f aca="false">TRUE()</f>
        <v>1</v>
      </c>
      <c r="G742" s="7" t="s">
        <v>72</v>
      </c>
      <c r="H742" s="7" t="s">
        <v>73</v>
      </c>
      <c r="I742" s="7" t="s">
        <v>71</v>
      </c>
      <c r="J742" s="9" t="n">
        <v>0.706521739130435</v>
      </c>
      <c r="K742" s="9" t="n">
        <v>0.75</v>
      </c>
      <c r="L742" s="10" t="n">
        <f aca="false">K742-J742</f>
        <v>0.0434782608695652</v>
      </c>
      <c r="M742" s="10" t="n">
        <f aca="false">IF(I742="higher",L742,-L742)</f>
        <v>0.0434782608695652</v>
      </c>
    </row>
    <row r="743" customFormat="false" ht="15" hidden="false" customHeight="false" outlineLevel="0" collapsed="false">
      <c r="A743" s="7" t="s">
        <v>48</v>
      </c>
      <c r="B743" s="7" t="s">
        <v>10</v>
      </c>
      <c r="C743" s="7" t="s">
        <v>49</v>
      </c>
      <c r="D743" s="7" t="s">
        <v>110</v>
      </c>
      <c r="E743" s="7" t="s">
        <v>51</v>
      </c>
      <c r="F743" s="8" t="b">
        <f aca="false">TRUE()</f>
        <v>1</v>
      </c>
      <c r="G743" s="7" t="s">
        <v>74</v>
      </c>
      <c r="H743" s="7" t="s">
        <v>75</v>
      </c>
      <c r="I743" s="7" t="s">
        <v>54</v>
      </c>
      <c r="J743" s="9" t="n">
        <v>0.025</v>
      </c>
      <c r="K743" s="9" t="n">
        <v>0.1125</v>
      </c>
      <c r="L743" s="10" t="n">
        <f aca="false">K743-J743</f>
        <v>0.0875</v>
      </c>
      <c r="M743" s="10" t="n">
        <f aca="false">IF(I743="higher",L743,-L743)</f>
        <v>-0.0875</v>
      </c>
    </row>
    <row r="744" customFormat="false" ht="15" hidden="false" customHeight="false" outlineLevel="0" collapsed="false">
      <c r="A744" s="7" t="s">
        <v>48</v>
      </c>
      <c r="B744" s="7" t="s">
        <v>10</v>
      </c>
      <c r="C744" s="7" t="s">
        <v>49</v>
      </c>
      <c r="D744" s="7" t="s">
        <v>110</v>
      </c>
      <c r="E744" s="7" t="s">
        <v>51</v>
      </c>
      <c r="F744" s="8" t="b">
        <f aca="false">TRUE()</f>
        <v>1</v>
      </c>
      <c r="G744" s="7" t="s">
        <v>76</v>
      </c>
      <c r="H744" s="7" t="s">
        <v>77</v>
      </c>
      <c r="I744" s="7" t="s">
        <v>54</v>
      </c>
      <c r="J744" s="9" t="n">
        <v>0.0421052631578947</v>
      </c>
      <c r="K744" s="9" t="n">
        <v>0.0263157894736842</v>
      </c>
      <c r="L744" s="10" t="n">
        <f aca="false">K744-J744</f>
        <v>-0.0157894736842105</v>
      </c>
      <c r="M744" s="10" t="n">
        <f aca="false">IF(I744="higher",L744,-L744)</f>
        <v>0.0157894736842105</v>
      </c>
    </row>
    <row r="745" customFormat="false" ht="15" hidden="false" customHeight="false" outlineLevel="0" collapsed="false">
      <c r="A745" s="7" t="s">
        <v>48</v>
      </c>
      <c r="B745" s="7" t="s">
        <v>10</v>
      </c>
      <c r="C745" s="7" t="s">
        <v>49</v>
      </c>
      <c r="D745" s="7" t="s">
        <v>110</v>
      </c>
      <c r="E745" s="7" t="s">
        <v>51</v>
      </c>
      <c r="F745" s="8" t="b">
        <f aca="false">TRUE()</f>
        <v>1</v>
      </c>
      <c r="G745" s="7" t="s">
        <v>78</v>
      </c>
      <c r="H745" s="7" t="s">
        <v>79</v>
      </c>
      <c r="I745" s="7" t="s">
        <v>54</v>
      </c>
      <c r="J745" s="9" t="n">
        <v>0</v>
      </c>
      <c r="K745" s="9" t="n">
        <v>0</v>
      </c>
      <c r="L745" s="10" t="n">
        <f aca="false">K745-J745</f>
        <v>0</v>
      </c>
      <c r="M745" s="10" t="n">
        <f aca="false">IF(I745="higher",L745,-L745)</f>
        <v>-0</v>
      </c>
    </row>
    <row r="746" customFormat="false" ht="15" hidden="false" customHeight="false" outlineLevel="0" collapsed="false">
      <c r="A746" s="7" t="s">
        <v>48</v>
      </c>
      <c r="B746" s="7" t="s">
        <v>10</v>
      </c>
      <c r="C746" s="7" t="s">
        <v>49</v>
      </c>
      <c r="D746" s="7" t="s">
        <v>110</v>
      </c>
      <c r="E746" s="7" t="s">
        <v>51</v>
      </c>
      <c r="F746" s="8" t="b">
        <f aca="false">TRUE()</f>
        <v>1</v>
      </c>
      <c r="G746" s="7" t="s">
        <v>80</v>
      </c>
      <c r="H746" s="7" t="s">
        <v>81</v>
      </c>
      <c r="I746" s="7" t="s">
        <v>54</v>
      </c>
      <c r="J746" s="9" t="n">
        <v>0</v>
      </c>
      <c r="K746" s="9" t="n">
        <v>0</v>
      </c>
      <c r="L746" s="10" t="n">
        <f aca="false">K746-J746</f>
        <v>0</v>
      </c>
      <c r="M746" s="10" t="n">
        <f aca="false">IF(I746="higher",L746,-L746)</f>
        <v>-0</v>
      </c>
    </row>
    <row r="747" customFormat="false" ht="15" hidden="false" customHeight="false" outlineLevel="0" collapsed="false">
      <c r="A747" s="7" t="s">
        <v>82</v>
      </c>
      <c r="B747" s="7" t="s">
        <v>83</v>
      </c>
      <c r="C747" s="7" t="s">
        <v>49</v>
      </c>
      <c r="D747" s="7" t="s">
        <v>110</v>
      </c>
      <c r="E747" s="7" t="s">
        <v>51</v>
      </c>
      <c r="F747" s="8" t="b">
        <f aca="false">TRUE()</f>
        <v>1</v>
      </c>
      <c r="G747" s="7" t="s">
        <v>52</v>
      </c>
      <c r="H747" s="7" t="s">
        <v>53</v>
      </c>
      <c r="I747" s="7" t="s">
        <v>54</v>
      </c>
      <c r="J747" s="9" t="n">
        <v>2.76532096746619</v>
      </c>
      <c r="K747" s="9" t="n">
        <v>1.95088410945214</v>
      </c>
      <c r="L747" s="10" t="n">
        <f aca="false">K747-J747</f>
        <v>-0.81443685801405</v>
      </c>
      <c r="M747" s="10" t="n">
        <f aca="false">IF(I747="higher",L747,-L747)</f>
        <v>0.81443685801405</v>
      </c>
    </row>
    <row r="748" customFormat="false" ht="15" hidden="false" customHeight="false" outlineLevel="0" collapsed="false">
      <c r="A748" s="7" t="s">
        <v>82</v>
      </c>
      <c r="B748" s="7" t="s">
        <v>83</v>
      </c>
      <c r="C748" s="7" t="s">
        <v>49</v>
      </c>
      <c r="D748" s="7" t="s">
        <v>110</v>
      </c>
      <c r="E748" s="7" t="s">
        <v>51</v>
      </c>
      <c r="F748" s="8" t="b">
        <f aca="false">TRUE()</f>
        <v>1</v>
      </c>
      <c r="G748" s="7" t="s">
        <v>55</v>
      </c>
      <c r="H748" s="7" t="s">
        <v>56</v>
      </c>
      <c r="I748" s="7" t="s">
        <v>54</v>
      </c>
      <c r="J748" s="9" t="n">
        <v>6.14994010317639</v>
      </c>
      <c r="K748" s="9" t="n">
        <v>5.18803966550844</v>
      </c>
      <c r="L748" s="10" t="n">
        <f aca="false">K748-J748</f>
        <v>-0.96190043766795</v>
      </c>
      <c r="M748" s="10" t="n">
        <f aca="false">IF(I748="higher",L748,-L748)</f>
        <v>0.96190043766795</v>
      </c>
    </row>
    <row r="749" customFormat="false" ht="15" hidden="false" customHeight="false" outlineLevel="0" collapsed="false">
      <c r="A749" s="7" t="s">
        <v>82</v>
      </c>
      <c r="B749" s="7" t="s">
        <v>83</v>
      </c>
      <c r="C749" s="7" t="s">
        <v>49</v>
      </c>
      <c r="D749" s="7" t="s">
        <v>110</v>
      </c>
      <c r="E749" s="7" t="s">
        <v>51</v>
      </c>
      <c r="F749" s="8" t="b">
        <f aca="false">TRUE()</f>
        <v>1</v>
      </c>
      <c r="G749" s="7" t="s">
        <v>57</v>
      </c>
      <c r="H749" s="7" t="s">
        <v>58</v>
      </c>
      <c r="I749" s="7" t="s">
        <v>54</v>
      </c>
      <c r="J749" s="9" t="n">
        <v>11.3797396838564</v>
      </c>
      <c r="K749" s="9" t="n">
        <v>3.5172158625006</v>
      </c>
      <c r="L749" s="10" t="n">
        <f aca="false">K749-J749</f>
        <v>-7.86252382135576</v>
      </c>
      <c r="M749" s="10" t="n">
        <f aca="false">IF(I749="higher",L749,-L749)</f>
        <v>7.86252382135576</v>
      </c>
    </row>
    <row r="750" customFormat="false" ht="15" hidden="false" customHeight="false" outlineLevel="0" collapsed="false">
      <c r="A750" s="7" t="s">
        <v>82</v>
      </c>
      <c r="B750" s="7" t="s">
        <v>83</v>
      </c>
      <c r="C750" s="7" t="s">
        <v>49</v>
      </c>
      <c r="D750" s="7" t="s">
        <v>110</v>
      </c>
      <c r="E750" s="7" t="s">
        <v>51</v>
      </c>
      <c r="F750" s="8" t="b">
        <f aca="false">TRUE()</f>
        <v>1</v>
      </c>
      <c r="G750" s="7" t="s">
        <v>59</v>
      </c>
      <c r="H750" s="7" t="s">
        <v>60</v>
      </c>
      <c r="I750" s="7" t="s">
        <v>54</v>
      </c>
      <c r="J750" s="9" t="n">
        <v>0.0500850604820859</v>
      </c>
      <c r="K750" s="9" t="n">
        <v>0.0481226675793689</v>
      </c>
      <c r="L750" s="10" t="n">
        <f aca="false">K750-J750</f>
        <v>-0.00196239290271696</v>
      </c>
      <c r="M750" s="10" t="n">
        <f aca="false">IF(I750="higher",L750,-L750)</f>
        <v>0.00196239290271696</v>
      </c>
    </row>
    <row r="751" customFormat="false" ht="15" hidden="false" customHeight="false" outlineLevel="0" collapsed="false">
      <c r="A751" s="7" t="s">
        <v>82</v>
      </c>
      <c r="B751" s="7" t="s">
        <v>83</v>
      </c>
      <c r="C751" s="7" t="s">
        <v>49</v>
      </c>
      <c r="D751" s="7" t="s">
        <v>110</v>
      </c>
      <c r="E751" s="7" t="s">
        <v>51</v>
      </c>
      <c r="F751" s="8" t="b">
        <f aca="false">TRUE()</f>
        <v>1</v>
      </c>
      <c r="G751" s="7" t="s">
        <v>61</v>
      </c>
      <c r="H751" s="7" t="s">
        <v>62</v>
      </c>
      <c r="I751" s="7" t="s">
        <v>54</v>
      </c>
      <c r="J751" s="9" t="n">
        <v>18.8324055147373</v>
      </c>
      <c r="K751" s="9" t="n">
        <v>18.4446873598602</v>
      </c>
      <c r="L751" s="10" t="n">
        <f aca="false">K751-J751</f>
        <v>-0.387718154877128</v>
      </c>
      <c r="M751" s="10" t="n">
        <f aca="false">IF(I751="higher",L751,-L751)</f>
        <v>0.387718154877128</v>
      </c>
    </row>
    <row r="752" customFormat="false" ht="15" hidden="false" customHeight="false" outlineLevel="0" collapsed="false">
      <c r="A752" s="7" t="s">
        <v>82</v>
      </c>
      <c r="B752" s="7" t="s">
        <v>83</v>
      </c>
      <c r="C752" s="7" t="s">
        <v>49</v>
      </c>
      <c r="D752" s="7" t="s">
        <v>110</v>
      </c>
      <c r="E752" s="7" t="s">
        <v>51</v>
      </c>
      <c r="F752" s="8" t="b">
        <f aca="false">TRUE()</f>
        <v>1</v>
      </c>
      <c r="G752" s="7" t="s">
        <v>63</v>
      </c>
      <c r="H752" s="7" t="s">
        <v>64</v>
      </c>
      <c r="I752" s="7" t="s">
        <v>54</v>
      </c>
      <c r="J752" s="9" t="n">
        <v>4.3688435214416</v>
      </c>
      <c r="K752" s="9" t="n">
        <v>4.70112679668681</v>
      </c>
      <c r="L752" s="10" t="n">
        <f aca="false">K752-J752</f>
        <v>0.332283275245207</v>
      </c>
      <c r="M752" s="10" t="n">
        <f aca="false">IF(I752="higher",L752,-L752)</f>
        <v>-0.332283275245207</v>
      </c>
    </row>
    <row r="753" customFormat="false" ht="15" hidden="false" customHeight="false" outlineLevel="0" collapsed="false">
      <c r="A753" s="7" t="s">
        <v>82</v>
      </c>
      <c r="B753" s="7" t="s">
        <v>83</v>
      </c>
      <c r="C753" s="7" t="s">
        <v>49</v>
      </c>
      <c r="D753" s="7" t="s">
        <v>110</v>
      </c>
      <c r="E753" s="7" t="s">
        <v>51</v>
      </c>
      <c r="F753" s="8" t="b">
        <f aca="false">TRUE()</f>
        <v>1</v>
      </c>
      <c r="G753" s="7" t="s">
        <v>65</v>
      </c>
      <c r="H753" s="7" t="s">
        <v>66</v>
      </c>
      <c r="I753" s="7" t="s">
        <v>54</v>
      </c>
      <c r="J753" s="9" t="n">
        <v>19.6713631063946</v>
      </c>
      <c r="K753" s="9" t="n">
        <v>19.1817882227027</v>
      </c>
      <c r="L753" s="10" t="n">
        <f aca="false">K753-J753</f>
        <v>-0.48957488369188</v>
      </c>
      <c r="M753" s="10" t="n">
        <f aca="false">IF(I753="higher",L753,-L753)</f>
        <v>0.48957488369188</v>
      </c>
    </row>
    <row r="754" customFormat="false" ht="15" hidden="false" customHeight="false" outlineLevel="0" collapsed="false">
      <c r="A754" s="7" t="s">
        <v>82</v>
      </c>
      <c r="B754" s="7" t="s">
        <v>83</v>
      </c>
      <c r="C754" s="7" t="s">
        <v>49</v>
      </c>
      <c r="D754" s="7" t="s">
        <v>110</v>
      </c>
      <c r="E754" s="7" t="s">
        <v>51</v>
      </c>
      <c r="F754" s="8" t="b">
        <f aca="false">TRUE()</f>
        <v>1</v>
      </c>
      <c r="G754" s="7" t="s">
        <v>67</v>
      </c>
      <c r="H754" s="7" t="s">
        <v>68</v>
      </c>
      <c r="I754" s="7" t="s">
        <v>54</v>
      </c>
      <c r="J754" s="9" t="n">
        <v>8.64612433772326</v>
      </c>
      <c r="K754" s="9" t="n">
        <v>10.4603233596512</v>
      </c>
      <c r="L754" s="10" t="n">
        <f aca="false">K754-J754</f>
        <v>1.81419902192792</v>
      </c>
      <c r="M754" s="10" t="n">
        <f aca="false">IF(I754="higher",L754,-L754)</f>
        <v>-1.81419902192792</v>
      </c>
    </row>
    <row r="755" customFormat="false" ht="15" hidden="false" customHeight="false" outlineLevel="0" collapsed="false">
      <c r="A755" s="7" t="s">
        <v>82</v>
      </c>
      <c r="B755" s="7" t="s">
        <v>83</v>
      </c>
      <c r="C755" s="7" t="s">
        <v>49</v>
      </c>
      <c r="D755" s="7" t="s">
        <v>110</v>
      </c>
      <c r="E755" s="7" t="s">
        <v>51</v>
      </c>
      <c r="F755" s="8" t="b">
        <f aca="false">TRUE()</f>
        <v>1</v>
      </c>
      <c r="G755" s="7" t="s">
        <v>69</v>
      </c>
      <c r="H755" s="7" t="s">
        <v>70</v>
      </c>
      <c r="I755" s="7" t="s">
        <v>71</v>
      </c>
      <c r="J755" s="9" t="n">
        <v>0.728260869565217</v>
      </c>
      <c r="K755" s="9" t="n">
        <v>0.695652173913043</v>
      </c>
      <c r="L755" s="10" t="n">
        <f aca="false">K755-J755</f>
        <v>-0.0326086956521739</v>
      </c>
      <c r="M755" s="10" t="n">
        <f aca="false">IF(I755="higher",L755,-L755)</f>
        <v>-0.0326086956521739</v>
      </c>
    </row>
    <row r="756" customFormat="false" ht="15" hidden="false" customHeight="false" outlineLevel="0" collapsed="false">
      <c r="A756" s="7" t="s">
        <v>82</v>
      </c>
      <c r="B756" s="7" t="s">
        <v>83</v>
      </c>
      <c r="C756" s="7" t="s">
        <v>49</v>
      </c>
      <c r="D756" s="7" t="s">
        <v>110</v>
      </c>
      <c r="E756" s="7" t="s">
        <v>51</v>
      </c>
      <c r="F756" s="8" t="b">
        <f aca="false">TRUE()</f>
        <v>1</v>
      </c>
      <c r="G756" s="7" t="s">
        <v>72</v>
      </c>
      <c r="H756" s="7" t="s">
        <v>73</v>
      </c>
      <c r="I756" s="7" t="s">
        <v>71</v>
      </c>
      <c r="J756" s="9" t="n">
        <v>0.739130434782609</v>
      </c>
      <c r="K756" s="9" t="n">
        <v>0.75</v>
      </c>
      <c r="L756" s="10" t="n">
        <f aca="false">K756-J756</f>
        <v>0.0108695652173914</v>
      </c>
      <c r="M756" s="10" t="n">
        <f aca="false">IF(I756="higher",L756,-L756)</f>
        <v>0.0108695652173914</v>
      </c>
    </row>
    <row r="757" customFormat="false" ht="15" hidden="false" customHeight="false" outlineLevel="0" collapsed="false">
      <c r="A757" s="7" t="s">
        <v>82</v>
      </c>
      <c r="B757" s="7" t="s">
        <v>83</v>
      </c>
      <c r="C757" s="7" t="s">
        <v>49</v>
      </c>
      <c r="D757" s="7" t="s">
        <v>110</v>
      </c>
      <c r="E757" s="7" t="s">
        <v>51</v>
      </c>
      <c r="F757" s="8" t="b">
        <f aca="false">TRUE()</f>
        <v>1</v>
      </c>
      <c r="G757" s="7" t="s">
        <v>74</v>
      </c>
      <c r="H757" s="7" t="s">
        <v>75</v>
      </c>
      <c r="I757" s="7" t="s">
        <v>54</v>
      </c>
      <c r="J757" s="9" t="n">
        <v>0</v>
      </c>
      <c r="K757" s="9" t="n">
        <v>0.1125</v>
      </c>
      <c r="L757" s="10" t="n">
        <f aca="false">K757-J757</f>
        <v>0.1125</v>
      </c>
      <c r="M757" s="10" t="n">
        <f aca="false">IF(I757="higher",L757,-L757)</f>
        <v>-0.1125</v>
      </c>
    </row>
    <row r="758" customFormat="false" ht="15" hidden="false" customHeight="false" outlineLevel="0" collapsed="false">
      <c r="A758" s="7" t="s">
        <v>82</v>
      </c>
      <c r="B758" s="7" t="s">
        <v>83</v>
      </c>
      <c r="C758" s="7" t="s">
        <v>49</v>
      </c>
      <c r="D758" s="7" t="s">
        <v>110</v>
      </c>
      <c r="E758" s="7" t="s">
        <v>51</v>
      </c>
      <c r="F758" s="8" t="b">
        <f aca="false">TRUE()</f>
        <v>1</v>
      </c>
      <c r="G758" s="7" t="s">
        <v>76</v>
      </c>
      <c r="H758" s="7" t="s">
        <v>77</v>
      </c>
      <c r="I758" s="7" t="s">
        <v>54</v>
      </c>
      <c r="J758" s="9" t="n">
        <v>0.00526315789473684</v>
      </c>
      <c r="K758" s="9" t="n">
        <v>0.0263157894736842</v>
      </c>
      <c r="L758" s="10" t="n">
        <f aca="false">K758-J758</f>
        <v>0.0210526315789474</v>
      </c>
      <c r="M758" s="10" t="n">
        <f aca="false">IF(I758="higher",L758,-L758)</f>
        <v>-0.0210526315789474</v>
      </c>
    </row>
    <row r="759" customFormat="false" ht="15" hidden="false" customHeight="false" outlineLevel="0" collapsed="false">
      <c r="A759" s="7" t="s">
        <v>82</v>
      </c>
      <c r="B759" s="7" t="s">
        <v>83</v>
      </c>
      <c r="C759" s="7" t="s">
        <v>49</v>
      </c>
      <c r="D759" s="7" t="s">
        <v>110</v>
      </c>
      <c r="E759" s="7" t="s">
        <v>51</v>
      </c>
      <c r="F759" s="8" t="b">
        <f aca="false">TRUE()</f>
        <v>1</v>
      </c>
      <c r="G759" s="7" t="s">
        <v>78</v>
      </c>
      <c r="H759" s="7" t="s">
        <v>79</v>
      </c>
      <c r="I759" s="7" t="s">
        <v>54</v>
      </c>
      <c r="J759" s="9" t="n">
        <v>0</v>
      </c>
      <c r="K759" s="9" t="n">
        <v>0</v>
      </c>
      <c r="L759" s="10" t="n">
        <f aca="false">K759-J759</f>
        <v>0</v>
      </c>
      <c r="M759" s="10" t="n">
        <f aca="false">IF(I759="higher",L759,-L759)</f>
        <v>-0</v>
      </c>
    </row>
    <row r="760" customFormat="false" ht="15" hidden="false" customHeight="false" outlineLevel="0" collapsed="false">
      <c r="A760" s="7" t="s">
        <v>82</v>
      </c>
      <c r="B760" s="7" t="s">
        <v>83</v>
      </c>
      <c r="C760" s="7" t="s">
        <v>49</v>
      </c>
      <c r="D760" s="7" t="s">
        <v>110</v>
      </c>
      <c r="E760" s="7" t="s">
        <v>51</v>
      </c>
      <c r="F760" s="8" t="b">
        <f aca="false">TRUE()</f>
        <v>1</v>
      </c>
      <c r="G760" s="7" t="s">
        <v>80</v>
      </c>
      <c r="H760" s="7" t="s">
        <v>81</v>
      </c>
      <c r="I760" s="7" t="s">
        <v>54</v>
      </c>
      <c r="J760" s="9" t="n">
        <v>0</v>
      </c>
      <c r="K760" s="9" t="n">
        <v>0</v>
      </c>
      <c r="L760" s="10" t="n">
        <f aca="false">K760-J760</f>
        <v>0</v>
      </c>
      <c r="M760" s="10" t="n">
        <f aca="false">IF(I760="higher",L760,-L760)</f>
        <v>-0</v>
      </c>
    </row>
    <row r="761" customFormat="false" ht="15" hidden="false" customHeight="false" outlineLevel="0" collapsed="false">
      <c r="A761" s="7" t="s">
        <v>48</v>
      </c>
      <c r="B761" s="7" t="s">
        <v>10</v>
      </c>
      <c r="C761" s="7" t="s">
        <v>49</v>
      </c>
      <c r="D761" s="7" t="s">
        <v>111</v>
      </c>
      <c r="E761" s="7" t="s">
        <v>91</v>
      </c>
      <c r="F761" s="8" t="b">
        <f aca="false">TRUE()</f>
        <v>1</v>
      </c>
      <c r="G761" s="7" t="s">
        <v>52</v>
      </c>
      <c r="H761" s="7" t="s">
        <v>53</v>
      </c>
      <c r="I761" s="7" t="s">
        <v>54</v>
      </c>
      <c r="J761" s="9" t="n">
        <v>5.5490213236264</v>
      </c>
      <c r="K761" s="9" t="n">
        <v>4.85066778849137</v>
      </c>
      <c r="L761" s="10" t="n">
        <f aca="false">K761-J761</f>
        <v>-0.698353535135029</v>
      </c>
      <c r="M761" s="10" t="n">
        <f aca="false">IF(I761="higher",L761,-L761)</f>
        <v>0.698353535135029</v>
      </c>
    </row>
    <row r="762" customFormat="false" ht="15" hidden="false" customHeight="false" outlineLevel="0" collapsed="false">
      <c r="A762" s="7" t="s">
        <v>48</v>
      </c>
      <c r="B762" s="7" t="s">
        <v>10</v>
      </c>
      <c r="C762" s="7" t="s">
        <v>49</v>
      </c>
      <c r="D762" s="7" t="s">
        <v>111</v>
      </c>
      <c r="E762" s="7" t="s">
        <v>91</v>
      </c>
      <c r="F762" s="8" t="b">
        <f aca="false">TRUE()</f>
        <v>1</v>
      </c>
      <c r="G762" s="7" t="s">
        <v>55</v>
      </c>
      <c r="H762" s="7" t="s">
        <v>56</v>
      </c>
      <c r="I762" s="7" t="s">
        <v>54</v>
      </c>
      <c r="J762" s="9" t="n">
        <v>24.1430307581003</v>
      </c>
      <c r="K762" s="9" t="n">
        <v>18.5021010410789</v>
      </c>
      <c r="L762" s="10" t="n">
        <f aca="false">K762-J762</f>
        <v>-5.64092971702146</v>
      </c>
      <c r="M762" s="10" t="n">
        <f aca="false">IF(I762="higher",L762,-L762)</f>
        <v>5.64092971702146</v>
      </c>
    </row>
    <row r="763" customFormat="false" ht="15" hidden="false" customHeight="false" outlineLevel="0" collapsed="false">
      <c r="A763" s="7" t="s">
        <v>48</v>
      </c>
      <c r="B763" s="7" t="s">
        <v>10</v>
      </c>
      <c r="C763" s="7" t="s">
        <v>49</v>
      </c>
      <c r="D763" s="7" t="s">
        <v>111</v>
      </c>
      <c r="E763" s="7" t="s">
        <v>91</v>
      </c>
      <c r="F763" s="8" t="b">
        <f aca="false">TRUE()</f>
        <v>1</v>
      </c>
      <c r="G763" s="7" t="s">
        <v>57</v>
      </c>
      <c r="H763" s="7" t="s">
        <v>58</v>
      </c>
      <c r="I763" s="7" t="s">
        <v>54</v>
      </c>
      <c r="J763" s="9" t="n">
        <v>8.22082764168161</v>
      </c>
      <c r="K763" s="9" t="n">
        <v>3.53571792698012</v>
      </c>
      <c r="L763" s="10" t="n">
        <f aca="false">K763-J763</f>
        <v>-4.68510971470149</v>
      </c>
      <c r="M763" s="10" t="n">
        <f aca="false">IF(I763="higher",L763,-L763)</f>
        <v>4.68510971470149</v>
      </c>
    </row>
    <row r="764" customFormat="false" ht="15" hidden="false" customHeight="false" outlineLevel="0" collapsed="false">
      <c r="A764" s="7" t="s">
        <v>48</v>
      </c>
      <c r="B764" s="7" t="s">
        <v>10</v>
      </c>
      <c r="C764" s="7" t="s">
        <v>49</v>
      </c>
      <c r="D764" s="7" t="s">
        <v>111</v>
      </c>
      <c r="E764" s="7" t="s">
        <v>91</v>
      </c>
      <c r="F764" s="8" t="b">
        <f aca="false">TRUE()</f>
        <v>1</v>
      </c>
      <c r="G764" s="7" t="s">
        <v>59</v>
      </c>
      <c r="H764" s="7" t="s">
        <v>60</v>
      </c>
      <c r="I764" s="7" t="s">
        <v>54</v>
      </c>
      <c r="J764" s="9" t="n">
        <v>0.193299862212534</v>
      </c>
      <c r="K764" s="9" t="n">
        <v>0.162523330748775</v>
      </c>
      <c r="L764" s="10" t="n">
        <f aca="false">K764-J764</f>
        <v>-0.0307765314637589</v>
      </c>
      <c r="M764" s="10" t="n">
        <f aca="false">IF(I764="higher",L764,-L764)</f>
        <v>0.0307765314637589</v>
      </c>
    </row>
    <row r="765" customFormat="false" ht="15" hidden="false" customHeight="false" outlineLevel="0" collapsed="false">
      <c r="A765" s="7" t="s">
        <v>48</v>
      </c>
      <c r="B765" s="7" t="s">
        <v>10</v>
      </c>
      <c r="C765" s="7" t="s">
        <v>49</v>
      </c>
      <c r="D765" s="7" t="s">
        <v>111</v>
      </c>
      <c r="E765" s="7" t="s">
        <v>91</v>
      </c>
      <c r="F765" s="8" t="b">
        <f aca="false">TRUE()</f>
        <v>1</v>
      </c>
      <c r="G765" s="7" t="s">
        <v>61</v>
      </c>
      <c r="H765" s="7" t="s">
        <v>62</v>
      </c>
      <c r="I765" s="7" t="s">
        <v>54</v>
      </c>
      <c r="J765" s="9" t="n">
        <v>36.0374270857951</v>
      </c>
      <c r="K765" s="9" t="n">
        <v>30.1152544469782</v>
      </c>
      <c r="L765" s="10" t="n">
        <f aca="false">K765-J765</f>
        <v>-5.92217263881689</v>
      </c>
      <c r="M765" s="10" t="n">
        <f aca="false">IF(I765="higher",L765,-L765)</f>
        <v>5.92217263881689</v>
      </c>
    </row>
    <row r="766" customFormat="false" ht="15" hidden="false" customHeight="false" outlineLevel="0" collapsed="false">
      <c r="A766" s="7" t="s">
        <v>48</v>
      </c>
      <c r="B766" s="7" t="s">
        <v>10</v>
      </c>
      <c r="C766" s="7" t="s">
        <v>49</v>
      </c>
      <c r="D766" s="7" t="s">
        <v>111</v>
      </c>
      <c r="E766" s="7" t="s">
        <v>91</v>
      </c>
      <c r="F766" s="8" t="b">
        <f aca="false">TRUE()</f>
        <v>1</v>
      </c>
      <c r="G766" s="7" t="s">
        <v>63</v>
      </c>
      <c r="H766" s="7" t="s">
        <v>64</v>
      </c>
      <c r="I766" s="7" t="s">
        <v>54</v>
      </c>
      <c r="J766" s="9" t="n">
        <v>19.6335430535593</v>
      </c>
      <c r="K766" s="9" t="n">
        <v>19.9383124821915</v>
      </c>
      <c r="L766" s="10" t="n">
        <f aca="false">K766-J766</f>
        <v>0.304769428632262</v>
      </c>
      <c r="M766" s="10" t="n">
        <f aca="false">IF(I766="higher",L766,-L766)</f>
        <v>-0.304769428632262</v>
      </c>
    </row>
    <row r="767" customFormat="false" ht="15" hidden="false" customHeight="false" outlineLevel="0" collapsed="false">
      <c r="A767" s="7" t="s">
        <v>48</v>
      </c>
      <c r="B767" s="7" t="s">
        <v>10</v>
      </c>
      <c r="C767" s="7" t="s">
        <v>49</v>
      </c>
      <c r="D767" s="7" t="s">
        <v>111</v>
      </c>
      <c r="E767" s="7" t="s">
        <v>91</v>
      </c>
      <c r="F767" s="8" t="b">
        <f aca="false">TRUE()</f>
        <v>1</v>
      </c>
      <c r="G767" s="7" t="s">
        <v>65</v>
      </c>
      <c r="H767" s="7" t="s">
        <v>66</v>
      </c>
      <c r="I767" s="7" t="s">
        <v>54</v>
      </c>
      <c r="J767" s="9" t="n">
        <v>30.6931343967388</v>
      </c>
      <c r="K767" s="9" t="n">
        <v>25.2593076100526</v>
      </c>
      <c r="L767" s="10" t="n">
        <f aca="false">K767-J767</f>
        <v>-5.43382678668621</v>
      </c>
      <c r="M767" s="10" t="n">
        <f aca="false">IF(I767="higher",L767,-L767)</f>
        <v>5.43382678668621</v>
      </c>
    </row>
    <row r="768" customFormat="false" ht="15" hidden="false" customHeight="false" outlineLevel="0" collapsed="false">
      <c r="A768" s="7" t="s">
        <v>48</v>
      </c>
      <c r="B768" s="7" t="s">
        <v>10</v>
      </c>
      <c r="C768" s="7" t="s">
        <v>49</v>
      </c>
      <c r="D768" s="7" t="s">
        <v>111</v>
      </c>
      <c r="E768" s="7" t="s">
        <v>91</v>
      </c>
      <c r="F768" s="8" t="b">
        <f aca="false">TRUE()</f>
        <v>1</v>
      </c>
      <c r="G768" s="7" t="s">
        <v>67</v>
      </c>
      <c r="H768" s="7" t="s">
        <v>68</v>
      </c>
      <c r="I768" s="7" t="s">
        <v>54</v>
      </c>
      <c r="J768" s="9" t="n">
        <v>28.4617966721655</v>
      </c>
      <c r="K768" s="9" t="n">
        <v>25.730174047556</v>
      </c>
      <c r="L768" s="10" t="n">
        <f aca="false">K768-J768</f>
        <v>-2.73162262460949</v>
      </c>
      <c r="M768" s="10" t="n">
        <f aca="false">IF(I768="higher",L768,-L768)</f>
        <v>2.73162262460949</v>
      </c>
    </row>
    <row r="769" customFormat="false" ht="15" hidden="false" customHeight="false" outlineLevel="0" collapsed="false">
      <c r="A769" s="7" t="s">
        <v>48</v>
      </c>
      <c r="B769" s="7" t="s">
        <v>10</v>
      </c>
      <c r="C769" s="7" t="s">
        <v>49</v>
      </c>
      <c r="D769" s="7" t="s">
        <v>111</v>
      </c>
      <c r="E769" s="7" t="s">
        <v>91</v>
      </c>
      <c r="F769" s="8" t="b">
        <f aca="false">TRUE()</f>
        <v>1</v>
      </c>
      <c r="G769" s="7" t="s">
        <v>69</v>
      </c>
      <c r="H769" s="7" t="s">
        <v>70</v>
      </c>
      <c r="I769" s="7" t="s">
        <v>71</v>
      </c>
      <c r="J769" s="9" t="n">
        <v>0.304347826086956</v>
      </c>
      <c r="K769" s="9" t="n">
        <v>0.282608695652174</v>
      </c>
      <c r="L769" s="10" t="n">
        <f aca="false">K769-J769</f>
        <v>-0.0217391304347826</v>
      </c>
      <c r="M769" s="10" t="n">
        <f aca="false">IF(I769="higher",L769,-L769)</f>
        <v>-0.0217391304347826</v>
      </c>
    </row>
    <row r="770" customFormat="false" ht="15" hidden="false" customHeight="false" outlineLevel="0" collapsed="false">
      <c r="A770" s="7" t="s">
        <v>48</v>
      </c>
      <c r="B770" s="7" t="s">
        <v>10</v>
      </c>
      <c r="C770" s="7" t="s">
        <v>49</v>
      </c>
      <c r="D770" s="7" t="s">
        <v>111</v>
      </c>
      <c r="E770" s="7" t="s">
        <v>91</v>
      </c>
      <c r="F770" s="8" t="b">
        <f aca="false">TRUE()</f>
        <v>1</v>
      </c>
      <c r="G770" s="7" t="s">
        <v>72</v>
      </c>
      <c r="H770" s="7" t="s">
        <v>73</v>
      </c>
      <c r="I770" s="7" t="s">
        <v>71</v>
      </c>
      <c r="J770" s="9" t="n">
        <v>0.739130434782609</v>
      </c>
      <c r="K770" s="9" t="n">
        <v>0.717391304347826</v>
      </c>
      <c r="L770" s="10" t="n">
        <f aca="false">K770-J770</f>
        <v>-0.0217391304347826</v>
      </c>
      <c r="M770" s="10" t="n">
        <f aca="false">IF(I770="higher",L770,-L770)</f>
        <v>-0.0217391304347826</v>
      </c>
    </row>
    <row r="771" customFormat="false" ht="15" hidden="false" customHeight="false" outlineLevel="0" collapsed="false">
      <c r="A771" s="7" t="s">
        <v>48</v>
      </c>
      <c r="B771" s="7" t="s">
        <v>10</v>
      </c>
      <c r="C771" s="7" t="s">
        <v>49</v>
      </c>
      <c r="D771" s="7" t="s">
        <v>111</v>
      </c>
      <c r="E771" s="7" t="s">
        <v>91</v>
      </c>
      <c r="F771" s="8" t="b">
        <f aca="false">TRUE()</f>
        <v>1</v>
      </c>
      <c r="G771" s="7" t="s">
        <v>74</v>
      </c>
      <c r="H771" s="7" t="s">
        <v>75</v>
      </c>
      <c r="I771" s="7" t="s">
        <v>54</v>
      </c>
      <c r="J771" s="9" t="n">
        <v>0</v>
      </c>
      <c r="K771" s="9" t="n">
        <v>0</v>
      </c>
      <c r="L771" s="10" t="n">
        <f aca="false">K771-J771</f>
        <v>0</v>
      </c>
      <c r="M771" s="10" t="n">
        <f aca="false">IF(I771="higher",L771,-L771)</f>
        <v>-0</v>
      </c>
    </row>
    <row r="772" customFormat="false" ht="15" hidden="false" customHeight="false" outlineLevel="0" collapsed="false">
      <c r="A772" s="7" t="s">
        <v>48</v>
      </c>
      <c r="B772" s="7" t="s">
        <v>10</v>
      </c>
      <c r="C772" s="7" t="s">
        <v>49</v>
      </c>
      <c r="D772" s="7" t="s">
        <v>111</v>
      </c>
      <c r="E772" s="7" t="s">
        <v>91</v>
      </c>
      <c r="F772" s="8" t="b">
        <f aca="false">TRUE()</f>
        <v>1</v>
      </c>
      <c r="G772" s="7" t="s">
        <v>76</v>
      </c>
      <c r="H772" s="7" t="s">
        <v>77</v>
      </c>
      <c r="I772" s="7" t="s">
        <v>54</v>
      </c>
      <c r="J772" s="9" t="n">
        <v>0.214285714285714</v>
      </c>
      <c r="K772" s="9" t="n">
        <v>0.255102040816326</v>
      </c>
      <c r="L772" s="10" t="n">
        <f aca="false">K772-J772</f>
        <v>0.0408163265306122</v>
      </c>
      <c r="M772" s="10" t="n">
        <f aca="false">IF(I772="higher",L772,-L772)</f>
        <v>-0.0408163265306122</v>
      </c>
    </row>
    <row r="773" customFormat="false" ht="15" hidden="false" customHeight="false" outlineLevel="0" collapsed="false">
      <c r="A773" s="7" t="s">
        <v>48</v>
      </c>
      <c r="B773" s="7" t="s">
        <v>10</v>
      </c>
      <c r="C773" s="7" t="s">
        <v>49</v>
      </c>
      <c r="D773" s="7" t="s">
        <v>111</v>
      </c>
      <c r="E773" s="7" t="s">
        <v>91</v>
      </c>
      <c r="F773" s="8" t="b">
        <f aca="false">TRUE()</f>
        <v>1</v>
      </c>
      <c r="G773" s="7" t="s">
        <v>78</v>
      </c>
      <c r="H773" s="7" t="s">
        <v>79</v>
      </c>
      <c r="I773" s="7" t="s">
        <v>54</v>
      </c>
      <c r="J773" s="9" t="n">
        <v>0.112244897959184</v>
      </c>
      <c r="K773" s="9" t="n">
        <v>0.0612244897959184</v>
      </c>
      <c r="L773" s="10" t="n">
        <f aca="false">K773-J773</f>
        <v>-0.0510204081632653</v>
      </c>
      <c r="M773" s="10" t="n">
        <f aca="false">IF(I773="higher",L773,-L773)</f>
        <v>0.0510204081632653</v>
      </c>
    </row>
    <row r="774" customFormat="false" ht="15" hidden="false" customHeight="false" outlineLevel="0" collapsed="false">
      <c r="A774" s="7" t="s">
        <v>48</v>
      </c>
      <c r="B774" s="7" t="s">
        <v>10</v>
      </c>
      <c r="C774" s="7" t="s">
        <v>49</v>
      </c>
      <c r="D774" s="7" t="s">
        <v>111</v>
      </c>
      <c r="E774" s="7" t="s">
        <v>91</v>
      </c>
      <c r="F774" s="8" t="b">
        <f aca="false">TRUE()</f>
        <v>1</v>
      </c>
      <c r="G774" s="7" t="s">
        <v>80</v>
      </c>
      <c r="H774" s="7" t="s">
        <v>81</v>
      </c>
      <c r="I774" s="7" t="s">
        <v>54</v>
      </c>
      <c r="J774" s="9" t="n">
        <v>0</v>
      </c>
      <c r="K774" s="9" t="n">
        <v>0</v>
      </c>
      <c r="L774" s="10" t="n">
        <f aca="false">K774-J774</f>
        <v>0</v>
      </c>
      <c r="M774" s="10" t="n">
        <f aca="false">IF(I774="higher",L774,-L774)</f>
        <v>-0</v>
      </c>
    </row>
    <row r="775" customFormat="false" ht="15" hidden="false" customHeight="false" outlineLevel="0" collapsed="false">
      <c r="A775" s="7" t="s">
        <v>82</v>
      </c>
      <c r="B775" s="7" t="s">
        <v>83</v>
      </c>
      <c r="C775" s="7" t="s">
        <v>49</v>
      </c>
      <c r="D775" s="7" t="s">
        <v>111</v>
      </c>
      <c r="E775" s="7" t="s">
        <v>91</v>
      </c>
      <c r="F775" s="8" t="b">
        <f aca="false">TRUE()</f>
        <v>1</v>
      </c>
      <c r="G775" s="7" t="s">
        <v>52</v>
      </c>
      <c r="H775" s="7" t="s">
        <v>53</v>
      </c>
      <c r="I775" s="7" t="s">
        <v>54</v>
      </c>
      <c r="J775" s="9" t="n">
        <v>5.16001484916965</v>
      </c>
      <c r="K775" s="9" t="n">
        <v>4.85066778849137</v>
      </c>
      <c r="L775" s="10" t="n">
        <f aca="false">K775-J775</f>
        <v>-0.309347060678281</v>
      </c>
      <c r="M775" s="10" t="n">
        <f aca="false">IF(I775="higher",L775,-L775)</f>
        <v>0.309347060678281</v>
      </c>
    </row>
    <row r="776" customFormat="false" ht="15" hidden="false" customHeight="false" outlineLevel="0" collapsed="false">
      <c r="A776" s="7" t="s">
        <v>82</v>
      </c>
      <c r="B776" s="7" t="s">
        <v>83</v>
      </c>
      <c r="C776" s="7" t="s">
        <v>49</v>
      </c>
      <c r="D776" s="7" t="s">
        <v>111</v>
      </c>
      <c r="E776" s="7" t="s">
        <v>91</v>
      </c>
      <c r="F776" s="8" t="b">
        <f aca="false">TRUE()</f>
        <v>1</v>
      </c>
      <c r="G776" s="7" t="s">
        <v>55</v>
      </c>
      <c r="H776" s="7" t="s">
        <v>56</v>
      </c>
      <c r="I776" s="7" t="s">
        <v>54</v>
      </c>
      <c r="J776" s="9" t="n">
        <v>18.6888654972158</v>
      </c>
      <c r="K776" s="9" t="n">
        <v>18.5021010410789</v>
      </c>
      <c r="L776" s="10" t="n">
        <f aca="false">K776-J776</f>
        <v>-0.18676445613692</v>
      </c>
      <c r="M776" s="10" t="n">
        <f aca="false">IF(I776="higher",L776,-L776)</f>
        <v>0.18676445613692</v>
      </c>
    </row>
    <row r="777" customFormat="false" ht="15" hidden="false" customHeight="false" outlineLevel="0" collapsed="false">
      <c r="A777" s="7" t="s">
        <v>82</v>
      </c>
      <c r="B777" s="7" t="s">
        <v>83</v>
      </c>
      <c r="C777" s="7" t="s">
        <v>49</v>
      </c>
      <c r="D777" s="7" t="s">
        <v>111</v>
      </c>
      <c r="E777" s="7" t="s">
        <v>91</v>
      </c>
      <c r="F777" s="8" t="b">
        <f aca="false">TRUE()</f>
        <v>1</v>
      </c>
      <c r="G777" s="7" t="s">
        <v>57</v>
      </c>
      <c r="H777" s="7" t="s">
        <v>58</v>
      </c>
      <c r="I777" s="7" t="s">
        <v>54</v>
      </c>
      <c r="J777" s="9" t="n">
        <v>4.84785413882983</v>
      </c>
      <c r="K777" s="9" t="n">
        <v>3.53571792698012</v>
      </c>
      <c r="L777" s="10" t="n">
        <f aca="false">K777-J777</f>
        <v>-1.31213621184971</v>
      </c>
      <c r="M777" s="10" t="n">
        <f aca="false">IF(I777="higher",L777,-L777)</f>
        <v>1.31213621184971</v>
      </c>
    </row>
    <row r="778" customFormat="false" ht="15" hidden="false" customHeight="false" outlineLevel="0" collapsed="false">
      <c r="A778" s="7" t="s">
        <v>82</v>
      </c>
      <c r="B778" s="7" t="s">
        <v>83</v>
      </c>
      <c r="C778" s="7" t="s">
        <v>49</v>
      </c>
      <c r="D778" s="7" t="s">
        <v>111</v>
      </c>
      <c r="E778" s="7" t="s">
        <v>91</v>
      </c>
      <c r="F778" s="8" t="b">
        <f aca="false">TRUE()</f>
        <v>1</v>
      </c>
      <c r="G778" s="7" t="s">
        <v>59</v>
      </c>
      <c r="H778" s="7" t="s">
        <v>60</v>
      </c>
      <c r="I778" s="7" t="s">
        <v>54</v>
      </c>
      <c r="J778" s="9" t="n">
        <v>0.158180619604093</v>
      </c>
      <c r="K778" s="9" t="n">
        <v>0.162523330748775</v>
      </c>
      <c r="L778" s="10" t="n">
        <f aca="false">K778-J778</f>
        <v>0.00434271114468252</v>
      </c>
      <c r="M778" s="10" t="n">
        <f aca="false">IF(I778="higher",L778,-L778)</f>
        <v>-0.00434271114468252</v>
      </c>
    </row>
    <row r="779" customFormat="false" ht="15" hidden="false" customHeight="false" outlineLevel="0" collapsed="false">
      <c r="A779" s="7" t="s">
        <v>82</v>
      </c>
      <c r="B779" s="7" t="s">
        <v>83</v>
      </c>
      <c r="C779" s="7" t="s">
        <v>49</v>
      </c>
      <c r="D779" s="7" t="s">
        <v>111</v>
      </c>
      <c r="E779" s="7" t="s">
        <v>91</v>
      </c>
      <c r="F779" s="8" t="b">
        <f aca="false">TRUE()</f>
        <v>1</v>
      </c>
      <c r="G779" s="7" t="s">
        <v>61</v>
      </c>
      <c r="H779" s="7" t="s">
        <v>62</v>
      </c>
      <c r="I779" s="7" t="s">
        <v>54</v>
      </c>
      <c r="J779" s="9" t="n">
        <v>31.9034965164934</v>
      </c>
      <c r="K779" s="9" t="n">
        <v>30.1152544469782</v>
      </c>
      <c r="L779" s="10" t="n">
        <f aca="false">K779-J779</f>
        <v>-1.78824206951516</v>
      </c>
      <c r="M779" s="10" t="n">
        <f aca="false">IF(I779="higher",L779,-L779)</f>
        <v>1.78824206951516</v>
      </c>
    </row>
    <row r="780" customFormat="false" ht="15" hidden="false" customHeight="false" outlineLevel="0" collapsed="false">
      <c r="A780" s="7" t="s">
        <v>82</v>
      </c>
      <c r="B780" s="7" t="s">
        <v>83</v>
      </c>
      <c r="C780" s="7" t="s">
        <v>49</v>
      </c>
      <c r="D780" s="7" t="s">
        <v>111</v>
      </c>
      <c r="E780" s="7" t="s">
        <v>91</v>
      </c>
      <c r="F780" s="8" t="b">
        <f aca="false">TRUE()</f>
        <v>1</v>
      </c>
      <c r="G780" s="7" t="s">
        <v>63</v>
      </c>
      <c r="H780" s="7" t="s">
        <v>64</v>
      </c>
      <c r="I780" s="7" t="s">
        <v>54</v>
      </c>
      <c r="J780" s="9" t="n">
        <v>18.4202676131595</v>
      </c>
      <c r="K780" s="9" t="n">
        <v>19.9383124821915</v>
      </c>
      <c r="L780" s="10" t="n">
        <f aca="false">K780-J780</f>
        <v>1.51804486903201</v>
      </c>
      <c r="M780" s="10" t="n">
        <f aca="false">IF(I780="higher",L780,-L780)</f>
        <v>-1.51804486903201</v>
      </c>
    </row>
    <row r="781" customFormat="false" ht="15" hidden="false" customHeight="false" outlineLevel="0" collapsed="false">
      <c r="A781" s="7" t="s">
        <v>82</v>
      </c>
      <c r="B781" s="7" t="s">
        <v>83</v>
      </c>
      <c r="C781" s="7" t="s">
        <v>49</v>
      </c>
      <c r="D781" s="7" t="s">
        <v>111</v>
      </c>
      <c r="E781" s="7" t="s">
        <v>91</v>
      </c>
      <c r="F781" s="8" t="b">
        <f aca="false">TRUE()</f>
        <v>1</v>
      </c>
      <c r="G781" s="7" t="s">
        <v>65</v>
      </c>
      <c r="H781" s="7" t="s">
        <v>66</v>
      </c>
      <c r="I781" s="7" t="s">
        <v>54</v>
      </c>
      <c r="J781" s="9" t="n">
        <v>26.2467790110364</v>
      </c>
      <c r="K781" s="9" t="n">
        <v>25.2593076100526</v>
      </c>
      <c r="L781" s="10" t="n">
        <f aca="false">K781-J781</f>
        <v>-0.9874714009838</v>
      </c>
      <c r="M781" s="10" t="n">
        <f aca="false">IF(I781="higher",L781,-L781)</f>
        <v>0.9874714009838</v>
      </c>
    </row>
    <row r="782" customFormat="false" ht="15" hidden="false" customHeight="false" outlineLevel="0" collapsed="false">
      <c r="A782" s="7" t="s">
        <v>82</v>
      </c>
      <c r="B782" s="7" t="s">
        <v>83</v>
      </c>
      <c r="C782" s="7" t="s">
        <v>49</v>
      </c>
      <c r="D782" s="7" t="s">
        <v>111</v>
      </c>
      <c r="E782" s="7" t="s">
        <v>91</v>
      </c>
      <c r="F782" s="8" t="b">
        <f aca="false">TRUE()</f>
        <v>1</v>
      </c>
      <c r="G782" s="7" t="s">
        <v>67</v>
      </c>
      <c r="H782" s="7" t="s">
        <v>68</v>
      </c>
      <c r="I782" s="7" t="s">
        <v>54</v>
      </c>
      <c r="J782" s="9" t="n">
        <v>26.0184202819494</v>
      </c>
      <c r="K782" s="9" t="n">
        <v>25.730174047556</v>
      </c>
      <c r="L782" s="10" t="n">
        <f aca="false">K782-J782</f>
        <v>-0.28824623439348</v>
      </c>
      <c r="M782" s="10" t="n">
        <f aca="false">IF(I782="higher",L782,-L782)</f>
        <v>0.28824623439348</v>
      </c>
    </row>
    <row r="783" customFormat="false" ht="15" hidden="false" customHeight="false" outlineLevel="0" collapsed="false">
      <c r="A783" s="7" t="s">
        <v>82</v>
      </c>
      <c r="B783" s="7" t="s">
        <v>83</v>
      </c>
      <c r="C783" s="7" t="s">
        <v>49</v>
      </c>
      <c r="D783" s="7" t="s">
        <v>111</v>
      </c>
      <c r="E783" s="7" t="s">
        <v>91</v>
      </c>
      <c r="F783" s="8" t="b">
        <f aca="false">TRUE()</f>
        <v>1</v>
      </c>
      <c r="G783" s="7" t="s">
        <v>69</v>
      </c>
      <c r="H783" s="7" t="s">
        <v>70</v>
      </c>
      <c r="I783" s="7" t="s">
        <v>71</v>
      </c>
      <c r="J783" s="9" t="n">
        <v>0.347826086956522</v>
      </c>
      <c r="K783" s="9" t="n">
        <v>0.282608695652174</v>
      </c>
      <c r="L783" s="10" t="n">
        <f aca="false">K783-J783</f>
        <v>-0.0652173913043478</v>
      </c>
      <c r="M783" s="10" t="n">
        <f aca="false">IF(I783="higher",L783,-L783)</f>
        <v>-0.0652173913043478</v>
      </c>
    </row>
    <row r="784" customFormat="false" ht="15" hidden="false" customHeight="false" outlineLevel="0" collapsed="false">
      <c r="A784" s="7" t="s">
        <v>82</v>
      </c>
      <c r="B784" s="7" t="s">
        <v>83</v>
      </c>
      <c r="C784" s="7" t="s">
        <v>49</v>
      </c>
      <c r="D784" s="7" t="s">
        <v>111</v>
      </c>
      <c r="E784" s="7" t="s">
        <v>91</v>
      </c>
      <c r="F784" s="8" t="b">
        <f aca="false">TRUE()</f>
        <v>1</v>
      </c>
      <c r="G784" s="7" t="s">
        <v>72</v>
      </c>
      <c r="H784" s="7" t="s">
        <v>73</v>
      </c>
      <c r="I784" s="7" t="s">
        <v>71</v>
      </c>
      <c r="J784" s="9" t="n">
        <v>0.782608695652174</v>
      </c>
      <c r="K784" s="9" t="n">
        <v>0.717391304347826</v>
      </c>
      <c r="L784" s="10" t="n">
        <f aca="false">K784-J784</f>
        <v>-0.0652173913043479</v>
      </c>
      <c r="M784" s="10" t="n">
        <f aca="false">IF(I784="higher",L784,-L784)</f>
        <v>-0.0652173913043479</v>
      </c>
    </row>
    <row r="785" customFormat="false" ht="15" hidden="false" customHeight="false" outlineLevel="0" collapsed="false">
      <c r="A785" s="7" t="s">
        <v>82</v>
      </c>
      <c r="B785" s="7" t="s">
        <v>83</v>
      </c>
      <c r="C785" s="7" t="s">
        <v>49</v>
      </c>
      <c r="D785" s="7" t="s">
        <v>111</v>
      </c>
      <c r="E785" s="7" t="s">
        <v>91</v>
      </c>
      <c r="F785" s="8" t="b">
        <f aca="false">TRUE()</f>
        <v>1</v>
      </c>
      <c r="G785" s="7" t="s">
        <v>74</v>
      </c>
      <c r="H785" s="7" t="s">
        <v>75</v>
      </c>
      <c r="I785" s="7" t="s">
        <v>54</v>
      </c>
      <c r="J785" s="9" t="n">
        <v>0</v>
      </c>
      <c r="K785" s="9" t="n">
        <v>0</v>
      </c>
      <c r="L785" s="10" t="n">
        <f aca="false">K785-J785</f>
        <v>0</v>
      </c>
      <c r="M785" s="10" t="n">
        <f aca="false">IF(I785="higher",L785,-L785)</f>
        <v>-0</v>
      </c>
    </row>
    <row r="786" customFormat="false" ht="15" hidden="false" customHeight="false" outlineLevel="0" collapsed="false">
      <c r="A786" s="7" t="s">
        <v>82</v>
      </c>
      <c r="B786" s="7" t="s">
        <v>83</v>
      </c>
      <c r="C786" s="7" t="s">
        <v>49</v>
      </c>
      <c r="D786" s="7" t="s">
        <v>111</v>
      </c>
      <c r="E786" s="7" t="s">
        <v>91</v>
      </c>
      <c r="F786" s="8" t="b">
        <f aca="false">TRUE()</f>
        <v>1</v>
      </c>
      <c r="G786" s="7" t="s">
        <v>76</v>
      </c>
      <c r="H786" s="7" t="s">
        <v>77</v>
      </c>
      <c r="I786" s="7" t="s">
        <v>54</v>
      </c>
      <c r="J786" s="9" t="n">
        <v>0.255102040816326</v>
      </c>
      <c r="K786" s="9" t="n">
        <v>0.255102040816326</v>
      </c>
      <c r="L786" s="10" t="n">
        <f aca="false">K786-J786</f>
        <v>0</v>
      </c>
      <c r="M786" s="10" t="n">
        <f aca="false">IF(I786="higher",L786,-L786)</f>
        <v>-0</v>
      </c>
    </row>
    <row r="787" customFormat="false" ht="15" hidden="false" customHeight="false" outlineLevel="0" collapsed="false">
      <c r="A787" s="7" t="s">
        <v>82</v>
      </c>
      <c r="B787" s="7" t="s">
        <v>83</v>
      </c>
      <c r="C787" s="7" t="s">
        <v>49</v>
      </c>
      <c r="D787" s="7" t="s">
        <v>111</v>
      </c>
      <c r="E787" s="7" t="s">
        <v>91</v>
      </c>
      <c r="F787" s="8" t="b">
        <f aca="false">TRUE()</f>
        <v>1</v>
      </c>
      <c r="G787" s="7" t="s">
        <v>78</v>
      </c>
      <c r="H787" s="7" t="s">
        <v>79</v>
      </c>
      <c r="I787" s="7" t="s">
        <v>54</v>
      </c>
      <c r="J787" s="9" t="n">
        <v>0.112244897959184</v>
      </c>
      <c r="K787" s="9" t="n">
        <v>0.0612244897959184</v>
      </c>
      <c r="L787" s="10" t="n">
        <f aca="false">K787-J787</f>
        <v>-0.0510204081632653</v>
      </c>
      <c r="M787" s="10" t="n">
        <f aca="false">IF(I787="higher",L787,-L787)</f>
        <v>0.0510204081632653</v>
      </c>
    </row>
    <row r="788" customFormat="false" ht="15" hidden="false" customHeight="false" outlineLevel="0" collapsed="false">
      <c r="A788" s="7" t="s">
        <v>82</v>
      </c>
      <c r="B788" s="7" t="s">
        <v>83</v>
      </c>
      <c r="C788" s="7" t="s">
        <v>49</v>
      </c>
      <c r="D788" s="7" t="s">
        <v>111</v>
      </c>
      <c r="E788" s="7" t="s">
        <v>91</v>
      </c>
      <c r="F788" s="8" t="b">
        <f aca="false">TRUE()</f>
        <v>1</v>
      </c>
      <c r="G788" s="7" t="s">
        <v>80</v>
      </c>
      <c r="H788" s="7" t="s">
        <v>81</v>
      </c>
      <c r="I788" s="7" t="s">
        <v>54</v>
      </c>
      <c r="J788" s="9" t="n">
        <v>0</v>
      </c>
      <c r="K788" s="9" t="n">
        <v>0</v>
      </c>
      <c r="L788" s="10" t="n">
        <f aca="false">K788-J788</f>
        <v>0</v>
      </c>
      <c r="M788" s="10" t="n">
        <f aca="false">IF(I788="higher",L788,-L788)</f>
        <v>-0</v>
      </c>
    </row>
    <row r="789" customFormat="false" ht="15" hidden="false" customHeight="false" outlineLevel="0" collapsed="false">
      <c r="A789" s="7" t="s">
        <v>48</v>
      </c>
      <c r="B789" s="7" t="s">
        <v>10</v>
      </c>
      <c r="C789" s="7" t="s">
        <v>49</v>
      </c>
      <c r="D789" s="7" t="s">
        <v>112</v>
      </c>
      <c r="E789" s="7" t="s">
        <v>91</v>
      </c>
      <c r="F789" s="8" t="b">
        <f aca="false">TRUE()</f>
        <v>1</v>
      </c>
      <c r="G789" s="7" t="s">
        <v>52</v>
      </c>
      <c r="H789" s="7" t="s">
        <v>53</v>
      </c>
      <c r="I789" s="7" t="s">
        <v>54</v>
      </c>
      <c r="J789" s="9" t="n">
        <v>4.41323907636256</v>
      </c>
      <c r="K789" s="9" t="n">
        <v>3.59717120250694</v>
      </c>
      <c r="L789" s="10" t="n">
        <f aca="false">K789-J789</f>
        <v>-0.816067873855629</v>
      </c>
      <c r="M789" s="10" t="n">
        <f aca="false">IF(I789="higher",L789,-L789)</f>
        <v>0.816067873855629</v>
      </c>
    </row>
    <row r="790" customFormat="false" ht="15" hidden="false" customHeight="false" outlineLevel="0" collapsed="false">
      <c r="A790" s="7" t="s">
        <v>48</v>
      </c>
      <c r="B790" s="7" t="s">
        <v>10</v>
      </c>
      <c r="C790" s="7" t="s">
        <v>49</v>
      </c>
      <c r="D790" s="7" t="s">
        <v>112</v>
      </c>
      <c r="E790" s="7" t="s">
        <v>91</v>
      </c>
      <c r="F790" s="8" t="b">
        <f aca="false">TRUE()</f>
        <v>1</v>
      </c>
      <c r="G790" s="7" t="s">
        <v>55</v>
      </c>
      <c r="H790" s="7" t="s">
        <v>56</v>
      </c>
      <c r="I790" s="7" t="s">
        <v>54</v>
      </c>
      <c r="J790" s="9" t="n">
        <v>9.05909790816204</v>
      </c>
      <c r="K790" s="9" t="n">
        <v>8.28640690324966</v>
      </c>
      <c r="L790" s="10" t="n">
        <f aca="false">K790-J790</f>
        <v>-0.772691004912383</v>
      </c>
      <c r="M790" s="10" t="n">
        <f aca="false">IF(I790="higher",L790,-L790)</f>
        <v>0.772691004912383</v>
      </c>
    </row>
    <row r="791" customFormat="false" ht="15" hidden="false" customHeight="false" outlineLevel="0" collapsed="false">
      <c r="A791" s="7" t="s">
        <v>48</v>
      </c>
      <c r="B791" s="7" t="s">
        <v>10</v>
      </c>
      <c r="C791" s="7" t="s">
        <v>49</v>
      </c>
      <c r="D791" s="7" t="s">
        <v>112</v>
      </c>
      <c r="E791" s="7" t="s">
        <v>91</v>
      </c>
      <c r="F791" s="8" t="b">
        <f aca="false">TRUE()</f>
        <v>1</v>
      </c>
      <c r="G791" s="7" t="s">
        <v>57</v>
      </c>
      <c r="H791" s="7" t="s">
        <v>58</v>
      </c>
      <c r="I791" s="7" t="s">
        <v>54</v>
      </c>
      <c r="J791" s="9" t="n">
        <v>5.37278683416858</v>
      </c>
      <c r="K791" s="9" t="n">
        <v>6.05852467697294</v>
      </c>
      <c r="L791" s="10" t="n">
        <f aca="false">K791-J791</f>
        <v>0.685737842804364</v>
      </c>
      <c r="M791" s="10" t="n">
        <f aca="false">IF(I791="higher",L791,-L791)</f>
        <v>-0.685737842804364</v>
      </c>
    </row>
    <row r="792" customFormat="false" ht="15" hidden="false" customHeight="false" outlineLevel="0" collapsed="false">
      <c r="A792" s="7" t="s">
        <v>48</v>
      </c>
      <c r="B792" s="7" t="s">
        <v>10</v>
      </c>
      <c r="C792" s="7" t="s">
        <v>49</v>
      </c>
      <c r="D792" s="7" t="s">
        <v>112</v>
      </c>
      <c r="E792" s="7" t="s">
        <v>91</v>
      </c>
      <c r="F792" s="8" t="b">
        <f aca="false">TRUE()</f>
        <v>1</v>
      </c>
      <c r="G792" s="7" t="s">
        <v>59</v>
      </c>
      <c r="H792" s="7" t="s">
        <v>60</v>
      </c>
      <c r="I792" s="7" t="s">
        <v>54</v>
      </c>
      <c r="J792" s="9" t="n">
        <v>0.114552232107542</v>
      </c>
      <c r="K792" s="9" t="n">
        <v>0.10915987416074</v>
      </c>
      <c r="L792" s="10" t="n">
        <f aca="false">K792-J792</f>
        <v>-0.00539235794680269</v>
      </c>
      <c r="M792" s="10" t="n">
        <f aca="false">IF(I792="higher",L792,-L792)</f>
        <v>0.00539235794680269</v>
      </c>
    </row>
    <row r="793" customFormat="false" ht="15" hidden="false" customHeight="false" outlineLevel="0" collapsed="false">
      <c r="A793" s="7" t="s">
        <v>48</v>
      </c>
      <c r="B793" s="7" t="s">
        <v>10</v>
      </c>
      <c r="C793" s="7" t="s">
        <v>49</v>
      </c>
      <c r="D793" s="7" t="s">
        <v>112</v>
      </c>
      <c r="E793" s="7" t="s">
        <v>91</v>
      </c>
      <c r="F793" s="8" t="b">
        <f aca="false">TRUE()</f>
        <v>1</v>
      </c>
      <c r="G793" s="7" t="s">
        <v>61</v>
      </c>
      <c r="H793" s="7" t="s">
        <v>62</v>
      </c>
      <c r="I793" s="7" t="s">
        <v>54</v>
      </c>
      <c r="J793" s="9" t="n">
        <v>9.79366143156041</v>
      </c>
      <c r="K793" s="9" t="n">
        <v>9.39250653439287</v>
      </c>
      <c r="L793" s="10" t="n">
        <f aca="false">K793-J793</f>
        <v>-0.401154897167542</v>
      </c>
      <c r="M793" s="10" t="n">
        <f aca="false">IF(I793="higher",L793,-L793)</f>
        <v>0.401154897167542</v>
      </c>
    </row>
    <row r="794" customFormat="false" ht="15" hidden="false" customHeight="false" outlineLevel="0" collapsed="false">
      <c r="A794" s="7" t="s">
        <v>48</v>
      </c>
      <c r="B794" s="7" t="s">
        <v>10</v>
      </c>
      <c r="C794" s="7" t="s">
        <v>49</v>
      </c>
      <c r="D794" s="7" t="s">
        <v>112</v>
      </c>
      <c r="E794" s="7" t="s">
        <v>91</v>
      </c>
      <c r="F794" s="8" t="b">
        <f aca="false">TRUE()</f>
        <v>1</v>
      </c>
      <c r="G794" s="7" t="s">
        <v>63</v>
      </c>
      <c r="H794" s="7" t="s">
        <v>64</v>
      </c>
      <c r="I794" s="7" t="s">
        <v>54</v>
      </c>
      <c r="J794" s="9" t="n">
        <v>12.7033191763548</v>
      </c>
      <c r="K794" s="9" t="n">
        <v>6.88869134588591</v>
      </c>
      <c r="L794" s="10" t="n">
        <f aca="false">K794-J794</f>
        <v>-5.81462783046884</v>
      </c>
      <c r="M794" s="10" t="n">
        <f aca="false">IF(I794="higher",L794,-L794)</f>
        <v>5.81462783046884</v>
      </c>
    </row>
    <row r="795" customFormat="false" ht="15" hidden="false" customHeight="false" outlineLevel="0" collapsed="false">
      <c r="A795" s="7" t="s">
        <v>48</v>
      </c>
      <c r="B795" s="7" t="s">
        <v>10</v>
      </c>
      <c r="C795" s="7" t="s">
        <v>49</v>
      </c>
      <c r="D795" s="7" t="s">
        <v>112</v>
      </c>
      <c r="E795" s="7" t="s">
        <v>91</v>
      </c>
      <c r="F795" s="8" t="b">
        <f aca="false">TRUE()</f>
        <v>1</v>
      </c>
      <c r="G795" s="7" t="s">
        <v>65</v>
      </c>
      <c r="H795" s="7" t="s">
        <v>66</v>
      </c>
      <c r="I795" s="7" t="s">
        <v>54</v>
      </c>
      <c r="J795" s="9" t="n">
        <v>9.42437155292915</v>
      </c>
      <c r="K795" s="9" t="n">
        <v>9.40552775577205</v>
      </c>
      <c r="L795" s="10" t="n">
        <f aca="false">K795-J795</f>
        <v>-0.0188437971570963</v>
      </c>
      <c r="M795" s="10" t="n">
        <f aca="false">IF(I795="higher",L795,-L795)</f>
        <v>0.0188437971570963</v>
      </c>
    </row>
    <row r="796" customFormat="false" ht="15" hidden="false" customHeight="false" outlineLevel="0" collapsed="false">
      <c r="A796" s="7" t="s">
        <v>48</v>
      </c>
      <c r="B796" s="7" t="s">
        <v>10</v>
      </c>
      <c r="C796" s="7" t="s">
        <v>49</v>
      </c>
      <c r="D796" s="7" t="s">
        <v>112</v>
      </c>
      <c r="E796" s="7" t="s">
        <v>91</v>
      </c>
      <c r="F796" s="8" t="b">
        <f aca="false">TRUE()</f>
        <v>1</v>
      </c>
      <c r="G796" s="7" t="s">
        <v>67</v>
      </c>
      <c r="H796" s="7" t="s">
        <v>68</v>
      </c>
      <c r="I796" s="7" t="s">
        <v>54</v>
      </c>
      <c r="J796" s="9" t="n">
        <v>19.5815261328912</v>
      </c>
      <c r="K796" s="9" t="n">
        <v>16.9396589741585</v>
      </c>
      <c r="L796" s="10" t="n">
        <f aca="false">K796-J796</f>
        <v>-2.64186715873269</v>
      </c>
      <c r="M796" s="10" t="n">
        <f aca="false">IF(I796="higher",L796,-L796)</f>
        <v>2.64186715873269</v>
      </c>
    </row>
    <row r="797" customFormat="false" ht="15" hidden="false" customHeight="false" outlineLevel="0" collapsed="false">
      <c r="A797" s="7" t="s">
        <v>48</v>
      </c>
      <c r="B797" s="7" t="s">
        <v>10</v>
      </c>
      <c r="C797" s="7" t="s">
        <v>49</v>
      </c>
      <c r="D797" s="7" t="s">
        <v>112</v>
      </c>
      <c r="E797" s="7" t="s">
        <v>91</v>
      </c>
      <c r="F797" s="8" t="b">
        <f aca="false">TRUE()</f>
        <v>1</v>
      </c>
      <c r="G797" s="7" t="s">
        <v>69</v>
      </c>
      <c r="H797" s="7" t="s">
        <v>70</v>
      </c>
      <c r="I797" s="7" t="s">
        <v>71</v>
      </c>
      <c r="J797" s="9" t="n">
        <v>0.548387096774194</v>
      </c>
      <c r="K797" s="9" t="n">
        <v>0.5</v>
      </c>
      <c r="L797" s="10" t="n">
        <f aca="false">K797-J797</f>
        <v>-0.0483870967741935</v>
      </c>
      <c r="M797" s="10" t="n">
        <f aca="false">IF(I797="higher",L797,-L797)</f>
        <v>-0.0483870967741935</v>
      </c>
    </row>
    <row r="798" customFormat="false" ht="15" hidden="false" customHeight="false" outlineLevel="0" collapsed="false">
      <c r="A798" s="7" t="s">
        <v>48</v>
      </c>
      <c r="B798" s="7" t="s">
        <v>10</v>
      </c>
      <c r="C798" s="7" t="s">
        <v>49</v>
      </c>
      <c r="D798" s="7" t="s">
        <v>112</v>
      </c>
      <c r="E798" s="7" t="s">
        <v>91</v>
      </c>
      <c r="F798" s="8" t="b">
        <f aca="false">TRUE()</f>
        <v>1</v>
      </c>
      <c r="G798" s="7" t="s">
        <v>72</v>
      </c>
      <c r="H798" s="7" t="s">
        <v>73</v>
      </c>
      <c r="I798" s="7" t="s">
        <v>71</v>
      </c>
      <c r="J798" s="9" t="n">
        <v>0.67741935483871</v>
      </c>
      <c r="K798" s="9" t="n">
        <v>0.758064516129032</v>
      </c>
      <c r="L798" s="10" t="n">
        <f aca="false">K798-J798</f>
        <v>0.0806451612903226</v>
      </c>
      <c r="M798" s="10" t="n">
        <f aca="false">IF(I798="higher",L798,-L798)</f>
        <v>0.0806451612903226</v>
      </c>
    </row>
    <row r="799" customFormat="false" ht="15" hidden="false" customHeight="false" outlineLevel="0" collapsed="false">
      <c r="A799" s="7" t="s">
        <v>48</v>
      </c>
      <c r="B799" s="7" t="s">
        <v>10</v>
      </c>
      <c r="C799" s="7" t="s">
        <v>49</v>
      </c>
      <c r="D799" s="7" t="s">
        <v>112</v>
      </c>
      <c r="E799" s="7" t="s">
        <v>91</v>
      </c>
      <c r="F799" s="8" t="b">
        <f aca="false">TRUE()</f>
        <v>1</v>
      </c>
      <c r="G799" s="7" t="s">
        <v>74</v>
      </c>
      <c r="H799" s="7" t="s">
        <v>75</v>
      </c>
      <c r="I799" s="7" t="s">
        <v>54</v>
      </c>
      <c r="J799" s="9" t="n">
        <v>0</v>
      </c>
      <c r="K799" s="9" t="n">
        <v>0</v>
      </c>
      <c r="L799" s="10" t="n">
        <f aca="false">K799-J799</f>
        <v>0</v>
      </c>
      <c r="M799" s="10" t="n">
        <f aca="false">IF(I799="higher",L799,-L799)</f>
        <v>-0</v>
      </c>
    </row>
    <row r="800" customFormat="false" ht="15" hidden="false" customHeight="false" outlineLevel="0" collapsed="false">
      <c r="A800" s="7" t="s">
        <v>48</v>
      </c>
      <c r="B800" s="7" t="s">
        <v>10</v>
      </c>
      <c r="C800" s="7" t="s">
        <v>49</v>
      </c>
      <c r="D800" s="7" t="s">
        <v>112</v>
      </c>
      <c r="E800" s="7" t="s">
        <v>91</v>
      </c>
      <c r="F800" s="8" t="b">
        <f aca="false">TRUE()</f>
        <v>1</v>
      </c>
      <c r="G800" s="7" t="s">
        <v>76</v>
      </c>
      <c r="H800" s="7" t="s">
        <v>77</v>
      </c>
      <c r="I800" s="7" t="s">
        <v>54</v>
      </c>
      <c r="J800" s="9" t="n">
        <v>0.0727272727272727</v>
      </c>
      <c r="K800" s="9" t="n">
        <v>0.145454545454545</v>
      </c>
      <c r="L800" s="10" t="n">
        <f aca="false">K800-J800</f>
        <v>0.0727272727272727</v>
      </c>
      <c r="M800" s="10" t="n">
        <f aca="false">IF(I800="higher",L800,-L800)</f>
        <v>-0.0727272727272727</v>
      </c>
    </row>
    <row r="801" customFormat="false" ht="15" hidden="false" customHeight="false" outlineLevel="0" collapsed="false">
      <c r="A801" s="7" t="s">
        <v>48</v>
      </c>
      <c r="B801" s="7" t="s">
        <v>10</v>
      </c>
      <c r="C801" s="7" t="s">
        <v>49</v>
      </c>
      <c r="D801" s="7" t="s">
        <v>112</v>
      </c>
      <c r="E801" s="7" t="s">
        <v>91</v>
      </c>
      <c r="F801" s="8" t="b">
        <f aca="false">TRUE()</f>
        <v>1</v>
      </c>
      <c r="G801" s="7" t="s">
        <v>78</v>
      </c>
      <c r="H801" s="7" t="s">
        <v>79</v>
      </c>
      <c r="I801" s="7" t="s">
        <v>54</v>
      </c>
      <c r="J801" s="9" t="n">
        <v>0</v>
      </c>
      <c r="K801" s="9" t="n">
        <v>0</v>
      </c>
      <c r="L801" s="10" t="n">
        <f aca="false">K801-J801</f>
        <v>0</v>
      </c>
      <c r="M801" s="10" t="n">
        <f aca="false">IF(I801="higher",L801,-L801)</f>
        <v>-0</v>
      </c>
    </row>
    <row r="802" customFormat="false" ht="15" hidden="false" customHeight="false" outlineLevel="0" collapsed="false">
      <c r="A802" s="7" t="s">
        <v>48</v>
      </c>
      <c r="B802" s="7" t="s">
        <v>10</v>
      </c>
      <c r="C802" s="7" t="s">
        <v>49</v>
      </c>
      <c r="D802" s="7" t="s">
        <v>112</v>
      </c>
      <c r="E802" s="7" t="s">
        <v>91</v>
      </c>
      <c r="F802" s="8" t="b">
        <f aca="false">TRUE()</f>
        <v>1</v>
      </c>
      <c r="G802" s="7" t="s">
        <v>80</v>
      </c>
      <c r="H802" s="7" t="s">
        <v>81</v>
      </c>
      <c r="I802" s="7" t="s">
        <v>54</v>
      </c>
      <c r="J802" s="9" t="n">
        <v>0</v>
      </c>
      <c r="K802" s="9" t="n">
        <v>0</v>
      </c>
      <c r="L802" s="10" t="n">
        <f aca="false">K802-J802</f>
        <v>0</v>
      </c>
      <c r="M802" s="10" t="n">
        <f aca="false">IF(I802="higher",L802,-L802)</f>
        <v>-0</v>
      </c>
    </row>
    <row r="803" customFormat="false" ht="15" hidden="false" customHeight="false" outlineLevel="0" collapsed="false">
      <c r="A803" s="7" t="s">
        <v>82</v>
      </c>
      <c r="B803" s="7" t="s">
        <v>83</v>
      </c>
      <c r="C803" s="7" t="s">
        <v>49</v>
      </c>
      <c r="D803" s="7" t="s">
        <v>112</v>
      </c>
      <c r="E803" s="7" t="s">
        <v>91</v>
      </c>
      <c r="F803" s="8" t="b">
        <f aca="false">TRUE()</f>
        <v>1</v>
      </c>
      <c r="G803" s="7" t="s">
        <v>52</v>
      </c>
      <c r="H803" s="7" t="s">
        <v>53</v>
      </c>
      <c r="I803" s="7" t="s">
        <v>54</v>
      </c>
      <c r="J803" s="9" t="n">
        <v>4.74006346951242</v>
      </c>
      <c r="K803" s="9" t="n">
        <v>3.59717120250694</v>
      </c>
      <c r="L803" s="10" t="n">
        <f aca="false">K803-J803</f>
        <v>-1.14289226700549</v>
      </c>
      <c r="M803" s="10" t="n">
        <f aca="false">IF(I803="higher",L803,-L803)</f>
        <v>1.14289226700549</v>
      </c>
    </row>
    <row r="804" customFormat="false" ht="15" hidden="false" customHeight="false" outlineLevel="0" collapsed="false">
      <c r="A804" s="7" t="s">
        <v>82</v>
      </c>
      <c r="B804" s="7" t="s">
        <v>83</v>
      </c>
      <c r="C804" s="7" t="s">
        <v>49</v>
      </c>
      <c r="D804" s="7" t="s">
        <v>112</v>
      </c>
      <c r="E804" s="7" t="s">
        <v>91</v>
      </c>
      <c r="F804" s="8" t="b">
        <f aca="false">TRUE()</f>
        <v>1</v>
      </c>
      <c r="G804" s="7" t="s">
        <v>55</v>
      </c>
      <c r="H804" s="7" t="s">
        <v>56</v>
      </c>
      <c r="I804" s="7" t="s">
        <v>54</v>
      </c>
      <c r="J804" s="9" t="n">
        <v>8.90407605693414</v>
      </c>
      <c r="K804" s="9" t="n">
        <v>8.28640690324966</v>
      </c>
      <c r="L804" s="10" t="n">
        <f aca="false">K804-J804</f>
        <v>-0.61766915368448</v>
      </c>
      <c r="M804" s="10" t="n">
        <f aca="false">IF(I804="higher",L804,-L804)</f>
        <v>0.61766915368448</v>
      </c>
    </row>
    <row r="805" customFormat="false" ht="15" hidden="false" customHeight="false" outlineLevel="0" collapsed="false">
      <c r="A805" s="7" t="s">
        <v>82</v>
      </c>
      <c r="B805" s="7" t="s">
        <v>83</v>
      </c>
      <c r="C805" s="7" t="s">
        <v>49</v>
      </c>
      <c r="D805" s="7" t="s">
        <v>112</v>
      </c>
      <c r="E805" s="7" t="s">
        <v>91</v>
      </c>
      <c r="F805" s="8" t="b">
        <f aca="false">TRUE()</f>
        <v>1</v>
      </c>
      <c r="G805" s="7" t="s">
        <v>57</v>
      </c>
      <c r="H805" s="7" t="s">
        <v>58</v>
      </c>
      <c r="I805" s="7" t="s">
        <v>54</v>
      </c>
      <c r="J805" s="9" t="n">
        <v>13.6769661712959</v>
      </c>
      <c r="K805" s="9" t="n">
        <v>6.05852467697294</v>
      </c>
      <c r="L805" s="10" t="n">
        <f aca="false">K805-J805</f>
        <v>-7.61844149432292</v>
      </c>
      <c r="M805" s="10" t="n">
        <f aca="false">IF(I805="higher",L805,-L805)</f>
        <v>7.61844149432292</v>
      </c>
    </row>
    <row r="806" customFormat="false" ht="15" hidden="false" customHeight="false" outlineLevel="0" collapsed="false">
      <c r="A806" s="7" t="s">
        <v>82</v>
      </c>
      <c r="B806" s="7" t="s">
        <v>83</v>
      </c>
      <c r="C806" s="7" t="s">
        <v>49</v>
      </c>
      <c r="D806" s="7" t="s">
        <v>112</v>
      </c>
      <c r="E806" s="7" t="s">
        <v>91</v>
      </c>
      <c r="F806" s="8" t="b">
        <f aca="false">TRUE()</f>
        <v>1</v>
      </c>
      <c r="G806" s="7" t="s">
        <v>59</v>
      </c>
      <c r="H806" s="7" t="s">
        <v>60</v>
      </c>
      <c r="I806" s="7" t="s">
        <v>54</v>
      </c>
      <c r="J806" s="9" t="n">
        <v>0.0911703419320004</v>
      </c>
      <c r="K806" s="9" t="n">
        <v>0.10915987416074</v>
      </c>
      <c r="L806" s="10" t="n">
        <f aca="false">K806-J806</f>
        <v>0.0179895322287392</v>
      </c>
      <c r="M806" s="10" t="n">
        <f aca="false">IF(I806="higher",L806,-L806)</f>
        <v>-0.0179895322287392</v>
      </c>
    </row>
    <row r="807" customFormat="false" ht="15" hidden="false" customHeight="false" outlineLevel="0" collapsed="false">
      <c r="A807" s="7" t="s">
        <v>82</v>
      </c>
      <c r="B807" s="7" t="s">
        <v>83</v>
      </c>
      <c r="C807" s="7" t="s">
        <v>49</v>
      </c>
      <c r="D807" s="7" t="s">
        <v>112</v>
      </c>
      <c r="E807" s="7" t="s">
        <v>91</v>
      </c>
      <c r="F807" s="8" t="b">
        <f aca="false">TRUE()</f>
        <v>1</v>
      </c>
      <c r="G807" s="7" t="s">
        <v>61</v>
      </c>
      <c r="H807" s="7" t="s">
        <v>62</v>
      </c>
      <c r="I807" s="7" t="s">
        <v>54</v>
      </c>
      <c r="J807" s="9" t="n">
        <v>8.76893535127047</v>
      </c>
      <c r="K807" s="9" t="n">
        <v>9.39250653439287</v>
      </c>
      <c r="L807" s="10" t="n">
        <f aca="false">K807-J807</f>
        <v>0.623571183122399</v>
      </c>
      <c r="M807" s="10" t="n">
        <f aca="false">IF(I807="higher",L807,-L807)</f>
        <v>-0.623571183122399</v>
      </c>
    </row>
    <row r="808" customFormat="false" ht="15" hidden="false" customHeight="false" outlineLevel="0" collapsed="false">
      <c r="A808" s="7" t="s">
        <v>82</v>
      </c>
      <c r="B808" s="7" t="s">
        <v>83</v>
      </c>
      <c r="C808" s="7" t="s">
        <v>49</v>
      </c>
      <c r="D808" s="7" t="s">
        <v>112</v>
      </c>
      <c r="E808" s="7" t="s">
        <v>91</v>
      </c>
      <c r="F808" s="8" t="b">
        <f aca="false">TRUE()</f>
        <v>1</v>
      </c>
      <c r="G808" s="7" t="s">
        <v>63</v>
      </c>
      <c r="H808" s="7" t="s">
        <v>64</v>
      </c>
      <c r="I808" s="7" t="s">
        <v>54</v>
      </c>
      <c r="J808" s="9" t="n">
        <v>7.50734429904557</v>
      </c>
      <c r="K808" s="9" t="n">
        <v>6.88869134588591</v>
      </c>
      <c r="L808" s="10" t="n">
        <f aca="false">K808-J808</f>
        <v>-0.618652953159661</v>
      </c>
      <c r="M808" s="10" t="n">
        <f aca="false">IF(I808="higher",L808,-L808)</f>
        <v>0.618652953159661</v>
      </c>
    </row>
    <row r="809" customFormat="false" ht="15" hidden="false" customHeight="false" outlineLevel="0" collapsed="false">
      <c r="A809" s="7" t="s">
        <v>82</v>
      </c>
      <c r="B809" s="7" t="s">
        <v>83</v>
      </c>
      <c r="C809" s="7" t="s">
        <v>49</v>
      </c>
      <c r="D809" s="7" t="s">
        <v>112</v>
      </c>
      <c r="E809" s="7" t="s">
        <v>91</v>
      </c>
      <c r="F809" s="8" t="b">
        <f aca="false">TRUE()</f>
        <v>1</v>
      </c>
      <c r="G809" s="7" t="s">
        <v>65</v>
      </c>
      <c r="H809" s="7" t="s">
        <v>66</v>
      </c>
      <c r="I809" s="7" t="s">
        <v>54</v>
      </c>
      <c r="J809" s="9" t="n">
        <v>9.46121658040792</v>
      </c>
      <c r="K809" s="9" t="n">
        <v>9.40552775577205</v>
      </c>
      <c r="L809" s="10" t="n">
        <f aca="false">K809-J809</f>
        <v>-0.0556888246358689</v>
      </c>
      <c r="M809" s="10" t="n">
        <f aca="false">IF(I809="higher",L809,-L809)</f>
        <v>0.0556888246358689</v>
      </c>
    </row>
    <row r="810" customFormat="false" ht="15" hidden="false" customHeight="false" outlineLevel="0" collapsed="false">
      <c r="A810" s="7" t="s">
        <v>82</v>
      </c>
      <c r="B810" s="7" t="s">
        <v>83</v>
      </c>
      <c r="C810" s="7" t="s">
        <v>49</v>
      </c>
      <c r="D810" s="7" t="s">
        <v>112</v>
      </c>
      <c r="E810" s="7" t="s">
        <v>91</v>
      </c>
      <c r="F810" s="8" t="b">
        <f aca="false">TRUE()</f>
        <v>1</v>
      </c>
      <c r="G810" s="7" t="s">
        <v>67</v>
      </c>
      <c r="H810" s="7" t="s">
        <v>68</v>
      </c>
      <c r="I810" s="7" t="s">
        <v>54</v>
      </c>
      <c r="J810" s="9" t="n">
        <v>17.3270442255322</v>
      </c>
      <c r="K810" s="9" t="n">
        <v>16.9396589741585</v>
      </c>
      <c r="L810" s="10" t="n">
        <f aca="false">K810-J810</f>
        <v>-0.387385251373672</v>
      </c>
      <c r="M810" s="10" t="n">
        <f aca="false">IF(I810="higher",L810,-L810)</f>
        <v>0.387385251373672</v>
      </c>
    </row>
    <row r="811" customFormat="false" ht="15" hidden="false" customHeight="false" outlineLevel="0" collapsed="false">
      <c r="A811" s="7" t="s">
        <v>82</v>
      </c>
      <c r="B811" s="7" t="s">
        <v>83</v>
      </c>
      <c r="C811" s="7" t="s">
        <v>49</v>
      </c>
      <c r="D811" s="7" t="s">
        <v>112</v>
      </c>
      <c r="E811" s="7" t="s">
        <v>91</v>
      </c>
      <c r="F811" s="8" t="b">
        <f aca="false">TRUE()</f>
        <v>1</v>
      </c>
      <c r="G811" s="7" t="s">
        <v>69</v>
      </c>
      <c r="H811" s="7" t="s">
        <v>70</v>
      </c>
      <c r="I811" s="7" t="s">
        <v>71</v>
      </c>
      <c r="J811" s="9" t="n">
        <v>0.564516129032258</v>
      </c>
      <c r="K811" s="9" t="n">
        <v>0.5</v>
      </c>
      <c r="L811" s="10" t="n">
        <f aca="false">K811-J811</f>
        <v>-0.0645161290322581</v>
      </c>
      <c r="M811" s="10" t="n">
        <f aca="false">IF(I811="higher",L811,-L811)</f>
        <v>-0.0645161290322581</v>
      </c>
    </row>
    <row r="812" customFormat="false" ht="15" hidden="false" customHeight="false" outlineLevel="0" collapsed="false">
      <c r="A812" s="7" t="s">
        <v>82</v>
      </c>
      <c r="B812" s="7" t="s">
        <v>83</v>
      </c>
      <c r="C812" s="7" t="s">
        <v>49</v>
      </c>
      <c r="D812" s="7" t="s">
        <v>112</v>
      </c>
      <c r="E812" s="7" t="s">
        <v>91</v>
      </c>
      <c r="F812" s="8" t="b">
        <f aca="false">TRUE()</f>
        <v>1</v>
      </c>
      <c r="G812" s="7" t="s">
        <v>72</v>
      </c>
      <c r="H812" s="7" t="s">
        <v>73</v>
      </c>
      <c r="I812" s="7" t="s">
        <v>71</v>
      </c>
      <c r="J812" s="9" t="n">
        <v>0.806451612903226</v>
      </c>
      <c r="K812" s="9" t="n">
        <v>0.758064516129032</v>
      </c>
      <c r="L812" s="10" t="n">
        <f aca="false">K812-J812</f>
        <v>-0.0483870967741935</v>
      </c>
      <c r="M812" s="10" t="n">
        <f aca="false">IF(I812="higher",L812,-L812)</f>
        <v>-0.0483870967741935</v>
      </c>
    </row>
    <row r="813" customFormat="false" ht="15" hidden="false" customHeight="false" outlineLevel="0" collapsed="false">
      <c r="A813" s="7" t="s">
        <v>82</v>
      </c>
      <c r="B813" s="7" t="s">
        <v>83</v>
      </c>
      <c r="C813" s="7" t="s">
        <v>49</v>
      </c>
      <c r="D813" s="7" t="s">
        <v>112</v>
      </c>
      <c r="E813" s="7" t="s">
        <v>91</v>
      </c>
      <c r="F813" s="8" t="b">
        <f aca="false">TRUE()</f>
        <v>1</v>
      </c>
      <c r="G813" s="7" t="s">
        <v>74</v>
      </c>
      <c r="H813" s="7" t="s">
        <v>75</v>
      </c>
      <c r="I813" s="7" t="s">
        <v>54</v>
      </c>
      <c r="J813" s="9" t="n">
        <v>0.0645161290322581</v>
      </c>
      <c r="K813" s="9" t="n">
        <v>0</v>
      </c>
      <c r="L813" s="10" t="n">
        <f aca="false">K813-J813</f>
        <v>-0.0645161290322581</v>
      </c>
      <c r="M813" s="10" t="n">
        <f aca="false">IF(I813="higher",L813,-L813)</f>
        <v>0.0645161290322581</v>
      </c>
    </row>
    <row r="814" customFormat="false" ht="15" hidden="false" customHeight="false" outlineLevel="0" collapsed="false">
      <c r="A814" s="7" t="s">
        <v>82</v>
      </c>
      <c r="B814" s="7" t="s">
        <v>83</v>
      </c>
      <c r="C814" s="7" t="s">
        <v>49</v>
      </c>
      <c r="D814" s="7" t="s">
        <v>112</v>
      </c>
      <c r="E814" s="7" t="s">
        <v>91</v>
      </c>
      <c r="F814" s="8" t="b">
        <f aca="false">TRUE()</f>
        <v>1</v>
      </c>
      <c r="G814" s="7" t="s">
        <v>76</v>
      </c>
      <c r="H814" s="7" t="s">
        <v>77</v>
      </c>
      <c r="I814" s="7" t="s">
        <v>54</v>
      </c>
      <c r="J814" s="9" t="n">
        <v>0.136363636363636</v>
      </c>
      <c r="K814" s="9" t="n">
        <v>0.145454545454545</v>
      </c>
      <c r="L814" s="10" t="n">
        <f aca="false">K814-J814</f>
        <v>0.00909090909090898</v>
      </c>
      <c r="M814" s="10" t="n">
        <f aca="false">IF(I814="higher",L814,-L814)</f>
        <v>-0.00909090909090898</v>
      </c>
    </row>
    <row r="815" customFormat="false" ht="15" hidden="false" customHeight="false" outlineLevel="0" collapsed="false">
      <c r="A815" s="7" t="s">
        <v>82</v>
      </c>
      <c r="B815" s="7" t="s">
        <v>83</v>
      </c>
      <c r="C815" s="7" t="s">
        <v>49</v>
      </c>
      <c r="D815" s="7" t="s">
        <v>112</v>
      </c>
      <c r="E815" s="7" t="s">
        <v>91</v>
      </c>
      <c r="F815" s="8" t="b">
        <f aca="false">TRUE()</f>
        <v>1</v>
      </c>
      <c r="G815" s="7" t="s">
        <v>78</v>
      </c>
      <c r="H815" s="7" t="s">
        <v>79</v>
      </c>
      <c r="I815" s="7" t="s">
        <v>54</v>
      </c>
      <c r="J815" s="9" t="n">
        <v>0.00909090909090909</v>
      </c>
      <c r="K815" s="9" t="n">
        <v>0</v>
      </c>
      <c r="L815" s="10" t="n">
        <f aca="false">K815-J815</f>
        <v>-0.00909090909090909</v>
      </c>
      <c r="M815" s="10" t="n">
        <f aca="false">IF(I815="higher",L815,-L815)</f>
        <v>0.00909090909090909</v>
      </c>
    </row>
    <row r="816" customFormat="false" ht="15" hidden="false" customHeight="false" outlineLevel="0" collapsed="false">
      <c r="A816" s="7" t="s">
        <v>82</v>
      </c>
      <c r="B816" s="7" t="s">
        <v>83</v>
      </c>
      <c r="C816" s="7" t="s">
        <v>49</v>
      </c>
      <c r="D816" s="7" t="s">
        <v>112</v>
      </c>
      <c r="E816" s="7" t="s">
        <v>91</v>
      </c>
      <c r="F816" s="8" t="b">
        <f aca="false">TRUE()</f>
        <v>1</v>
      </c>
      <c r="G816" s="7" t="s">
        <v>80</v>
      </c>
      <c r="H816" s="7" t="s">
        <v>81</v>
      </c>
      <c r="I816" s="7" t="s">
        <v>54</v>
      </c>
      <c r="J816" s="9" t="n">
        <v>0</v>
      </c>
      <c r="K816" s="9" t="n">
        <v>0</v>
      </c>
      <c r="L816" s="10" t="n">
        <f aca="false">K816-J816</f>
        <v>0</v>
      </c>
      <c r="M816" s="10" t="n">
        <f aca="false">IF(I816="higher",L816,-L816)</f>
        <v>-0</v>
      </c>
    </row>
  </sheetData>
  <autoFilter ref="A4:M816"/>
  <mergeCells count="2">
    <mergeCell ref="A1:M1"/>
    <mergeCell ref="A2:M2"/>
  </mergeCells>
  <conditionalFormatting sqref="M5:M816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1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15" min="6" style="0" width="16"/>
  </cols>
  <sheetData>
    <row r="1" customFormat="false" ht="15" hidden="false" customHeight="false" outlineLevel="0" collapsed="false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6" t="s">
        <v>115</v>
      </c>
      <c r="B4" s="6" t="s">
        <v>35</v>
      </c>
      <c r="C4" s="6" t="s">
        <v>41</v>
      </c>
      <c r="D4" s="6" t="s">
        <v>42</v>
      </c>
      <c r="E4" s="6" t="s">
        <v>43</v>
      </c>
      <c r="F4" s="6" t="s">
        <v>116</v>
      </c>
      <c r="G4" s="6" t="s">
        <v>117</v>
      </c>
      <c r="H4" s="6" t="s">
        <v>118</v>
      </c>
      <c r="I4" s="6" t="s">
        <v>46</v>
      </c>
      <c r="J4" s="6" t="s">
        <v>47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</row>
    <row r="5" customFormat="false" ht="15" hidden="false" customHeight="false" outlineLevel="0" collapsed="false">
      <c r="A5" s="7" t="s">
        <v>124</v>
      </c>
      <c r="B5" s="7" t="s">
        <v>48</v>
      </c>
      <c r="C5" s="7" t="s">
        <v>52</v>
      </c>
      <c r="D5" s="7" t="s">
        <v>53</v>
      </c>
      <c r="E5" s="7" t="s">
        <v>54</v>
      </c>
      <c r="F5" s="7" t="n">
        <f aca="false">COUNTIFS('Paired Comparison'!$A:$A,$B5,'Paired Comparison'!$G:$G,$C5)</f>
        <v>29</v>
      </c>
      <c r="G5" s="9" t="n">
        <f aca="false">AVERAGEIFS('Paired Comparison'!$J:$J,'Paired Comparison'!$A:$A,$B5,'Paired Comparison'!$G:$G,$C5)</f>
        <v>4.95360647442948</v>
      </c>
      <c r="H5" s="9" t="n">
        <f aca="false">AVERAGEIFS('Paired Comparison'!$K:$K,'Paired Comparison'!$A:$A,$B5,'Paired Comparison'!$G:$G,$C5)</f>
        <v>3.60122830507988</v>
      </c>
      <c r="I5" s="9" t="n">
        <f aca="false">H5-G5</f>
        <v>-1.3523781693496</v>
      </c>
      <c r="J5" s="9" t="n">
        <f aca="false">IF(E5="higher",I5,-I5)</f>
        <v>1.3523781693496</v>
      </c>
      <c r="K5" s="9" t="n">
        <v>1.50659198140536</v>
      </c>
      <c r="L5" s="9" t="n">
        <v>1.00025863876286</v>
      </c>
      <c r="M5" s="9" t="n">
        <v>1.70604077869313</v>
      </c>
      <c r="N5" s="7" t="n">
        <f aca="false">COUNTIFS('Paired Comparison'!$A:$A,$B5,'Paired Comparison'!$G:$G,$C5,'Paired Comparison'!$M:$M,"&gt;0")</f>
        <v>27</v>
      </c>
      <c r="O5" s="7" t="n">
        <f aca="false">COUNTIFS('Paired Comparison'!$A:$A,$B5,'Paired Comparison'!$G:$G,$C5,'Paired Comparison'!$M:$M,"&lt;0")</f>
        <v>2</v>
      </c>
    </row>
    <row r="6" customFormat="false" ht="15" hidden="false" customHeight="false" outlineLevel="0" collapsed="false">
      <c r="A6" s="7" t="s">
        <v>124</v>
      </c>
      <c r="B6" s="7" t="s">
        <v>48</v>
      </c>
      <c r="C6" s="7" t="s">
        <v>55</v>
      </c>
      <c r="D6" s="7" t="s">
        <v>56</v>
      </c>
      <c r="E6" s="7" t="s">
        <v>54</v>
      </c>
      <c r="F6" s="7" t="n">
        <f aca="false">COUNTIFS('Paired Comparison'!$A:$A,$B6,'Paired Comparison'!$G:$G,$C6)</f>
        <v>29</v>
      </c>
      <c r="G6" s="9" t="n">
        <f aca="false">AVERAGEIFS('Paired Comparison'!$J:$J,'Paired Comparison'!$A:$A,$B6,'Paired Comparison'!$G:$G,$C6)</f>
        <v>11.5112834429117</v>
      </c>
      <c r="H6" s="9" t="n">
        <f aca="false">AVERAGEIFS('Paired Comparison'!$K:$K,'Paired Comparison'!$A:$A,$B6,'Paired Comparison'!$G:$G,$C6)</f>
        <v>9.95283465700667</v>
      </c>
      <c r="I6" s="9" t="n">
        <f aca="false">H6-G6</f>
        <v>-1.55844878590503</v>
      </c>
      <c r="J6" s="9" t="n">
        <f aca="false">IF(E6="higher",I6,-I6)</f>
        <v>1.55844878590503</v>
      </c>
      <c r="K6" s="9" t="n">
        <v>1.1877137134509</v>
      </c>
      <c r="L6" s="9" t="n">
        <v>0.898167449074229</v>
      </c>
      <c r="M6" s="9" t="n">
        <v>2.25366985840057</v>
      </c>
      <c r="N6" s="7" t="n">
        <f aca="false">COUNTIFS('Paired Comparison'!$A:$A,$B6,'Paired Comparison'!$G:$G,$C6,'Paired Comparison'!$M:$M,"&gt;0")</f>
        <v>22</v>
      </c>
      <c r="O6" s="7" t="n">
        <f aca="false">COUNTIFS('Paired Comparison'!$A:$A,$B6,'Paired Comparison'!$G:$G,$C6,'Paired Comparison'!$M:$M,"&lt;0")</f>
        <v>7</v>
      </c>
    </row>
    <row r="7" customFormat="false" ht="15" hidden="false" customHeight="false" outlineLevel="0" collapsed="false">
      <c r="A7" s="7" t="s">
        <v>124</v>
      </c>
      <c r="B7" s="7" t="s">
        <v>48</v>
      </c>
      <c r="C7" s="7" t="s">
        <v>57</v>
      </c>
      <c r="D7" s="7" t="s">
        <v>58</v>
      </c>
      <c r="E7" s="7" t="s">
        <v>54</v>
      </c>
      <c r="F7" s="7" t="n">
        <f aca="false">COUNTIFS('Paired Comparison'!$A:$A,$B7,'Paired Comparison'!$G:$G,$C7)</f>
        <v>29</v>
      </c>
      <c r="G7" s="9" t="n">
        <f aca="false">AVERAGEIFS('Paired Comparison'!$J:$J,'Paired Comparison'!$A:$A,$B7,'Paired Comparison'!$G:$G,$C7)</f>
        <v>5.83204495414449</v>
      </c>
      <c r="H7" s="9" t="n">
        <f aca="false">AVERAGEIFS('Paired Comparison'!$K:$K,'Paired Comparison'!$A:$A,$B7,'Paired Comparison'!$G:$G,$C7)</f>
        <v>5.1119079507236</v>
      </c>
      <c r="I7" s="9" t="n">
        <f aca="false">H7-G7</f>
        <v>-0.720137003420894</v>
      </c>
      <c r="J7" s="9" t="n">
        <f aca="false">IF(E7="higher",I7,-I7)</f>
        <v>0.720137003420894</v>
      </c>
      <c r="K7" s="9" t="n">
        <v>0.601916388281358</v>
      </c>
      <c r="L7" s="9" t="n">
        <v>0.201604636799017</v>
      </c>
      <c r="M7" s="9" t="n">
        <v>1.24768232038879</v>
      </c>
      <c r="N7" s="7" t="n">
        <f aca="false">COUNTIFS('Paired Comparison'!$A:$A,$B7,'Paired Comparison'!$G:$G,$C7,'Paired Comparison'!$M:$M,"&gt;0")</f>
        <v>19</v>
      </c>
      <c r="O7" s="7" t="n">
        <f aca="false">COUNTIFS('Paired Comparison'!$A:$A,$B7,'Paired Comparison'!$G:$G,$C7,'Paired Comparison'!$M:$M,"&lt;0")</f>
        <v>10</v>
      </c>
    </row>
    <row r="8" customFormat="false" ht="15" hidden="false" customHeight="false" outlineLevel="0" collapsed="false">
      <c r="A8" s="7" t="s">
        <v>124</v>
      </c>
      <c r="B8" s="7" t="s">
        <v>48</v>
      </c>
      <c r="C8" s="7" t="s">
        <v>59</v>
      </c>
      <c r="D8" s="7" t="s">
        <v>60</v>
      </c>
      <c r="E8" s="7" t="s">
        <v>54</v>
      </c>
      <c r="F8" s="7" t="n">
        <f aca="false">COUNTIFS('Paired Comparison'!$A:$A,$B8,'Paired Comparison'!$G:$G,$C8)</f>
        <v>29</v>
      </c>
      <c r="G8" s="9" t="n">
        <f aca="false">AVERAGEIFS('Paired Comparison'!$J:$J,'Paired Comparison'!$A:$A,$B8,'Paired Comparison'!$G:$G,$C8)</f>
        <v>0.113839327104413</v>
      </c>
      <c r="H8" s="9" t="n">
        <f aca="false">AVERAGEIFS('Paired Comparison'!$K:$K,'Paired Comparison'!$A:$A,$B8,'Paired Comparison'!$G:$G,$C8)</f>
        <v>0.100902990012362</v>
      </c>
      <c r="I8" s="9" t="n">
        <f aca="false">H8-G8</f>
        <v>-0.0129363370920507</v>
      </c>
      <c r="J8" s="9" t="n">
        <f aca="false">IF(E8="higher",I8,-I8)</f>
        <v>0.0129363370920507</v>
      </c>
      <c r="K8" s="9" t="n">
        <v>0.0116356633848816</v>
      </c>
      <c r="L8" s="9" t="n">
        <v>0.0074106100968994</v>
      </c>
      <c r="M8" s="9" t="n">
        <v>0.0184362603469206</v>
      </c>
      <c r="N8" s="7" t="n">
        <f aca="false">COUNTIFS('Paired Comparison'!$A:$A,$B8,'Paired Comparison'!$G:$G,$C8,'Paired Comparison'!$M:$M,"&gt;0")</f>
        <v>22</v>
      </c>
      <c r="O8" s="7" t="n">
        <f aca="false">COUNTIFS('Paired Comparison'!$A:$A,$B8,'Paired Comparison'!$G:$G,$C8,'Paired Comparison'!$M:$M,"&lt;0")</f>
        <v>7</v>
      </c>
    </row>
    <row r="9" customFormat="false" ht="15" hidden="false" customHeight="false" outlineLevel="0" collapsed="false">
      <c r="A9" s="7" t="s">
        <v>124</v>
      </c>
      <c r="B9" s="7" t="s">
        <v>48</v>
      </c>
      <c r="C9" s="7" t="s">
        <v>61</v>
      </c>
      <c r="D9" s="7" t="s">
        <v>62</v>
      </c>
      <c r="E9" s="7" t="s">
        <v>54</v>
      </c>
      <c r="F9" s="7" t="n">
        <f aca="false">COUNTIFS('Paired Comparison'!$A:$A,$B9,'Paired Comparison'!$G:$G,$C9)</f>
        <v>29</v>
      </c>
      <c r="G9" s="9" t="n">
        <f aca="false">AVERAGEIFS('Paired Comparison'!$J:$J,'Paired Comparison'!$A:$A,$B9,'Paired Comparison'!$G:$G,$C9)</f>
        <v>35.5772682950302</v>
      </c>
      <c r="H9" s="9" t="n">
        <f aca="false">AVERAGEIFS('Paired Comparison'!$K:$K,'Paired Comparison'!$A:$A,$B9,'Paired Comparison'!$G:$G,$C9)</f>
        <v>34.464643269005</v>
      </c>
      <c r="I9" s="9" t="n">
        <f aca="false">H9-G9</f>
        <v>-1.11262502602523</v>
      </c>
      <c r="J9" s="9" t="n">
        <f aca="false">IF(E9="higher",I9,-I9)</f>
        <v>1.11262502602523</v>
      </c>
      <c r="K9" s="9" t="n">
        <v>0.401154897167542</v>
      </c>
      <c r="L9" s="9" t="n">
        <v>-0.861057199161527</v>
      </c>
      <c r="M9" s="9" t="n">
        <v>3.60467807585186</v>
      </c>
      <c r="N9" s="7" t="n">
        <f aca="false">COUNTIFS('Paired Comparison'!$A:$A,$B9,'Paired Comparison'!$G:$G,$C9,'Paired Comparison'!$M:$M,"&gt;0")</f>
        <v>16</v>
      </c>
      <c r="O9" s="7" t="n">
        <f aca="false">COUNTIFS('Paired Comparison'!$A:$A,$B9,'Paired Comparison'!$G:$G,$C9,'Paired Comparison'!$M:$M,"&lt;0")</f>
        <v>13</v>
      </c>
    </row>
    <row r="10" customFormat="false" ht="15" hidden="false" customHeight="false" outlineLevel="0" collapsed="false">
      <c r="A10" s="7" t="s">
        <v>124</v>
      </c>
      <c r="B10" s="7" t="s">
        <v>48</v>
      </c>
      <c r="C10" s="7" t="s">
        <v>63</v>
      </c>
      <c r="D10" s="7" t="s">
        <v>64</v>
      </c>
      <c r="E10" s="7" t="s">
        <v>54</v>
      </c>
      <c r="F10" s="7" t="n">
        <f aca="false">COUNTIFS('Paired Comparison'!$A:$A,$B10,'Paired Comparison'!$G:$G,$C10)</f>
        <v>29</v>
      </c>
      <c r="G10" s="9" t="n">
        <f aca="false">AVERAGEIFS('Paired Comparison'!$J:$J,'Paired Comparison'!$A:$A,$B10,'Paired Comparison'!$G:$G,$C10)</f>
        <v>15.2461876400027</v>
      </c>
      <c r="H10" s="9" t="n">
        <f aca="false">AVERAGEIFS('Paired Comparison'!$K:$K,'Paired Comparison'!$A:$A,$B10,'Paired Comparison'!$G:$G,$C10)</f>
        <v>13.7304439334252</v>
      </c>
      <c r="I10" s="9" t="n">
        <f aca="false">H10-G10</f>
        <v>-1.51574370657749</v>
      </c>
      <c r="J10" s="9" t="n">
        <f aca="false">IF(E10="higher",I10,-I10)</f>
        <v>1.51574370657749</v>
      </c>
      <c r="K10" s="9" t="n">
        <v>0.729424537385817</v>
      </c>
      <c r="L10" s="9" t="n">
        <v>0.445740070668447</v>
      </c>
      <c r="M10" s="9" t="n">
        <v>2.68378391435194</v>
      </c>
      <c r="N10" s="7" t="n">
        <f aca="false">COUNTIFS('Paired Comparison'!$A:$A,$B10,'Paired Comparison'!$G:$G,$C10,'Paired Comparison'!$M:$M,"&gt;0")</f>
        <v>20</v>
      </c>
      <c r="O10" s="7" t="n">
        <f aca="false">COUNTIFS('Paired Comparison'!$A:$A,$B10,'Paired Comparison'!$G:$G,$C10,'Paired Comparison'!$M:$M,"&lt;0")</f>
        <v>9</v>
      </c>
    </row>
    <row r="11" customFormat="false" ht="15" hidden="false" customHeight="false" outlineLevel="0" collapsed="false">
      <c r="A11" s="7" t="s">
        <v>124</v>
      </c>
      <c r="B11" s="7" t="s">
        <v>48</v>
      </c>
      <c r="C11" s="7" t="s">
        <v>65</v>
      </c>
      <c r="D11" s="7" t="s">
        <v>66</v>
      </c>
      <c r="E11" s="7" t="s">
        <v>54</v>
      </c>
      <c r="F11" s="7" t="n">
        <f aca="false">COUNTIFS('Paired Comparison'!$A:$A,$B11,'Paired Comparison'!$G:$G,$C11)</f>
        <v>29</v>
      </c>
      <c r="G11" s="9" t="n">
        <f aca="false">AVERAGEIFS('Paired Comparison'!$J:$J,'Paired Comparison'!$A:$A,$B11,'Paired Comparison'!$G:$G,$C11)</f>
        <v>35.5957347598274</v>
      </c>
      <c r="H11" s="9" t="n">
        <f aca="false">AVERAGEIFS('Paired Comparison'!$K:$K,'Paired Comparison'!$A:$A,$B11,'Paired Comparison'!$G:$G,$C11)</f>
        <v>34.1494989745326</v>
      </c>
      <c r="I11" s="9" t="n">
        <f aca="false">H11-G11</f>
        <v>-1.44623578529484</v>
      </c>
      <c r="J11" s="9" t="n">
        <f aca="false">IF(E11="higher",I11,-I11)</f>
        <v>1.44623578529484</v>
      </c>
      <c r="K11" s="9" t="n">
        <v>0.0188437971570963</v>
      </c>
      <c r="L11" s="9" t="n">
        <v>-0.319487056477355</v>
      </c>
      <c r="M11" s="9" t="n">
        <v>3.69463266047718</v>
      </c>
      <c r="N11" s="7" t="n">
        <f aca="false">COUNTIFS('Paired Comparison'!$A:$A,$B11,'Paired Comparison'!$G:$G,$C11,'Paired Comparison'!$M:$M,"&gt;0")</f>
        <v>15</v>
      </c>
      <c r="O11" s="7" t="n">
        <f aca="false">COUNTIFS('Paired Comparison'!$A:$A,$B11,'Paired Comparison'!$G:$G,$C11,'Paired Comparison'!$M:$M,"&lt;0")</f>
        <v>14</v>
      </c>
    </row>
    <row r="12" customFormat="false" ht="15" hidden="false" customHeight="false" outlineLevel="0" collapsed="false">
      <c r="A12" s="7" t="s">
        <v>124</v>
      </c>
      <c r="B12" s="7" t="s">
        <v>48</v>
      </c>
      <c r="C12" s="7" t="s">
        <v>67</v>
      </c>
      <c r="D12" s="7" t="s">
        <v>68</v>
      </c>
      <c r="E12" s="7" t="s">
        <v>54</v>
      </c>
      <c r="F12" s="7" t="n">
        <f aca="false">COUNTIFS('Paired Comparison'!$A:$A,$B12,'Paired Comparison'!$G:$G,$C12)</f>
        <v>29</v>
      </c>
      <c r="G12" s="9" t="n">
        <f aca="false">AVERAGEIFS('Paired Comparison'!$J:$J,'Paired Comparison'!$A:$A,$B12,'Paired Comparison'!$G:$G,$C12)</f>
        <v>23.1622561249025</v>
      </c>
      <c r="H12" s="9" t="n">
        <f aca="false">AVERAGEIFS('Paired Comparison'!$K:$K,'Paired Comparison'!$A:$A,$B12,'Paired Comparison'!$G:$G,$C12)</f>
        <v>22.1008978509626</v>
      </c>
      <c r="I12" s="9" t="n">
        <f aca="false">H12-G12</f>
        <v>-1.06135827393996</v>
      </c>
      <c r="J12" s="9" t="n">
        <f aca="false">IF(E12="higher",I12,-I12)</f>
        <v>1.06135827393996</v>
      </c>
      <c r="K12" s="9" t="n">
        <v>0.674201245448099</v>
      </c>
      <c r="L12" s="9" t="n">
        <v>-0.0353729467060958</v>
      </c>
      <c r="M12" s="9" t="n">
        <v>2.14633207209082</v>
      </c>
      <c r="N12" s="7" t="n">
        <f aca="false">COUNTIFS('Paired Comparison'!$A:$A,$B12,'Paired Comparison'!$G:$G,$C12,'Paired Comparison'!$M:$M,"&gt;0")</f>
        <v>20</v>
      </c>
      <c r="O12" s="7" t="n">
        <f aca="false">COUNTIFS('Paired Comparison'!$A:$A,$B12,'Paired Comparison'!$G:$G,$C12,'Paired Comparison'!$M:$M,"&lt;0")</f>
        <v>9</v>
      </c>
    </row>
    <row r="13" customFormat="false" ht="15" hidden="false" customHeight="false" outlineLevel="0" collapsed="false">
      <c r="A13" s="7" t="s">
        <v>124</v>
      </c>
      <c r="B13" s="7" t="s">
        <v>48</v>
      </c>
      <c r="C13" s="7" t="s">
        <v>69</v>
      </c>
      <c r="D13" s="7" t="s">
        <v>70</v>
      </c>
      <c r="E13" s="7" t="s">
        <v>71</v>
      </c>
      <c r="F13" s="7" t="n">
        <f aca="false">COUNTIFS('Paired Comparison'!$A:$A,$B13,'Paired Comparison'!$G:$G,$C13)</f>
        <v>29</v>
      </c>
      <c r="G13" s="9" t="n">
        <f aca="false">AVERAGEIFS('Paired Comparison'!$J:$J,'Paired Comparison'!$A:$A,$B13,'Paired Comparison'!$G:$G,$C13)</f>
        <v>0.495353841403621</v>
      </c>
      <c r="H13" s="9" t="n">
        <f aca="false">AVERAGEIFS('Paired Comparison'!$K:$K,'Paired Comparison'!$A:$A,$B13,'Paired Comparison'!$G:$G,$C13)</f>
        <v>0.532648752813137</v>
      </c>
      <c r="I13" s="9" t="n">
        <f aca="false">H13-G13</f>
        <v>0.037294911409516</v>
      </c>
      <c r="J13" s="9" t="n">
        <f aca="false">IF(E13="higher",I13,-I13)</f>
        <v>0.037294911409516</v>
      </c>
      <c r="K13" s="9" t="n">
        <v>0.0204081632653061</v>
      </c>
      <c r="L13" s="9" t="n">
        <v>-0.00572254052145227</v>
      </c>
      <c r="M13" s="9" t="n">
        <v>0.0802004603109877</v>
      </c>
      <c r="N13" s="7" t="n">
        <f aca="false">COUNTIFS('Paired Comparison'!$A:$A,$B13,'Paired Comparison'!$G:$G,$C13,'Paired Comparison'!$M:$M,"&gt;0")</f>
        <v>18</v>
      </c>
      <c r="O13" s="7" t="n">
        <f aca="false">COUNTIFS('Paired Comparison'!$A:$A,$B13,'Paired Comparison'!$G:$G,$C13,'Paired Comparison'!$M:$M,"&lt;0")</f>
        <v>8</v>
      </c>
    </row>
    <row r="14" customFormat="false" ht="15" hidden="false" customHeight="false" outlineLevel="0" collapsed="false">
      <c r="A14" s="7" t="s">
        <v>124</v>
      </c>
      <c r="B14" s="7" t="s">
        <v>48</v>
      </c>
      <c r="C14" s="7" t="s">
        <v>72</v>
      </c>
      <c r="D14" s="7" t="s">
        <v>73</v>
      </c>
      <c r="E14" s="7" t="s">
        <v>71</v>
      </c>
      <c r="F14" s="7" t="n">
        <f aca="false">COUNTIFS('Paired Comparison'!$A:$A,$B14,'Paired Comparison'!$G:$G,$C14)</f>
        <v>29</v>
      </c>
      <c r="G14" s="9" t="n">
        <f aca="false">AVERAGEIFS('Paired Comparison'!$J:$J,'Paired Comparison'!$A:$A,$B14,'Paired Comparison'!$G:$G,$C14)</f>
        <v>0.779449988671193</v>
      </c>
      <c r="H14" s="9" t="n">
        <f aca="false">AVERAGEIFS('Paired Comparison'!$K:$K,'Paired Comparison'!$A:$A,$B14,'Paired Comparison'!$G:$G,$C14)</f>
        <v>0.773259013449509</v>
      </c>
      <c r="I14" s="9" t="n">
        <f aca="false">H14-G14</f>
        <v>-0.00619097522168399</v>
      </c>
      <c r="J14" s="9" t="n">
        <f aca="false">IF(E14="higher",I14,-I14)</f>
        <v>-0.00619097522168399</v>
      </c>
      <c r="K14" s="9" t="n">
        <v>0</v>
      </c>
      <c r="L14" s="9" t="n">
        <v>-0.0379620457734572</v>
      </c>
      <c r="M14" s="9" t="n">
        <v>0.0228247230707158</v>
      </c>
      <c r="N14" s="7" t="n">
        <f aca="false">COUNTIFS('Paired Comparison'!$A:$A,$B14,'Paired Comparison'!$G:$G,$C14,'Paired Comparison'!$M:$M,"&gt;0")</f>
        <v>10</v>
      </c>
      <c r="O14" s="7" t="n">
        <f aca="false">COUNTIFS('Paired Comparison'!$A:$A,$B14,'Paired Comparison'!$G:$G,$C14,'Paired Comparison'!$M:$M,"&lt;0")</f>
        <v>12</v>
      </c>
    </row>
    <row r="15" customFormat="false" ht="15" hidden="false" customHeight="false" outlineLevel="0" collapsed="false">
      <c r="A15" s="7" t="s">
        <v>124</v>
      </c>
      <c r="B15" s="7" t="s">
        <v>48</v>
      </c>
      <c r="C15" s="7" t="s">
        <v>74</v>
      </c>
      <c r="D15" s="7" t="s">
        <v>75</v>
      </c>
      <c r="E15" s="7" t="s">
        <v>54</v>
      </c>
      <c r="F15" s="7" t="n">
        <f aca="false">COUNTIFS('Paired Comparison'!$A:$A,$B15,'Paired Comparison'!$G:$G,$C15)</f>
        <v>29</v>
      </c>
      <c r="G15" s="9" t="n">
        <f aca="false">AVERAGEIFS('Paired Comparison'!$J:$J,'Paired Comparison'!$A:$A,$B15,'Paired Comparison'!$G:$G,$C15)</f>
        <v>0.098770535482861</v>
      </c>
      <c r="H15" s="9" t="n">
        <f aca="false">AVERAGEIFS('Paired Comparison'!$K:$K,'Paired Comparison'!$A:$A,$B15,'Paired Comparison'!$G:$G,$C15)</f>
        <v>0.0964731214048286</v>
      </c>
      <c r="I15" s="9" t="n">
        <f aca="false">H15-G15</f>
        <v>-0.0022974140780324</v>
      </c>
      <c r="J15" s="9" t="n">
        <f aca="false">IF(E15="higher",I15,-I15)</f>
        <v>0.0022974140780324</v>
      </c>
      <c r="K15" s="9" t="n">
        <v>0</v>
      </c>
      <c r="L15" s="9" t="n">
        <v>-0.0424002310403173</v>
      </c>
      <c r="M15" s="9" t="n">
        <v>0.0369088557069383</v>
      </c>
      <c r="N15" s="7" t="n">
        <f aca="false">COUNTIFS('Paired Comparison'!$A:$A,$B15,'Paired Comparison'!$G:$G,$C15,'Paired Comparison'!$M:$M,"&gt;0")</f>
        <v>11</v>
      </c>
      <c r="O15" s="7" t="n">
        <f aca="false">COUNTIFS('Paired Comparison'!$A:$A,$B15,'Paired Comparison'!$G:$G,$C15,'Paired Comparison'!$M:$M,"&lt;0")</f>
        <v>6</v>
      </c>
    </row>
    <row r="16" customFormat="false" ht="15" hidden="false" customHeight="false" outlineLevel="0" collapsed="false">
      <c r="A16" s="7" t="s">
        <v>124</v>
      </c>
      <c r="B16" s="7" t="s">
        <v>48</v>
      </c>
      <c r="C16" s="7" t="s">
        <v>76</v>
      </c>
      <c r="D16" s="7" t="s">
        <v>77</v>
      </c>
      <c r="E16" s="7" t="s">
        <v>54</v>
      </c>
      <c r="F16" s="7" t="n">
        <f aca="false">COUNTIFS('Paired Comparison'!$A:$A,$B16,'Paired Comparison'!$G:$G,$C16)</f>
        <v>29</v>
      </c>
      <c r="G16" s="9" t="n">
        <f aca="false">AVERAGEIFS('Paired Comparison'!$J:$J,'Paired Comparison'!$A:$A,$B16,'Paired Comparison'!$G:$G,$C16)</f>
        <v>0.191883786220998</v>
      </c>
      <c r="H16" s="9" t="n">
        <f aca="false">AVERAGEIFS('Paired Comparison'!$K:$K,'Paired Comparison'!$A:$A,$B16,'Paired Comparison'!$G:$G,$C16)</f>
        <v>0.166221466168514</v>
      </c>
      <c r="I16" s="9" t="n">
        <f aca="false">H16-G16</f>
        <v>-0.0256623200524843</v>
      </c>
      <c r="J16" s="9" t="n">
        <f aca="false">IF(E16="higher",I16,-I16)</f>
        <v>0.0256623200524843</v>
      </c>
      <c r="K16" s="9" t="n">
        <v>0.0157894736842105</v>
      </c>
      <c r="L16" s="9" t="n">
        <v>-0.0115552067235308</v>
      </c>
      <c r="M16" s="9" t="n">
        <v>0.0626621527618451</v>
      </c>
      <c r="N16" s="7" t="n">
        <f aca="false">COUNTIFS('Paired Comparison'!$A:$A,$B16,'Paired Comparison'!$G:$G,$C16,'Paired Comparison'!$M:$M,"&gt;0")</f>
        <v>17</v>
      </c>
      <c r="O16" s="7" t="n">
        <f aca="false">COUNTIFS('Paired Comparison'!$A:$A,$B16,'Paired Comparison'!$G:$G,$C16,'Paired Comparison'!$M:$M,"&lt;0")</f>
        <v>8</v>
      </c>
    </row>
    <row r="17" customFormat="false" ht="15" hidden="false" customHeight="false" outlineLevel="0" collapsed="false">
      <c r="A17" s="7" t="s">
        <v>124</v>
      </c>
      <c r="B17" s="7" t="s">
        <v>48</v>
      </c>
      <c r="C17" s="7" t="s">
        <v>78</v>
      </c>
      <c r="D17" s="7" t="s">
        <v>79</v>
      </c>
      <c r="E17" s="7" t="s">
        <v>54</v>
      </c>
      <c r="F17" s="7" t="n">
        <f aca="false">COUNTIFS('Paired Comparison'!$A:$A,$B17,'Paired Comparison'!$G:$G,$C17)</f>
        <v>29</v>
      </c>
      <c r="G17" s="9" t="n">
        <f aca="false">AVERAGEIFS('Paired Comparison'!$J:$J,'Paired Comparison'!$A:$A,$B17,'Paired Comparison'!$G:$G,$C17)</f>
        <v>0.050366683364096</v>
      </c>
      <c r="H17" s="9" t="n">
        <f aca="false">AVERAGEIFS('Paired Comparison'!$K:$K,'Paired Comparison'!$A:$A,$B17,'Paired Comparison'!$G:$G,$C17)</f>
        <v>0.0156204243494102</v>
      </c>
      <c r="I17" s="9" t="n">
        <f aca="false">H17-G17</f>
        <v>-0.0347462590146858</v>
      </c>
      <c r="J17" s="9" t="n">
        <f aca="false">IF(E17="higher",I17,-I17)</f>
        <v>0.0347462590146858</v>
      </c>
      <c r="K17" s="9" t="n">
        <v>0</v>
      </c>
      <c r="L17" s="9" t="n">
        <v>0.00836796764125791</v>
      </c>
      <c r="M17" s="9" t="n">
        <v>0.0692745830973495</v>
      </c>
      <c r="N17" s="7" t="n">
        <f aca="false">COUNTIFS('Paired Comparison'!$A:$A,$B17,'Paired Comparison'!$G:$G,$C17,'Paired Comparison'!$M:$M,"&gt;0")</f>
        <v>9</v>
      </c>
      <c r="O17" s="7" t="n">
        <f aca="false">COUNTIFS('Paired Comparison'!$A:$A,$B17,'Paired Comparison'!$G:$G,$C17,'Paired Comparison'!$M:$M,"&lt;0")</f>
        <v>1</v>
      </c>
    </row>
    <row r="18" customFormat="false" ht="15" hidden="false" customHeight="false" outlineLevel="0" collapsed="false">
      <c r="A18" s="7" t="s">
        <v>124</v>
      </c>
      <c r="B18" s="7" t="s">
        <v>48</v>
      </c>
      <c r="C18" s="7" t="s">
        <v>80</v>
      </c>
      <c r="D18" s="7" t="s">
        <v>81</v>
      </c>
      <c r="E18" s="7" t="s">
        <v>54</v>
      </c>
      <c r="F18" s="7" t="n">
        <f aca="false">COUNTIFS('Paired Comparison'!$A:$A,$B18,'Paired Comparison'!$G:$G,$C18)</f>
        <v>29</v>
      </c>
      <c r="G18" s="9" t="n">
        <f aca="false">AVERAGEIFS('Paired Comparison'!$J:$J,'Paired Comparison'!$A:$A,$B18,'Paired Comparison'!$G:$G,$C18)</f>
        <v>0.0344827586206897</v>
      </c>
      <c r="H18" s="9" t="n">
        <f aca="false">AVERAGEIFS('Paired Comparison'!$K:$K,'Paired Comparison'!$A:$A,$B18,'Paired Comparison'!$G:$G,$C18)</f>
        <v>0.0344827586206897</v>
      </c>
      <c r="I18" s="9" t="n">
        <f aca="false">H18-G18</f>
        <v>0</v>
      </c>
      <c r="J18" s="9" t="n">
        <f aca="false">IF(E18="higher",I18,-I18)</f>
        <v>-0</v>
      </c>
      <c r="K18" s="9" t="n">
        <v>0</v>
      </c>
      <c r="L18" s="9" t="n">
        <v>0</v>
      </c>
      <c r="M18" s="9" t="n">
        <v>0</v>
      </c>
      <c r="N18" s="7" t="n">
        <f aca="false">COUNTIFS('Paired Comparison'!$A:$A,$B18,'Paired Comparison'!$G:$G,$C18,'Paired Comparison'!$M:$M,"&gt;0")</f>
        <v>0</v>
      </c>
      <c r="O18" s="7" t="n">
        <f aca="false">COUNTIFS('Paired Comparison'!$A:$A,$B18,'Paired Comparison'!$G:$G,$C18,'Paired Comparison'!$M:$M,"&lt;0")</f>
        <v>0</v>
      </c>
    </row>
    <row r="19" customFormat="false" ht="15" hidden="false" customHeight="false" outlineLevel="0" collapsed="false">
      <c r="A19" s="7" t="s">
        <v>124</v>
      </c>
      <c r="B19" s="7" t="s">
        <v>82</v>
      </c>
      <c r="C19" s="7" t="s">
        <v>52</v>
      </c>
      <c r="D19" s="7" t="s">
        <v>53</v>
      </c>
      <c r="E19" s="7" t="s">
        <v>54</v>
      </c>
      <c r="F19" s="7" t="n">
        <f aca="false">COUNTIFS('Paired Comparison'!$A:$A,$B19,'Paired Comparison'!$G:$G,$C19)</f>
        <v>29</v>
      </c>
      <c r="G19" s="9" t="n">
        <f aca="false">AVERAGEIFS('Paired Comparison'!$J:$J,'Paired Comparison'!$A:$A,$B19,'Paired Comparison'!$G:$G,$C19)</f>
        <v>4.08080609101496</v>
      </c>
      <c r="H19" s="9" t="n">
        <f aca="false">AVERAGEIFS('Paired Comparison'!$K:$K,'Paired Comparison'!$A:$A,$B19,'Paired Comparison'!$G:$G,$C19)</f>
        <v>3.60122830507988</v>
      </c>
      <c r="I19" s="9" t="n">
        <f aca="false">H19-G19</f>
        <v>-0.479577785935073</v>
      </c>
      <c r="J19" s="9" t="n">
        <f aca="false">IF(E19="higher",I19,-I19)</f>
        <v>0.479577785935073</v>
      </c>
      <c r="K19" s="9" t="n">
        <v>0.309347060678281</v>
      </c>
      <c r="L19" s="9" t="n">
        <v>0.208144456777255</v>
      </c>
      <c r="M19" s="9" t="n">
        <v>0.779324948283789</v>
      </c>
      <c r="N19" s="7" t="n">
        <f aca="false">COUNTIFS('Paired Comparison'!$A:$A,$B19,'Paired Comparison'!$G:$G,$C19,'Paired Comparison'!$M:$M,"&gt;0")</f>
        <v>22</v>
      </c>
      <c r="O19" s="7" t="n">
        <f aca="false">COUNTIFS('Paired Comparison'!$A:$A,$B19,'Paired Comparison'!$G:$G,$C19,'Paired Comparison'!$M:$M,"&lt;0")</f>
        <v>7</v>
      </c>
    </row>
    <row r="20" customFormat="false" ht="15" hidden="false" customHeight="false" outlineLevel="0" collapsed="false">
      <c r="A20" s="7" t="s">
        <v>124</v>
      </c>
      <c r="B20" s="7" t="s">
        <v>82</v>
      </c>
      <c r="C20" s="7" t="s">
        <v>55</v>
      </c>
      <c r="D20" s="7" t="s">
        <v>56</v>
      </c>
      <c r="E20" s="7" t="s">
        <v>54</v>
      </c>
      <c r="F20" s="7" t="n">
        <f aca="false">COUNTIFS('Paired Comparison'!$A:$A,$B20,'Paired Comparison'!$G:$G,$C20)</f>
        <v>29</v>
      </c>
      <c r="G20" s="9" t="n">
        <f aca="false">AVERAGEIFS('Paired Comparison'!$J:$J,'Paired Comparison'!$A:$A,$B20,'Paired Comparison'!$G:$G,$C20)</f>
        <v>10.4170365506827</v>
      </c>
      <c r="H20" s="9" t="n">
        <f aca="false">AVERAGEIFS('Paired Comparison'!$K:$K,'Paired Comparison'!$A:$A,$B20,'Paired Comparison'!$G:$G,$C20)</f>
        <v>9.95283465700667</v>
      </c>
      <c r="I20" s="9" t="n">
        <f aca="false">H20-G20</f>
        <v>-0.464201893676055</v>
      </c>
      <c r="J20" s="9" t="n">
        <f aca="false">IF(E20="higher",I20,-I20)</f>
        <v>0.464201893676055</v>
      </c>
      <c r="K20" s="9" t="n">
        <v>0.61766915368448</v>
      </c>
      <c r="L20" s="9" t="n">
        <v>0.123914297146538</v>
      </c>
      <c r="M20" s="9" t="n">
        <v>0.780842487845123</v>
      </c>
      <c r="N20" s="7" t="n">
        <f aca="false">COUNTIFS('Paired Comparison'!$A:$A,$B20,'Paired Comparison'!$G:$G,$C20,'Paired Comparison'!$M:$M,"&gt;0")</f>
        <v>20</v>
      </c>
      <c r="O20" s="7" t="n">
        <f aca="false">COUNTIFS('Paired Comparison'!$A:$A,$B20,'Paired Comparison'!$G:$G,$C20,'Paired Comparison'!$M:$M,"&lt;0")</f>
        <v>9</v>
      </c>
    </row>
    <row r="21" customFormat="false" ht="15" hidden="false" customHeight="false" outlineLevel="0" collapsed="false">
      <c r="A21" s="7" t="s">
        <v>124</v>
      </c>
      <c r="B21" s="7" t="s">
        <v>82</v>
      </c>
      <c r="C21" s="7" t="s">
        <v>57</v>
      </c>
      <c r="D21" s="7" t="s">
        <v>58</v>
      </c>
      <c r="E21" s="7" t="s">
        <v>54</v>
      </c>
      <c r="F21" s="7" t="n">
        <f aca="false">COUNTIFS('Paired Comparison'!$A:$A,$B21,'Paired Comparison'!$G:$G,$C21)</f>
        <v>29</v>
      </c>
      <c r="G21" s="9" t="n">
        <f aca="false">AVERAGEIFS('Paired Comparison'!$J:$J,'Paired Comparison'!$A:$A,$B21,'Paired Comparison'!$G:$G,$C21)</f>
        <v>10.2313695326142</v>
      </c>
      <c r="H21" s="9" t="n">
        <f aca="false">AVERAGEIFS('Paired Comparison'!$K:$K,'Paired Comparison'!$A:$A,$B21,'Paired Comparison'!$G:$G,$C21)</f>
        <v>5.1119079507236</v>
      </c>
      <c r="I21" s="9" t="n">
        <f aca="false">H21-G21</f>
        <v>-5.11946158189065</v>
      </c>
      <c r="J21" s="9" t="n">
        <f aca="false">IF(E21="higher",I21,-I21)</f>
        <v>5.11946158189065</v>
      </c>
      <c r="K21" s="9" t="n">
        <v>1.46087082410713</v>
      </c>
      <c r="L21" s="9" t="n">
        <v>2.81056873112451</v>
      </c>
      <c r="M21" s="9" t="n">
        <v>7.71505473740628</v>
      </c>
      <c r="N21" s="7" t="n">
        <f aca="false">COUNTIFS('Paired Comparison'!$A:$A,$B21,'Paired Comparison'!$G:$G,$C21,'Paired Comparison'!$M:$M,"&gt;0")</f>
        <v>23</v>
      </c>
      <c r="O21" s="7" t="n">
        <f aca="false">COUNTIFS('Paired Comparison'!$A:$A,$B21,'Paired Comparison'!$G:$G,$C21,'Paired Comparison'!$M:$M,"&lt;0")</f>
        <v>6</v>
      </c>
    </row>
    <row r="22" customFormat="false" ht="15" hidden="false" customHeight="false" outlineLevel="0" collapsed="false">
      <c r="A22" s="7" t="s">
        <v>124</v>
      </c>
      <c r="B22" s="7" t="s">
        <v>82</v>
      </c>
      <c r="C22" s="7" t="s">
        <v>59</v>
      </c>
      <c r="D22" s="7" t="s">
        <v>60</v>
      </c>
      <c r="E22" s="7" t="s">
        <v>54</v>
      </c>
      <c r="F22" s="7" t="n">
        <f aca="false">COUNTIFS('Paired Comparison'!$A:$A,$B22,'Paired Comparison'!$G:$G,$C22)</f>
        <v>29</v>
      </c>
      <c r="G22" s="9" t="n">
        <f aca="false">AVERAGEIFS('Paired Comparison'!$J:$J,'Paired Comparison'!$A:$A,$B22,'Paired Comparison'!$G:$G,$C22)</f>
        <v>0.104096401080472</v>
      </c>
      <c r="H22" s="9" t="n">
        <f aca="false">AVERAGEIFS('Paired Comparison'!$K:$K,'Paired Comparison'!$A:$A,$B22,'Paired Comparison'!$G:$G,$C22)</f>
        <v>0.100902990012362</v>
      </c>
      <c r="I22" s="9" t="n">
        <f aca="false">H22-G22</f>
        <v>-0.00319341106810958</v>
      </c>
      <c r="J22" s="9" t="n">
        <f aca="false">IF(E22="higher",I22,-I22)</f>
        <v>0.00319341106810958</v>
      </c>
      <c r="K22" s="9" t="n">
        <v>0.000918800767218987</v>
      </c>
      <c r="L22" s="9" t="n">
        <v>-0.00256356405390107</v>
      </c>
      <c r="M22" s="9" t="n">
        <v>0.00946327401599933</v>
      </c>
      <c r="N22" s="7" t="n">
        <f aca="false">COUNTIFS('Paired Comparison'!$A:$A,$B22,'Paired Comparison'!$G:$G,$C22,'Paired Comparison'!$M:$M,"&gt;0")</f>
        <v>17</v>
      </c>
      <c r="O22" s="7" t="n">
        <f aca="false">COUNTIFS('Paired Comparison'!$A:$A,$B22,'Paired Comparison'!$G:$G,$C22,'Paired Comparison'!$M:$M,"&lt;0")</f>
        <v>12</v>
      </c>
    </row>
    <row r="23" customFormat="false" ht="15" hidden="false" customHeight="false" outlineLevel="0" collapsed="false">
      <c r="A23" s="7" t="s">
        <v>124</v>
      </c>
      <c r="B23" s="7" t="s">
        <v>82</v>
      </c>
      <c r="C23" s="7" t="s">
        <v>61</v>
      </c>
      <c r="D23" s="7" t="s">
        <v>62</v>
      </c>
      <c r="E23" s="7" t="s">
        <v>54</v>
      </c>
      <c r="F23" s="7" t="n">
        <f aca="false">COUNTIFS('Paired Comparison'!$A:$A,$B23,'Paired Comparison'!$G:$G,$C23)</f>
        <v>29</v>
      </c>
      <c r="G23" s="9" t="n">
        <f aca="false">AVERAGEIFS('Paired Comparison'!$J:$J,'Paired Comparison'!$A:$A,$B23,'Paired Comparison'!$G:$G,$C23)</f>
        <v>34.4557083135503</v>
      </c>
      <c r="H23" s="9" t="n">
        <f aca="false">AVERAGEIFS('Paired Comparison'!$K:$K,'Paired Comparison'!$A:$A,$B23,'Paired Comparison'!$G:$G,$C23)</f>
        <v>34.464643269005</v>
      </c>
      <c r="I23" s="9" t="n">
        <f aca="false">H23-G23</f>
        <v>0.00893495545471268</v>
      </c>
      <c r="J23" s="9" t="n">
        <f aca="false">IF(E23="higher",I23,-I23)</f>
        <v>-0.00893495545471268</v>
      </c>
      <c r="K23" s="9" t="n">
        <v>1.16049309675982</v>
      </c>
      <c r="L23" s="9" t="n">
        <v>-1.4078952344225</v>
      </c>
      <c r="M23" s="9" t="n">
        <v>1.34598857203482</v>
      </c>
      <c r="N23" s="7" t="n">
        <f aca="false">COUNTIFS('Paired Comparison'!$A:$A,$B23,'Paired Comparison'!$G:$G,$C23,'Paired Comparison'!$M:$M,"&gt;0")</f>
        <v>16</v>
      </c>
      <c r="O23" s="7" t="n">
        <f aca="false">COUNTIFS('Paired Comparison'!$A:$A,$B23,'Paired Comparison'!$G:$G,$C23,'Paired Comparison'!$M:$M,"&lt;0")</f>
        <v>13</v>
      </c>
    </row>
    <row r="24" customFormat="false" ht="15" hidden="false" customHeight="false" outlineLevel="0" collapsed="false">
      <c r="A24" s="7" t="s">
        <v>124</v>
      </c>
      <c r="B24" s="7" t="s">
        <v>82</v>
      </c>
      <c r="C24" s="7" t="s">
        <v>63</v>
      </c>
      <c r="D24" s="7" t="s">
        <v>64</v>
      </c>
      <c r="E24" s="7" t="s">
        <v>54</v>
      </c>
      <c r="F24" s="7" t="n">
        <f aca="false">COUNTIFS('Paired Comparison'!$A:$A,$B24,'Paired Comparison'!$G:$G,$C24)</f>
        <v>29</v>
      </c>
      <c r="G24" s="9" t="n">
        <f aca="false">AVERAGEIFS('Paired Comparison'!$J:$J,'Paired Comparison'!$A:$A,$B24,'Paired Comparison'!$G:$G,$C24)</f>
        <v>14.4608893638668</v>
      </c>
      <c r="H24" s="9" t="n">
        <f aca="false">AVERAGEIFS('Paired Comparison'!$K:$K,'Paired Comparison'!$A:$A,$B24,'Paired Comparison'!$G:$G,$C24)</f>
        <v>13.7304439334252</v>
      </c>
      <c r="I24" s="9" t="n">
        <f aca="false">H24-G24</f>
        <v>-0.730445430441653</v>
      </c>
      <c r="J24" s="9" t="n">
        <f aca="false">IF(E24="higher",I24,-I24)</f>
        <v>0.730445430441653</v>
      </c>
      <c r="K24" s="9" t="n">
        <v>0.153017531341698</v>
      </c>
      <c r="L24" s="9" t="n">
        <v>-0.286762690745765</v>
      </c>
      <c r="M24" s="9" t="n">
        <v>1.97124573665161</v>
      </c>
      <c r="N24" s="7" t="n">
        <f aca="false">COUNTIFS('Paired Comparison'!$A:$A,$B24,'Paired Comparison'!$G:$G,$C24,'Paired Comparison'!$M:$M,"&gt;0")</f>
        <v>16</v>
      </c>
      <c r="O24" s="7" t="n">
        <f aca="false">COUNTIFS('Paired Comparison'!$A:$A,$B24,'Paired Comparison'!$G:$G,$C24,'Paired Comparison'!$M:$M,"&lt;0")</f>
        <v>13</v>
      </c>
    </row>
    <row r="25" customFormat="false" ht="15" hidden="false" customHeight="false" outlineLevel="0" collapsed="false">
      <c r="A25" s="7" t="s">
        <v>124</v>
      </c>
      <c r="B25" s="7" t="s">
        <v>82</v>
      </c>
      <c r="C25" s="7" t="s">
        <v>65</v>
      </c>
      <c r="D25" s="7" t="s">
        <v>66</v>
      </c>
      <c r="E25" s="7" t="s">
        <v>54</v>
      </c>
      <c r="F25" s="7" t="n">
        <f aca="false">COUNTIFS('Paired Comparison'!$A:$A,$B25,'Paired Comparison'!$G:$G,$C25)</f>
        <v>29</v>
      </c>
      <c r="G25" s="9" t="n">
        <f aca="false">AVERAGEIFS('Paired Comparison'!$J:$J,'Paired Comparison'!$A:$A,$B25,'Paired Comparison'!$G:$G,$C25)</f>
        <v>34.1065603330929</v>
      </c>
      <c r="H25" s="9" t="n">
        <f aca="false">AVERAGEIFS('Paired Comparison'!$K:$K,'Paired Comparison'!$A:$A,$B25,'Paired Comparison'!$G:$G,$C25)</f>
        <v>34.1494989745326</v>
      </c>
      <c r="I25" s="9" t="n">
        <f aca="false">H25-G25</f>
        <v>0.0429386414396618</v>
      </c>
      <c r="J25" s="9" t="n">
        <f aca="false">IF(E25="higher",I25,-I25)</f>
        <v>-0.0429386414396618</v>
      </c>
      <c r="K25" s="9" t="n">
        <v>0.0556888246358689</v>
      </c>
      <c r="L25" s="9" t="n">
        <v>-1.27308947696595</v>
      </c>
      <c r="M25" s="9" t="n">
        <v>1.15979689543263</v>
      </c>
      <c r="N25" s="7" t="n">
        <f aca="false">COUNTIFS('Paired Comparison'!$A:$A,$B25,'Paired Comparison'!$G:$G,$C25,'Paired Comparison'!$M:$M,"&gt;0")</f>
        <v>15</v>
      </c>
      <c r="O25" s="7" t="n">
        <f aca="false">COUNTIFS('Paired Comparison'!$A:$A,$B25,'Paired Comparison'!$G:$G,$C25,'Paired Comparison'!$M:$M,"&lt;0")</f>
        <v>14</v>
      </c>
    </row>
    <row r="26" customFormat="false" ht="15" hidden="false" customHeight="false" outlineLevel="0" collapsed="false">
      <c r="A26" s="7" t="s">
        <v>124</v>
      </c>
      <c r="B26" s="7" t="s">
        <v>82</v>
      </c>
      <c r="C26" s="7" t="s">
        <v>67</v>
      </c>
      <c r="D26" s="7" t="s">
        <v>68</v>
      </c>
      <c r="E26" s="7" t="s">
        <v>54</v>
      </c>
      <c r="F26" s="7" t="n">
        <f aca="false">COUNTIFS('Paired Comparison'!$A:$A,$B26,'Paired Comparison'!$G:$G,$C26)</f>
        <v>29</v>
      </c>
      <c r="G26" s="9" t="n">
        <f aca="false">AVERAGEIFS('Paired Comparison'!$J:$J,'Paired Comparison'!$A:$A,$B26,'Paired Comparison'!$G:$G,$C26)</f>
        <v>24.3364021474094</v>
      </c>
      <c r="H26" s="9" t="n">
        <f aca="false">AVERAGEIFS('Paired Comparison'!$K:$K,'Paired Comparison'!$A:$A,$B26,'Paired Comparison'!$G:$G,$C26)</f>
        <v>22.1008978509626</v>
      </c>
      <c r="I26" s="9" t="n">
        <f aca="false">H26-G26</f>
        <v>-2.23550429644684</v>
      </c>
      <c r="J26" s="9" t="n">
        <f aca="false">IF(E26="higher",I26,-I26)</f>
        <v>2.23550429644684</v>
      </c>
      <c r="K26" s="9" t="n">
        <v>0.982960866385994</v>
      </c>
      <c r="L26" s="9" t="n">
        <v>0.666543084267254</v>
      </c>
      <c r="M26" s="9" t="n">
        <v>3.87321999260109</v>
      </c>
      <c r="N26" s="7" t="n">
        <f aca="false">COUNTIFS('Paired Comparison'!$A:$A,$B26,'Paired Comparison'!$G:$G,$C26,'Paired Comparison'!$M:$M,"&gt;0")</f>
        <v>22</v>
      </c>
      <c r="O26" s="7" t="n">
        <f aca="false">COUNTIFS('Paired Comparison'!$A:$A,$B26,'Paired Comparison'!$G:$G,$C26,'Paired Comparison'!$M:$M,"&lt;0")</f>
        <v>7</v>
      </c>
    </row>
    <row r="27" customFormat="false" ht="15" hidden="false" customHeight="false" outlineLevel="0" collapsed="false">
      <c r="A27" s="7" t="s">
        <v>124</v>
      </c>
      <c r="B27" s="7" t="s">
        <v>82</v>
      </c>
      <c r="C27" s="7" t="s">
        <v>69</v>
      </c>
      <c r="D27" s="7" t="s">
        <v>70</v>
      </c>
      <c r="E27" s="7" t="s">
        <v>71</v>
      </c>
      <c r="F27" s="7" t="n">
        <f aca="false">COUNTIFS('Paired Comparison'!$A:$A,$B27,'Paired Comparison'!$G:$G,$C27)</f>
        <v>29</v>
      </c>
      <c r="G27" s="9" t="n">
        <f aca="false">AVERAGEIFS('Paired Comparison'!$J:$J,'Paired Comparison'!$A:$A,$B27,'Paired Comparison'!$G:$G,$C27)</f>
        <v>0.508406013913204</v>
      </c>
      <c r="H27" s="9" t="n">
        <f aca="false">AVERAGEIFS('Paired Comparison'!$K:$K,'Paired Comparison'!$A:$A,$B27,'Paired Comparison'!$G:$G,$C27)</f>
        <v>0.532648752813137</v>
      </c>
      <c r="I27" s="9" t="n">
        <f aca="false">H27-G27</f>
        <v>0.0242427388999328</v>
      </c>
      <c r="J27" s="9" t="n">
        <f aca="false">IF(E27="higher",I27,-I27)</f>
        <v>0.0242427388999328</v>
      </c>
      <c r="K27" s="9" t="n">
        <v>0</v>
      </c>
      <c r="L27" s="9" t="n">
        <v>-0.0251670393318764</v>
      </c>
      <c r="M27" s="9" t="n">
        <v>0.0748251935756514</v>
      </c>
      <c r="N27" s="7" t="n">
        <f aca="false">COUNTIFS('Paired Comparison'!$A:$A,$B27,'Paired Comparison'!$G:$G,$C27,'Paired Comparison'!$M:$M,"&gt;0")</f>
        <v>12</v>
      </c>
      <c r="O27" s="7" t="n">
        <f aca="false">COUNTIFS('Paired Comparison'!$A:$A,$B27,'Paired Comparison'!$G:$G,$C27,'Paired Comparison'!$M:$M,"&lt;0")</f>
        <v>14</v>
      </c>
    </row>
    <row r="28" customFormat="false" ht="15" hidden="false" customHeight="false" outlineLevel="0" collapsed="false">
      <c r="A28" s="7" t="s">
        <v>124</v>
      </c>
      <c r="B28" s="7" t="s">
        <v>82</v>
      </c>
      <c r="C28" s="7" t="s">
        <v>72</v>
      </c>
      <c r="D28" s="7" t="s">
        <v>73</v>
      </c>
      <c r="E28" s="7" t="s">
        <v>71</v>
      </c>
      <c r="F28" s="7" t="n">
        <f aca="false">COUNTIFS('Paired Comparison'!$A:$A,$B28,'Paired Comparison'!$G:$G,$C28)</f>
        <v>29</v>
      </c>
      <c r="G28" s="9" t="n">
        <f aca="false">AVERAGEIFS('Paired Comparison'!$J:$J,'Paired Comparison'!$A:$A,$B28,'Paired Comparison'!$G:$G,$C28)</f>
        <v>0.711754762137719</v>
      </c>
      <c r="H28" s="9" t="n">
        <f aca="false">AVERAGEIFS('Paired Comparison'!$K:$K,'Paired Comparison'!$A:$A,$B28,'Paired Comparison'!$G:$G,$C28)</f>
        <v>0.773259013449509</v>
      </c>
      <c r="I28" s="9" t="n">
        <f aca="false">H28-G28</f>
        <v>0.0615042513117893</v>
      </c>
      <c r="J28" s="9" t="n">
        <f aca="false">IF(E28="higher",I28,-I28)</f>
        <v>0.0615042513117893</v>
      </c>
      <c r="K28" s="9" t="n">
        <v>0.0158730158730158</v>
      </c>
      <c r="L28" s="9" t="n">
        <v>0.00922684498692368</v>
      </c>
      <c r="M28" s="9" t="n">
        <v>0.116774375662077</v>
      </c>
      <c r="N28" s="7" t="n">
        <f aca="false">COUNTIFS('Paired Comparison'!$A:$A,$B28,'Paired Comparison'!$G:$G,$C28,'Paired Comparison'!$M:$M,"&gt;0")</f>
        <v>17</v>
      </c>
      <c r="O28" s="7" t="n">
        <f aca="false">COUNTIFS('Paired Comparison'!$A:$A,$B28,'Paired Comparison'!$G:$G,$C28,'Paired Comparison'!$M:$M,"&lt;0")</f>
        <v>10</v>
      </c>
    </row>
    <row r="29" customFormat="false" ht="15" hidden="false" customHeight="false" outlineLevel="0" collapsed="false">
      <c r="A29" s="7" t="s">
        <v>124</v>
      </c>
      <c r="B29" s="7" t="s">
        <v>82</v>
      </c>
      <c r="C29" s="7" t="s">
        <v>74</v>
      </c>
      <c r="D29" s="7" t="s">
        <v>75</v>
      </c>
      <c r="E29" s="7" t="s">
        <v>54</v>
      </c>
      <c r="F29" s="7" t="n">
        <f aca="false">COUNTIFS('Paired Comparison'!$A:$A,$B29,'Paired Comparison'!$G:$G,$C29)</f>
        <v>29</v>
      </c>
      <c r="G29" s="9" t="n">
        <f aca="false">AVERAGEIFS('Paired Comparison'!$J:$J,'Paired Comparison'!$A:$A,$B29,'Paired Comparison'!$G:$G,$C29)</f>
        <v>0.111007529225871</v>
      </c>
      <c r="H29" s="9" t="n">
        <f aca="false">AVERAGEIFS('Paired Comparison'!$K:$K,'Paired Comparison'!$A:$A,$B29,'Paired Comparison'!$G:$G,$C29)</f>
        <v>0.0964731214048286</v>
      </c>
      <c r="I29" s="9" t="n">
        <f aca="false">H29-G29</f>
        <v>-0.0145344078210426</v>
      </c>
      <c r="J29" s="9" t="n">
        <f aca="false">IF(E29="higher",I29,-I29)</f>
        <v>0.0145344078210426</v>
      </c>
      <c r="K29" s="9" t="n">
        <v>0.0256410256410256</v>
      </c>
      <c r="L29" s="9" t="n">
        <v>-0.0377223324321449</v>
      </c>
      <c r="M29" s="9" t="n">
        <v>0.0662068804228423</v>
      </c>
      <c r="N29" s="7" t="n">
        <f aca="false">COUNTIFS('Paired Comparison'!$A:$A,$B29,'Paired Comparison'!$G:$G,$C29,'Paired Comparison'!$M:$M,"&gt;0")</f>
        <v>15</v>
      </c>
      <c r="O29" s="7" t="n">
        <f aca="false">COUNTIFS('Paired Comparison'!$A:$A,$B29,'Paired Comparison'!$G:$G,$C29,'Paired Comparison'!$M:$M,"&lt;0")</f>
        <v>8</v>
      </c>
    </row>
    <row r="30" customFormat="false" ht="15" hidden="false" customHeight="false" outlineLevel="0" collapsed="false">
      <c r="A30" s="7" t="s">
        <v>124</v>
      </c>
      <c r="B30" s="7" t="s">
        <v>82</v>
      </c>
      <c r="C30" s="7" t="s">
        <v>76</v>
      </c>
      <c r="D30" s="7" t="s">
        <v>77</v>
      </c>
      <c r="E30" s="7" t="s">
        <v>54</v>
      </c>
      <c r="F30" s="7" t="n">
        <f aca="false">COUNTIFS('Paired Comparison'!$A:$A,$B30,'Paired Comparison'!$G:$G,$C30)</f>
        <v>29</v>
      </c>
      <c r="G30" s="9" t="n">
        <f aca="false">AVERAGEIFS('Paired Comparison'!$J:$J,'Paired Comparison'!$A:$A,$B30,'Paired Comparison'!$G:$G,$C30)</f>
        <v>0.132755561958367</v>
      </c>
      <c r="H30" s="9" t="n">
        <f aca="false">AVERAGEIFS('Paired Comparison'!$K:$K,'Paired Comparison'!$A:$A,$B30,'Paired Comparison'!$G:$G,$C30)</f>
        <v>0.166221466168514</v>
      </c>
      <c r="I30" s="9" t="n">
        <f aca="false">H30-G30</f>
        <v>0.0334659042101464</v>
      </c>
      <c r="J30" s="9" t="n">
        <f aca="false">IF(E30="higher",I30,-I30)</f>
        <v>-0.0334659042101464</v>
      </c>
      <c r="K30" s="9" t="n">
        <v>-0.0254777070063694</v>
      </c>
      <c r="L30" s="9" t="n">
        <v>-0.0745180617088364</v>
      </c>
      <c r="M30" s="9" t="n">
        <v>0.00937012637586581</v>
      </c>
      <c r="N30" s="7" t="n">
        <f aca="false">COUNTIFS('Paired Comparison'!$A:$A,$B30,'Paired Comparison'!$G:$G,$C30,'Paired Comparison'!$M:$M,"&gt;0")</f>
        <v>8</v>
      </c>
      <c r="O30" s="7" t="n">
        <f aca="false">COUNTIFS('Paired Comparison'!$A:$A,$B30,'Paired Comparison'!$G:$G,$C30,'Paired Comparison'!$M:$M,"&lt;0")</f>
        <v>18</v>
      </c>
    </row>
    <row r="31" customFormat="false" ht="15" hidden="false" customHeight="false" outlineLevel="0" collapsed="false">
      <c r="A31" s="7" t="s">
        <v>124</v>
      </c>
      <c r="B31" s="7" t="s">
        <v>82</v>
      </c>
      <c r="C31" s="7" t="s">
        <v>78</v>
      </c>
      <c r="D31" s="7" t="s">
        <v>79</v>
      </c>
      <c r="E31" s="7" t="s">
        <v>54</v>
      </c>
      <c r="F31" s="7" t="n">
        <f aca="false">COUNTIFS('Paired Comparison'!$A:$A,$B31,'Paired Comparison'!$G:$G,$C31)</f>
        <v>29</v>
      </c>
      <c r="G31" s="9" t="n">
        <f aca="false">AVERAGEIFS('Paired Comparison'!$J:$J,'Paired Comparison'!$A:$A,$B31,'Paired Comparison'!$G:$G,$C31)</f>
        <v>0.0253952139895574</v>
      </c>
      <c r="H31" s="9" t="n">
        <f aca="false">AVERAGEIFS('Paired Comparison'!$K:$K,'Paired Comparison'!$A:$A,$B31,'Paired Comparison'!$G:$G,$C31)</f>
        <v>0.0156204243494102</v>
      </c>
      <c r="I31" s="9" t="n">
        <f aca="false">H31-G31</f>
        <v>-0.00977478964014716</v>
      </c>
      <c r="J31" s="9" t="n">
        <f aca="false">IF(E31="higher",I31,-I31)</f>
        <v>0.00977478964014716</v>
      </c>
      <c r="K31" s="9" t="n">
        <v>0</v>
      </c>
      <c r="L31" s="9" t="n">
        <v>-0.00298748739727034</v>
      </c>
      <c r="M31" s="9" t="n">
        <v>0.0242431957430489</v>
      </c>
      <c r="N31" s="7" t="n">
        <f aca="false">COUNTIFS('Paired Comparison'!$A:$A,$B31,'Paired Comparison'!$G:$G,$C31,'Paired Comparison'!$M:$M,"&gt;0")</f>
        <v>7</v>
      </c>
      <c r="O31" s="7" t="n">
        <f aca="false">COUNTIFS('Paired Comparison'!$A:$A,$B31,'Paired Comparison'!$G:$G,$C31,'Paired Comparison'!$M:$M,"&lt;0")</f>
        <v>3</v>
      </c>
    </row>
    <row r="32" customFormat="false" ht="15" hidden="false" customHeight="false" outlineLevel="0" collapsed="false">
      <c r="A32" s="7" t="s">
        <v>124</v>
      </c>
      <c r="B32" s="7" t="s">
        <v>82</v>
      </c>
      <c r="C32" s="7" t="s">
        <v>80</v>
      </c>
      <c r="D32" s="7" t="s">
        <v>81</v>
      </c>
      <c r="E32" s="7" t="s">
        <v>54</v>
      </c>
      <c r="F32" s="7" t="n">
        <f aca="false">COUNTIFS('Paired Comparison'!$A:$A,$B32,'Paired Comparison'!$G:$G,$C32)</f>
        <v>29</v>
      </c>
      <c r="G32" s="9" t="n">
        <f aca="false">AVERAGEIFS('Paired Comparison'!$J:$J,'Paired Comparison'!$A:$A,$B32,'Paired Comparison'!$G:$G,$C32)</f>
        <v>0.0344827586206897</v>
      </c>
      <c r="H32" s="9" t="n">
        <f aca="false">AVERAGEIFS('Paired Comparison'!$K:$K,'Paired Comparison'!$A:$A,$B32,'Paired Comparison'!$G:$G,$C32)</f>
        <v>0.0344827586206897</v>
      </c>
      <c r="I32" s="9" t="n">
        <f aca="false">H32-G32</f>
        <v>0</v>
      </c>
      <c r="J32" s="9" t="n">
        <f aca="false">IF(E32="higher",I32,-I32)</f>
        <v>-0</v>
      </c>
      <c r="K32" s="9" t="n">
        <v>0</v>
      </c>
      <c r="L32" s="9" t="n">
        <v>0</v>
      </c>
      <c r="M32" s="9" t="n">
        <v>0</v>
      </c>
      <c r="N32" s="7" t="n">
        <f aca="false">COUNTIFS('Paired Comparison'!$A:$A,$B32,'Paired Comparison'!$G:$G,$C32,'Paired Comparison'!$M:$M,"&gt;0")</f>
        <v>0</v>
      </c>
      <c r="O32" s="7" t="n">
        <f aca="false">COUNTIFS('Paired Comparison'!$A:$A,$B32,'Paired Comparison'!$G:$G,$C32,'Paired Comparison'!$M:$M,"&lt;0")</f>
        <v>0</v>
      </c>
    </row>
    <row r="33" customFormat="false" ht="15" hidden="false" customHeight="false" outlineLevel="0" collapsed="false">
      <c r="A33" s="7" t="s">
        <v>125</v>
      </c>
      <c r="B33" s="7" t="s">
        <v>48</v>
      </c>
      <c r="C33" s="7" t="s">
        <v>52</v>
      </c>
      <c r="D33" s="7" t="s">
        <v>53</v>
      </c>
      <c r="E33" s="7" t="s">
        <v>54</v>
      </c>
      <c r="F33" s="7" t="n">
        <f aca="false">COUNTIFS('Paired Comparison'!$A:$A,$B33,'Paired Comparison'!$G:$G,$C33,'Paired Comparison'!$E:$E,"box001")</f>
        <v>21</v>
      </c>
      <c r="G33" s="9" t="n">
        <f aca="false">AVERAGEIFS('Paired Comparison'!$J:$J,'Paired Comparison'!$A:$A,$B33,'Paired Comparison'!$G:$G,$C33,'Paired Comparison'!$E:$E,"box001")</f>
        <v>4.74034061572001</v>
      </c>
      <c r="H33" s="9" t="n">
        <f aca="false">AVERAGEIFS('Paired Comparison'!$K:$K,'Paired Comparison'!$A:$A,$B33,'Paired Comparison'!$G:$G,$C33,'Paired Comparison'!$E:$E,"box001")</f>
        <v>3.08200002685734</v>
      </c>
      <c r="I33" s="9" t="n">
        <f aca="false">H33-G33</f>
        <v>-1.65834058886267</v>
      </c>
      <c r="J33" s="9" t="n">
        <f aca="false">IF(E33="higher",I33,-I33)</f>
        <v>1.65834058886267</v>
      </c>
      <c r="K33" s="9" t="n">
        <v>1.69874563942078</v>
      </c>
      <c r="L33" s="9" t="n">
        <v>1.30300069631141</v>
      </c>
      <c r="M33" s="9" t="n">
        <v>2.01885037183924</v>
      </c>
      <c r="N33" s="7" t="n">
        <f aca="false">COUNTIFS('Paired Comparison'!$A:$A,$B33,'Paired Comparison'!$G:$G,$C33,'Paired Comparison'!$E:$E,"box001",'Paired Comparison'!$M:$M,"&gt;0")</f>
        <v>21</v>
      </c>
      <c r="O33" s="7" t="n">
        <f aca="false">COUNTIFS('Paired Comparison'!$A:$A,$B33,'Paired Comparison'!$G:$G,$C33,'Paired Comparison'!$E:$E,"box001",'Paired Comparison'!$M:$M,"&lt;0")</f>
        <v>0</v>
      </c>
    </row>
    <row r="34" customFormat="false" ht="15" hidden="false" customHeight="false" outlineLevel="0" collapsed="false">
      <c r="A34" s="7" t="s">
        <v>125</v>
      </c>
      <c r="B34" s="7" t="s">
        <v>48</v>
      </c>
      <c r="C34" s="7" t="s">
        <v>55</v>
      </c>
      <c r="D34" s="7" t="s">
        <v>56</v>
      </c>
      <c r="E34" s="7" t="s">
        <v>54</v>
      </c>
      <c r="F34" s="7" t="n">
        <f aca="false">COUNTIFS('Paired Comparison'!$A:$A,$B34,'Paired Comparison'!$G:$G,$C34,'Paired Comparison'!$E:$E,"box001")</f>
        <v>21</v>
      </c>
      <c r="G34" s="9" t="n">
        <f aca="false">AVERAGEIFS('Paired Comparison'!$J:$J,'Paired Comparison'!$A:$A,$B34,'Paired Comparison'!$G:$G,$C34,'Paired Comparison'!$E:$E,"box001")</f>
        <v>10.8783542865428</v>
      </c>
      <c r="H34" s="9" t="n">
        <f aca="false">AVERAGEIFS('Paired Comparison'!$K:$K,'Paired Comparison'!$A:$A,$B34,'Paired Comparison'!$G:$G,$C34,'Paired Comparison'!$E:$E,"box001")</f>
        <v>9.26734815647422</v>
      </c>
      <c r="I34" s="9" t="n">
        <f aca="false">H34-G34</f>
        <v>-1.61100613006857</v>
      </c>
      <c r="J34" s="9" t="n">
        <f aca="false">IF(E34="higher",I34,-I34)</f>
        <v>1.61100613006857</v>
      </c>
      <c r="K34" s="9" t="n">
        <v>1.35809384160491</v>
      </c>
      <c r="L34" s="9" t="n">
        <v>0.858758577380339</v>
      </c>
      <c r="M34" s="9" t="n">
        <v>2.43143819476441</v>
      </c>
      <c r="N34" s="7" t="n">
        <f aca="false">COUNTIFS('Paired Comparison'!$A:$A,$B34,'Paired Comparison'!$G:$G,$C34,'Paired Comparison'!$E:$E,"box001",'Paired Comparison'!$M:$M,"&gt;0")</f>
        <v>16</v>
      </c>
      <c r="O34" s="7" t="n">
        <f aca="false">COUNTIFS('Paired Comparison'!$A:$A,$B34,'Paired Comparison'!$G:$G,$C34,'Paired Comparison'!$E:$E,"box001",'Paired Comparison'!$M:$M,"&lt;0")</f>
        <v>5</v>
      </c>
    </row>
    <row r="35" customFormat="false" ht="15" hidden="false" customHeight="false" outlineLevel="0" collapsed="false">
      <c r="A35" s="7" t="s">
        <v>125</v>
      </c>
      <c r="B35" s="7" t="s">
        <v>48</v>
      </c>
      <c r="C35" s="7" t="s">
        <v>57</v>
      </c>
      <c r="D35" s="7" t="s">
        <v>58</v>
      </c>
      <c r="E35" s="7" t="s">
        <v>54</v>
      </c>
      <c r="F35" s="7" t="n">
        <f aca="false">COUNTIFS('Paired Comparison'!$A:$A,$B35,'Paired Comparison'!$G:$G,$C35,'Paired Comparison'!$E:$E,"box001")</f>
        <v>21</v>
      </c>
      <c r="G35" s="9" t="n">
        <f aca="false">AVERAGEIFS('Paired Comparison'!$J:$J,'Paired Comparison'!$A:$A,$B35,'Paired Comparison'!$G:$G,$C35,'Paired Comparison'!$E:$E,"box001")</f>
        <v>6.04586908286534</v>
      </c>
      <c r="H35" s="9" t="n">
        <f aca="false">AVERAGEIFS('Paired Comparison'!$K:$K,'Paired Comparison'!$A:$A,$B35,'Paired Comparison'!$G:$G,$C35,'Paired Comparison'!$E:$E,"box001")</f>
        <v>5.19851263825701</v>
      </c>
      <c r="I35" s="9" t="n">
        <f aca="false">H35-G35</f>
        <v>-0.847356444608328</v>
      </c>
      <c r="J35" s="9" t="n">
        <f aca="false">IF(E35="higher",I35,-I35)</f>
        <v>0.847356444608328</v>
      </c>
      <c r="K35" s="9" t="n">
        <v>0.679472540440727</v>
      </c>
      <c r="L35" s="9" t="n">
        <v>0.281309225900684</v>
      </c>
      <c r="M35" s="9" t="n">
        <v>1.40794971616653</v>
      </c>
      <c r="N35" s="7" t="n">
        <f aca="false">COUNTIFS('Paired Comparison'!$A:$A,$B35,'Paired Comparison'!$G:$G,$C35,'Paired Comparison'!$E:$E,"box001",'Paired Comparison'!$M:$M,"&gt;0")</f>
        <v>16</v>
      </c>
      <c r="O35" s="7" t="n">
        <f aca="false">COUNTIFS('Paired Comparison'!$A:$A,$B35,'Paired Comparison'!$G:$G,$C35,'Paired Comparison'!$E:$E,"box001",'Paired Comparison'!$M:$M,"&lt;0")</f>
        <v>5</v>
      </c>
    </row>
    <row r="36" customFormat="false" ht="15" hidden="false" customHeight="false" outlineLevel="0" collapsed="false">
      <c r="A36" s="7" t="s">
        <v>125</v>
      </c>
      <c r="B36" s="7" t="s">
        <v>48</v>
      </c>
      <c r="C36" s="7" t="s">
        <v>59</v>
      </c>
      <c r="D36" s="7" t="s">
        <v>60</v>
      </c>
      <c r="E36" s="7" t="s">
        <v>54</v>
      </c>
      <c r="F36" s="7" t="n">
        <f aca="false">COUNTIFS('Paired Comparison'!$A:$A,$B36,'Paired Comparison'!$G:$G,$C36,'Paired Comparison'!$E:$E,"box001")</f>
        <v>21</v>
      </c>
      <c r="G36" s="9" t="n">
        <f aca="false">AVERAGEIFS('Paired Comparison'!$J:$J,'Paired Comparison'!$A:$A,$B36,'Paired Comparison'!$G:$G,$C36,'Paired Comparison'!$E:$E,"box001")</f>
        <v>0.100867135724462</v>
      </c>
      <c r="H36" s="9" t="n">
        <f aca="false">AVERAGEIFS('Paired Comparison'!$K:$K,'Paired Comparison'!$A:$A,$B36,'Paired Comparison'!$G:$G,$C36,'Paired Comparison'!$E:$E,"box001")</f>
        <v>0.0877650807145656</v>
      </c>
      <c r="I36" s="9" t="n">
        <f aca="false">H36-G36</f>
        <v>-0.0131020550098965</v>
      </c>
      <c r="J36" s="9" t="n">
        <f aca="false">IF(E36="higher",I36,-I36)</f>
        <v>0.0131020550098965</v>
      </c>
      <c r="K36" s="9" t="n">
        <v>0.0116356633848816</v>
      </c>
      <c r="L36" s="9" t="n">
        <v>0.00732740055975261</v>
      </c>
      <c r="M36" s="9" t="n">
        <v>0.0189484612303531</v>
      </c>
      <c r="N36" s="7" t="n">
        <f aca="false">COUNTIFS('Paired Comparison'!$A:$A,$B36,'Paired Comparison'!$G:$G,$C36,'Paired Comparison'!$E:$E,"box001",'Paired Comparison'!$M:$M,"&gt;0")</f>
        <v>17</v>
      </c>
      <c r="O36" s="7" t="n">
        <f aca="false">COUNTIFS('Paired Comparison'!$A:$A,$B36,'Paired Comparison'!$G:$G,$C36,'Paired Comparison'!$E:$E,"box001",'Paired Comparison'!$M:$M,"&lt;0")</f>
        <v>4</v>
      </c>
    </row>
    <row r="37" customFormat="false" ht="15" hidden="false" customHeight="false" outlineLevel="0" collapsed="false">
      <c r="A37" s="7" t="s">
        <v>125</v>
      </c>
      <c r="B37" s="7" t="s">
        <v>48</v>
      </c>
      <c r="C37" s="7" t="s">
        <v>61</v>
      </c>
      <c r="D37" s="7" t="s">
        <v>62</v>
      </c>
      <c r="E37" s="7" t="s">
        <v>54</v>
      </c>
      <c r="F37" s="7" t="n">
        <f aca="false">COUNTIFS('Paired Comparison'!$A:$A,$B37,'Paired Comparison'!$G:$G,$C37,'Paired Comparison'!$E:$E,"box001")</f>
        <v>21</v>
      </c>
      <c r="G37" s="9" t="n">
        <f aca="false">AVERAGEIFS('Paired Comparison'!$J:$J,'Paired Comparison'!$A:$A,$B37,'Paired Comparison'!$G:$G,$C37,'Paired Comparison'!$E:$E,"box001")</f>
        <v>42.2611268244031</v>
      </c>
      <c r="H37" s="9" t="n">
        <f aca="false">AVERAGEIFS('Paired Comparison'!$K:$K,'Paired Comparison'!$A:$A,$B37,'Paired Comparison'!$G:$G,$C37,'Paired Comparison'!$E:$E,"box001")</f>
        <v>41.2150186330943</v>
      </c>
      <c r="I37" s="9" t="n">
        <f aca="false">H37-G37</f>
        <v>-1.04610819130889</v>
      </c>
      <c r="J37" s="9" t="n">
        <f aca="false">IF(E37="higher",I37,-I37)</f>
        <v>1.04610819130889</v>
      </c>
      <c r="K37" s="9" t="n">
        <v>-0.931725913275233</v>
      </c>
      <c r="L37" s="9" t="n">
        <v>-1.43465393868595</v>
      </c>
      <c r="M37" s="9" t="n">
        <v>4.41887632222143</v>
      </c>
      <c r="N37" s="7" t="n">
        <f aca="false">COUNTIFS('Paired Comparison'!$A:$A,$B37,'Paired Comparison'!$G:$G,$C37,'Paired Comparison'!$E:$E,"box001",'Paired Comparison'!$M:$M,"&gt;0")</f>
        <v>10</v>
      </c>
      <c r="O37" s="7" t="n">
        <f aca="false">COUNTIFS('Paired Comparison'!$A:$A,$B37,'Paired Comparison'!$G:$G,$C37,'Paired Comparison'!$E:$E,"box001",'Paired Comparison'!$M:$M,"&lt;0")</f>
        <v>11</v>
      </c>
    </row>
    <row r="38" customFormat="false" ht="15" hidden="false" customHeight="false" outlineLevel="0" collapsed="false">
      <c r="A38" s="7" t="s">
        <v>125</v>
      </c>
      <c r="B38" s="7" t="s">
        <v>48</v>
      </c>
      <c r="C38" s="7" t="s">
        <v>63</v>
      </c>
      <c r="D38" s="7" t="s">
        <v>64</v>
      </c>
      <c r="E38" s="7" t="s">
        <v>54</v>
      </c>
      <c r="F38" s="7" t="n">
        <f aca="false">COUNTIFS('Paired Comparison'!$A:$A,$B38,'Paired Comparison'!$G:$G,$C38,'Paired Comparison'!$E:$E,"box001")</f>
        <v>21</v>
      </c>
      <c r="G38" s="9" t="n">
        <f aca="false">AVERAGEIFS('Paired Comparison'!$J:$J,'Paired Comparison'!$A:$A,$B38,'Paired Comparison'!$G:$G,$C38,'Paired Comparison'!$E:$E,"box001")</f>
        <v>15.3603062827411</v>
      </c>
      <c r="H38" s="9" t="n">
        <f aca="false">AVERAGEIFS('Paired Comparison'!$K:$K,'Paired Comparison'!$A:$A,$B38,'Paired Comparison'!$G:$G,$C38,'Paired Comparison'!$E:$E,"box001")</f>
        <v>14.4105290986934</v>
      </c>
      <c r="I38" s="9" t="n">
        <f aca="false">H38-G38</f>
        <v>-0.949777184047717</v>
      </c>
      <c r="J38" s="9" t="n">
        <f aca="false">IF(E38="higher",I38,-I38)</f>
        <v>0.949777184047717</v>
      </c>
      <c r="K38" s="9" t="n">
        <v>0.291053419055237</v>
      </c>
      <c r="L38" s="9" t="n">
        <v>-0.261541675369391</v>
      </c>
      <c r="M38" s="9" t="n">
        <v>2.35474196827176</v>
      </c>
      <c r="N38" s="7" t="n">
        <f aca="false">COUNTIFS('Paired Comparison'!$A:$A,$B38,'Paired Comparison'!$G:$G,$C38,'Paired Comparison'!$E:$E,"box001",'Paired Comparison'!$M:$M,"&gt;0")</f>
        <v>13</v>
      </c>
      <c r="O38" s="7" t="n">
        <f aca="false">COUNTIFS('Paired Comparison'!$A:$A,$B38,'Paired Comparison'!$G:$G,$C38,'Paired Comparison'!$E:$E,"box001",'Paired Comparison'!$M:$M,"&lt;0")</f>
        <v>8</v>
      </c>
    </row>
    <row r="39" customFormat="false" ht="15" hidden="false" customHeight="false" outlineLevel="0" collapsed="false">
      <c r="A39" s="7" t="s">
        <v>125</v>
      </c>
      <c r="B39" s="7" t="s">
        <v>48</v>
      </c>
      <c r="C39" s="7" t="s">
        <v>65</v>
      </c>
      <c r="D39" s="7" t="s">
        <v>66</v>
      </c>
      <c r="E39" s="7" t="s">
        <v>54</v>
      </c>
      <c r="F39" s="7" t="n">
        <f aca="false">COUNTIFS('Paired Comparison'!$A:$A,$B39,'Paired Comparison'!$G:$G,$C39,'Paired Comparison'!$E:$E,"box001")</f>
        <v>21</v>
      </c>
      <c r="G39" s="9" t="n">
        <f aca="false">AVERAGEIFS('Paired Comparison'!$J:$J,'Paired Comparison'!$A:$A,$B39,'Paired Comparison'!$G:$G,$C39,'Paired Comparison'!$E:$E,"box001")</f>
        <v>42.8245917807819</v>
      </c>
      <c r="H39" s="9" t="n">
        <f aca="false">AVERAGEIFS('Paired Comparison'!$K:$K,'Paired Comparison'!$A:$A,$B39,'Paired Comparison'!$G:$G,$C39,'Paired Comparison'!$E:$E,"box001")</f>
        <v>41.3192809384707</v>
      </c>
      <c r="I39" s="9" t="n">
        <f aca="false">H39-G39</f>
        <v>-1.50531084231118</v>
      </c>
      <c r="J39" s="9" t="n">
        <f aca="false">IF(E39="higher",I39,-I39)</f>
        <v>1.50531084231118</v>
      </c>
      <c r="K39" s="9" t="n">
        <v>-0.789866635952812</v>
      </c>
      <c r="L39" s="9" t="n">
        <v>-0.801181818257878</v>
      </c>
      <c r="M39" s="9" t="n">
        <v>4.55660581355062</v>
      </c>
      <c r="N39" s="7" t="n">
        <f aca="false">COUNTIFS('Paired Comparison'!$A:$A,$B39,'Paired Comparison'!$G:$G,$C39,'Paired Comparison'!$E:$E,"box001",'Paired Comparison'!$M:$M,"&gt;0")</f>
        <v>10</v>
      </c>
      <c r="O39" s="7" t="n">
        <f aca="false">COUNTIFS('Paired Comparison'!$A:$A,$B39,'Paired Comparison'!$G:$G,$C39,'Paired Comparison'!$E:$E,"box001",'Paired Comparison'!$M:$M,"&lt;0")</f>
        <v>11</v>
      </c>
    </row>
    <row r="40" customFormat="false" ht="15" hidden="false" customHeight="false" outlineLevel="0" collapsed="false">
      <c r="A40" s="7" t="s">
        <v>125</v>
      </c>
      <c r="B40" s="7" t="s">
        <v>48</v>
      </c>
      <c r="C40" s="7" t="s">
        <v>67</v>
      </c>
      <c r="D40" s="7" t="s">
        <v>68</v>
      </c>
      <c r="E40" s="7" t="s">
        <v>54</v>
      </c>
      <c r="F40" s="7" t="n">
        <f aca="false">COUNTIFS('Paired Comparison'!$A:$A,$B40,'Paired Comparison'!$G:$G,$C40,'Paired Comparison'!$E:$E,"box001")</f>
        <v>21</v>
      </c>
      <c r="G40" s="9" t="n">
        <f aca="false">AVERAGEIFS('Paired Comparison'!$J:$J,'Paired Comparison'!$A:$A,$B40,'Paired Comparison'!$G:$G,$C40,'Paired Comparison'!$E:$E,"box001")</f>
        <v>23.6820209213478</v>
      </c>
      <c r="H40" s="9" t="n">
        <f aca="false">AVERAGEIFS('Paired Comparison'!$K:$K,'Paired Comparison'!$A:$A,$B40,'Paired Comparison'!$G:$G,$C40,'Paired Comparison'!$E:$E,"box001")</f>
        <v>23.0625304793437</v>
      </c>
      <c r="I40" s="9" t="n">
        <f aca="false">H40-G40</f>
        <v>-0.619490442004075</v>
      </c>
      <c r="J40" s="9" t="n">
        <f aca="false">IF(E40="higher",I40,-I40)</f>
        <v>0.619490442004075</v>
      </c>
      <c r="K40" s="9" t="n">
        <v>0.0971424418942668</v>
      </c>
      <c r="L40" s="9" t="n">
        <v>-0.582707090812268</v>
      </c>
      <c r="M40" s="9" t="n">
        <v>1.89386451215973</v>
      </c>
      <c r="N40" s="7" t="n">
        <f aca="false">COUNTIFS('Paired Comparison'!$A:$A,$B40,'Paired Comparison'!$G:$G,$C40,'Paired Comparison'!$E:$E,"box001",'Paired Comparison'!$M:$M,"&gt;0")</f>
        <v>13</v>
      </c>
      <c r="O40" s="7" t="n">
        <f aca="false">COUNTIFS('Paired Comparison'!$A:$A,$B40,'Paired Comparison'!$G:$G,$C40,'Paired Comparison'!$E:$E,"box001",'Paired Comparison'!$M:$M,"&lt;0")</f>
        <v>8</v>
      </c>
    </row>
    <row r="41" customFormat="false" ht="15" hidden="false" customHeight="false" outlineLevel="0" collapsed="false">
      <c r="A41" s="7" t="s">
        <v>125</v>
      </c>
      <c r="B41" s="7" t="s">
        <v>48</v>
      </c>
      <c r="C41" s="7" t="s">
        <v>69</v>
      </c>
      <c r="D41" s="7" t="s">
        <v>70</v>
      </c>
      <c r="E41" s="7" t="s">
        <v>71</v>
      </c>
      <c r="F41" s="7" t="n">
        <f aca="false">COUNTIFS('Paired Comparison'!$A:$A,$B41,'Paired Comparison'!$G:$G,$C41,'Paired Comparison'!$E:$E,"box001")</f>
        <v>21</v>
      </c>
      <c r="G41" s="9" t="n">
        <f aca="false">AVERAGEIFS('Paired Comparison'!$J:$J,'Paired Comparison'!$A:$A,$B41,'Paired Comparison'!$G:$G,$C41,'Paired Comparison'!$E:$E,"box001")</f>
        <v>0.49068670360142</v>
      </c>
      <c r="H41" s="9" t="n">
        <f aca="false">AVERAGEIFS('Paired Comparison'!$K:$K,'Paired Comparison'!$A:$A,$B41,'Paired Comparison'!$G:$G,$C41,'Paired Comparison'!$E:$E,"box001")</f>
        <v>0.544670140644408</v>
      </c>
      <c r="I41" s="9" t="n">
        <f aca="false">H41-G41</f>
        <v>0.0539834370429877</v>
      </c>
      <c r="J41" s="9" t="n">
        <f aca="false">IF(E41="higher",I41,-I41)</f>
        <v>0.0539834370429877</v>
      </c>
      <c r="K41" s="9" t="n">
        <v>0.0543478260869565</v>
      </c>
      <c r="L41" s="9" t="n">
        <v>0.00854392183689908</v>
      </c>
      <c r="M41" s="9" t="n">
        <v>0.0989216180874045</v>
      </c>
      <c r="N41" s="7" t="n">
        <f aca="false">COUNTIFS('Paired Comparison'!$A:$A,$B41,'Paired Comparison'!$G:$G,$C41,'Paired Comparison'!$E:$E,"box001",'Paired Comparison'!$M:$M,"&gt;0")</f>
        <v>15</v>
      </c>
      <c r="O41" s="7" t="n">
        <f aca="false">COUNTIFS('Paired Comparison'!$A:$A,$B41,'Paired Comparison'!$G:$G,$C41,'Paired Comparison'!$E:$E,"box001",'Paired Comparison'!$M:$M,"&lt;0")</f>
        <v>4</v>
      </c>
    </row>
    <row r="42" customFormat="false" ht="15" hidden="false" customHeight="false" outlineLevel="0" collapsed="false">
      <c r="A42" s="7" t="s">
        <v>125</v>
      </c>
      <c r="B42" s="7" t="s">
        <v>48</v>
      </c>
      <c r="C42" s="7" t="s">
        <v>72</v>
      </c>
      <c r="D42" s="7" t="s">
        <v>73</v>
      </c>
      <c r="E42" s="7" t="s">
        <v>71</v>
      </c>
      <c r="F42" s="7" t="n">
        <f aca="false">COUNTIFS('Paired Comparison'!$A:$A,$B42,'Paired Comparison'!$G:$G,$C42,'Paired Comparison'!$E:$E,"box001")</f>
        <v>21</v>
      </c>
      <c r="G42" s="9" t="n">
        <f aca="false">AVERAGEIFS('Paired Comparison'!$J:$J,'Paired Comparison'!$A:$A,$B42,'Paired Comparison'!$G:$G,$C42,'Paired Comparison'!$E:$E,"box001")</f>
        <v>0.799877017421547</v>
      </c>
      <c r="H42" s="9" t="n">
        <f aca="false">AVERAGEIFS('Paired Comparison'!$K:$K,'Paired Comparison'!$A:$A,$B42,'Paired Comparison'!$G:$G,$C42,'Paired Comparison'!$E:$E,"box001")</f>
        <v>0.786607513416851</v>
      </c>
      <c r="I42" s="9" t="n">
        <f aca="false">H42-G42</f>
        <v>-0.0132695040046961</v>
      </c>
      <c r="J42" s="9" t="n">
        <f aca="false">IF(E42="higher",I42,-I42)</f>
        <v>-0.0132695040046961</v>
      </c>
      <c r="K42" s="9" t="n">
        <v>0</v>
      </c>
      <c r="L42" s="9" t="n">
        <v>-0.0532296955988895</v>
      </c>
      <c r="M42" s="9" t="n">
        <v>0.018729129868177</v>
      </c>
      <c r="N42" s="7" t="n">
        <f aca="false">COUNTIFS('Paired Comparison'!$A:$A,$B42,'Paired Comparison'!$G:$G,$C42,'Paired Comparison'!$E:$E,"box001",'Paired Comparison'!$M:$M,"&gt;0")</f>
        <v>7</v>
      </c>
      <c r="O42" s="7" t="n">
        <f aca="false">COUNTIFS('Paired Comparison'!$A:$A,$B42,'Paired Comparison'!$G:$G,$C42,'Paired Comparison'!$E:$E,"box001",'Paired Comparison'!$M:$M,"&lt;0")</f>
        <v>8</v>
      </c>
    </row>
    <row r="43" customFormat="false" ht="15" hidden="false" customHeight="false" outlineLevel="0" collapsed="false">
      <c r="A43" s="7" t="s">
        <v>125</v>
      </c>
      <c r="B43" s="7" t="s">
        <v>48</v>
      </c>
      <c r="C43" s="7" t="s">
        <v>74</v>
      </c>
      <c r="D43" s="7" t="s">
        <v>75</v>
      </c>
      <c r="E43" s="7" t="s">
        <v>54</v>
      </c>
      <c r="F43" s="7" t="n">
        <f aca="false">COUNTIFS('Paired Comparison'!$A:$A,$B43,'Paired Comparison'!$G:$G,$C43,'Paired Comparison'!$E:$E,"box001")</f>
        <v>21</v>
      </c>
      <c r="G43" s="9" t="n">
        <f aca="false">AVERAGEIFS('Paired Comparison'!$J:$J,'Paired Comparison'!$A:$A,$B43,'Paired Comparison'!$G:$G,$C43,'Paired Comparison'!$E:$E,"box001")</f>
        <v>0.12594436981655</v>
      </c>
      <c r="H43" s="9" t="n">
        <f aca="false">AVERAGEIFS('Paired Comparison'!$K:$K,'Paired Comparison'!$A:$A,$B43,'Paired Comparison'!$G:$G,$C43,'Paired Comparison'!$E:$E,"box001")</f>
        <v>0.126001088087554</v>
      </c>
      <c r="I43" s="9" t="n">
        <f aca="false">H43-G43</f>
        <v>5.67182710039804E-005</v>
      </c>
      <c r="J43" s="9" t="n">
        <f aca="false">IF(E43="higher",I43,-I43)</f>
        <v>-5.67182710039804E-005</v>
      </c>
      <c r="K43" s="9" t="n">
        <v>0</v>
      </c>
      <c r="L43" s="9" t="n">
        <v>-0.0616198134501706</v>
      </c>
      <c r="M43" s="9" t="n">
        <v>0.0473889711478997</v>
      </c>
      <c r="N43" s="7" t="n">
        <f aca="false">COUNTIFS('Paired Comparison'!$A:$A,$B43,'Paired Comparison'!$G:$G,$C43,'Paired Comparison'!$E:$E,"box001",'Paired Comparison'!$M:$M,"&gt;0")</f>
        <v>9</v>
      </c>
      <c r="O43" s="7" t="n">
        <f aca="false">COUNTIFS('Paired Comparison'!$A:$A,$B43,'Paired Comparison'!$G:$G,$C43,'Paired Comparison'!$E:$E,"box001",'Paired Comparison'!$M:$M,"&lt;0")</f>
        <v>6</v>
      </c>
    </row>
    <row r="44" customFormat="false" ht="15" hidden="false" customHeight="false" outlineLevel="0" collapsed="false">
      <c r="A44" s="7" t="s">
        <v>125</v>
      </c>
      <c r="B44" s="7" t="s">
        <v>48</v>
      </c>
      <c r="C44" s="7" t="s">
        <v>76</v>
      </c>
      <c r="D44" s="7" t="s">
        <v>77</v>
      </c>
      <c r="E44" s="7" t="s">
        <v>54</v>
      </c>
      <c r="F44" s="7" t="n">
        <f aca="false">COUNTIFS('Paired Comparison'!$A:$A,$B44,'Paired Comparison'!$G:$G,$C44,'Paired Comparison'!$E:$E,"box001")</f>
        <v>21</v>
      </c>
      <c r="G44" s="9" t="n">
        <f aca="false">AVERAGEIFS('Paired Comparison'!$J:$J,'Paired Comparison'!$A:$A,$B44,'Paired Comparison'!$G:$G,$C44,'Paired Comparison'!$E:$E,"box001")</f>
        <v>0.214627442632384</v>
      </c>
      <c r="H44" s="9" t="n">
        <f aca="false">AVERAGEIFS('Paired Comparison'!$K:$K,'Paired Comparison'!$A:$A,$B44,'Paired Comparison'!$G:$G,$C44,'Paired Comparison'!$E:$E,"box001")</f>
        <v>0.175270706518426</v>
      </c>
      <c r="I44" s="9" t="n">
        <f aca="false">H44-G44</f>
        <v>-0.0393567361139571</v>
      </c>
      <c r="J44" s="9" t="n">
        <f aca="false">IF(E44="higher",I44,-I44)</f>
        <v>0.0393567361139571</v>
      </c>
      <c r="K44" s="9" t="n">
        <v>0.0272727272727273</v>
      </c>
      <c r="L44" s="9" t="n">
        <v>-0.00582068914590394</v>
      </c>
      <c r="M44" s="9" t="n">
        <v>0.0835538985568822</v>
      </c>
      <c r="N44" s="7" t="n">
        <f aca="false">COUNTIFS('Paired Comparison'!$A:$A,$B44,'Paired Comparison'!$G:$G,$C44,'Paired Comparison'!$E:$E,"box001",'Paired Comparison'!$M:$M,"&gt;0")</f>
        <v>14</v>
      </c>
      <c r="O44" s="7" t="n">
        <f aca="false">COUNTIFS('Paired Comparison'!$A:$A,$B44,'Paired Comparison'!$G:$G,$C44,'Paired Comparison'!$E:$E,"box001",'Paired Comparison'!$M:$M,"&lt;0")</f>
        <v>4</v>
      </c>
    </row>
    <row r="45" customFormat="false" ht="15" hidden="false" customHeight="false" outlineLevel="0" collapsed="false">
      <c r="A45" s="7" t="s">
        <v>125</v>
      </c>
      <c r="B45" s="7" t="s">
        <v>48</v>
      </c>
      <c r="C45" s="7" t="s">
        <v>78</v>
      </c>
      <c r="D45" s="7" t="s">
        <v>79</v>
      </c>
      <c r="E45" s="7" t="s">
        <v>54</v>
      </c>
      <c r="F45" s="7" t="n">
        <f aca="false">COUNTIFS('Paired Comparison'!$A:$A,$B45,'Paired Comparison'!$G:$G,$C45,'Paired Comparison'!$E:$E,"box001")</f>
        <v>21</v>
      </c>
      <c r="G45" s="9" t="n">
        <f aca="false">AVERAGEIFS('Paired Comparison'!$J:$J,'Paired Comparison'!$A:$A,$B45,'Paired Comparison'!$G:$G,$C45,'Paired Comparison'!$E:$E,"box001")</f>
        <v>0.0623949372144934</v>
      </c>
      <c r="H45" s="9" t="n">
        <f aca="false">AVERAGEIFS('Paired Comparison'!$K:$K,'Paired Comparison'!$A:$A,$B45,'Paired Comparison'!$G:$G,$C45,'Paired Comparison'!$E:$E,"box001")</f>
        <v>0.0186556103017608</v>
      </c>
      <c r="I45" s="9" t="n">
        <f aca="false">H45-G45</f>
        <v>-0.0437393269127326</v>
      </c>
      <c r="J45" s="9" t="n">
        <f aca="false">IF(E45="higher",I45,-I45)</f>
        <v>0.0437393269127326</v>
      </c>
      <c r="K45" s="9" t="n">
        <v>0</v>
      </c>
      <c r="L45" s="9" t="n">
        <v>0.00789844883234817</v>
      </c>
      <c r="M45" s="9" t="n">
        <v>0.0879900395740596</v>
      </c>
      <c r="N45" s="7" t="n">
        <f aca="false">COUNTIFS('Paired Comparison'!$A:$A,$B45,'Paired Comparison'!$G:$G,$C45,'Paired Comparison'!$E:$E,"box001",'Paired Comparison'!$M:$M,"&gt;0")</f>
        <v>7</v>
      </c>
      <c r="O45" s="7" t="n">
        <f aca="false">COUNTIFS('Paired Comparison'!$A:$A,$B45,'Paired Comparison'!$G:$G,$C45,'Paired Comparison'!$E:$E,"box001",'Paired Comparison'!$M:$M,"&lt;0")</f>
        <v>1</v>
      </c>
    </row>
    <row r="46" customFormat="false" ht="15" hidden="false" customHeight="false" outlineLevel="0" collapsed="false">
      <c r="A46" s="7" t="s">
        <v>125</v>
      </c>
      <c r="B46" s="7" t="s">
        <v>48</v>
      </c>
      <c r="C46" s="7" t="s">
        <v>80</v>
      </c>
      <c r="D46" s="7" t="s">
        <v>81</v>
      </c>
      <c r="E46" s="7" t="s">
        <v>54</v>
      </c>
      <c r="F46" s="7" t="n">
        <f aca="false">COUNTIFS('Paired Comparison'!$A:$A,$B46,'Paired Comparison'!$G:$G,$C46,'Paired Comparison'!$E:$E,"box001")</f>
        <v>21</v>
      </c>
      <c r="G46" s="9" t="n">
        <f aca="false">AVERAGEIFS('Paired Comparison'!$J:$J,'Paired Comparison'!$A:$A,$B46,'Paired Comparison'!$G:$G,$C46,'Paired Comparison'!$E:$E,"box001")</f>
        <v>0.0476190476190476</v>
      </c>
      <c r="H46" s="9" t="n">
        <f aca="false">AVERAGEIFS('Paired Comparison'!$K:$K,'Paired Comparison'!$A:$A,$B46,'Paired Comparison'!$G:$G,$C46,'Paired Comparison'!$E:$E,"box001")</f>
        <v>0.0476190476190476</v>
      </c>
      <c r="I46" s="9" t="n">
        <f aca="false">H46-G46</f>
        <v>0</v>
      </c>
      <c r="J46" s="9" t="n">
        <f aca="false">IF(E46="higher",I46,-I46)</f>
        <v>-0</v>
      </c>
      <c r="K46" s="9" t="n">
        <v>0</v>
      </c>
      <c r="L46" s="9" t="n">
        <v>0</v>
      </c>
      <c r="M46" s="9" t="n">
        <v>0</v>
      </c>
      <c r="N46" s="7" t="n">
        <f aca="false">COUNTIFS('Paired Comparison'!$A:$A,$B46,'Paired Comparison'!$G:$G,$C46,'Paired Comparison'!$E:$E,"box001",'Paired Comparison'!$M:$M,"&gt;0")</f>
        <v>0</v>
      </c>
      <c r="O46" s="7" t="n">
        <f aca="false">COUNTIFS('Paired Comparison'!$A:$A,$B46,'Paired Comparison'!$G:$G,$C46,'Paired Comparison'!$E:$E,"box001",'Paired Comparison'!$M:$M,"&lt;0")</f>
        <v>0</v>
      </c>
    </row>
    <row r="47" customFormat="false" ht="15" hidden="false" customHeight="false" outlineLevel="0" collapsed="false">
      <c r="A47" s="7" t="s">
        <v>125</v>
      </c>
      <c r="B47" s="7" t="s">
        <v>82</v>
      </c>
      <c r="C47" s="7" t="s">
        <v>52</v>
      </c>
      <c r="D47" s="7" t="s">
        <v>53</v>
      </c>
      <c r="E47" s="7" t="s">
        <v>54</v>
      </c>
      <c r="F47" s="7" t="n">
        <f aca="false">COUNTIFS('Paired Comparison'!$A:$A,$B47,'Paired Comparison'!$G:$G,$C47,'Paired Comparison'!$E:$E,"box001")</f>
        <v>21</v>
      </c>
      <c r="G47" s="9" t="n">
        <f aca="false">AVERAGEIFS('Paired Comparison'!$J:$J,'Paired Comparison'!$A:$A,$B47,'Paired Comparison'!$G:$G,$C47,'Paired Comparison'!$E:$E,"box001")</f>
        <v>3.60526591894529</v>
      </c>
      <c r="H47" s="9" t="n">
        <f aca="false">AVERAGEIFS('Paired Comparison'!$K:$K,'Paired Comparison'!$A:$A,$B47,'Paired Comparison'!$G:$G,$C47,'Paired Comparison'!$E:$E,"box001")</f>
        <v>3.08200002685734</v>
      </c>
      <c r="I47" s="9" t="n">
        <f aca="false">H47-G47</f>
        <v>-0.523265892087951</v>
      </c>
      <c r="J47" s="9" t="n">
        <f aca="false">IF(E47="higher",I47,-I47)</f>
        <v>0.523265892087951</v>
      </c>
      <c r="K47" s="9" t="n">
        <v>0.37185673910515</v>
      </c>
      <c r="L47" s="9" t="n">
        <v>0.195706677631581</v>
      </c>
      <c r="M47" s="9" t="n">
        <v>0.907617063975481</v>
      </c>
      <c r="N47" s="7" t="n">
        <f aca="false">COUNTIFS('Paired Comparison'!$A:$A,$B47,'Paired Comparison'!$G:$G,$C47,'Paired Comparison'!$E:$E,"box001",'Paired Comparison'!$M:$M,"&gt;0")</f>
        <v>16</v>
      </c>
      <c r="O47" s="7" t="n">
        <f aca="false">COUNTIFS('Paired Comparison'!$A:$A,$B47,'Paired Comparison'!$G:$G,$C47,'Paired Comparison'!$E:$E,"box001",'Paired Comparison'!$M:$M,"&lt;0")</f>
        <v>5</v>
      </c>
    </row>
    <row r="48" customFormat="false" ht="15" hidden="false" customHeight="false" outlineLevel="0" collapsed="false">
      <c r="A48" s="7" t="s">
        <v>125</v>
      </c>
      <c r="B48" s="7" t="s">
        <v>82</v>
      </c>
      <c r="C48" s="7" t="s">
        <v>55</v>
      </c>
      <c r="D48" s="7" t="s">
        <v>56</v>
      </c>
      <c r="E48" s="7" t="s">
        <v>54</v>
      </c>
      <c r="F48" s="7" t="n">
        <f aca="false">COUNTIFS('Paired Comparison'!$A:$A,$B48,'Paired Comparison'!$G:$G,$C48,'Paired Comparison'!$E:$E,"box001")</f>
        <v>21</v>
      </c>
      <c r="G48" s="9" t="n">
        <f aca="false">AVERAGEIFS('Paired Comparison'!$J:$J,'Paired Comparison'!$A:$A,$B48,'Paired Comparison'!$G:$G,$C48,'Paired Comparison'!$E:$E,"box001")</f>
        <v>9.68428267757021</v>
      </c>
      <c r="H48" s="9" t="n">
        <f aca="false">AVERAGEIFS('Paired Comparison'!$K:$K,'Paired Comparison'!$A:$A,$B48,'Paired Comparison'!$G:$G,$C48,'Paired Comparison'!$E:$E,"box001")</f>
        <v>9.26734815647422</v>
      </c>
      <c r="I48" s="9" t="n">
        <f aca="false">H48-G48</f>
        <v>-0.416934521095993</v>
      </c>
      <c r="J48" s="9" t="n">
        <f aca="false">IF(E48="higher",I48,-I48)</f>
        <v>0.416934521095993</v>
      </c>
      <c r="K48" s="9" t="n">
        <v>0.859226217400368</v>
      </c>
      <c r="L48" s="9" t="n">
        <v>-0.0039951242107857</v>
      </c>
      <c r="M48" s="9" t="n">
        <v>0.825403182837738</v>
      </c>
      <c r="N48" s="7" t="n">
        <f aca="false">COUNTIFS('Paired Comparison'!$A:$A,$B48,'Paired Comparison'!$G:$G,$C48,'Paired Comparison'!$E:$E,"box001",'Paired Comparison'!$M:$M,"&gt;0")</f>
        <v>13</v>
      </c>
      <c r="O48" s="7" t="n">
        <f aca="false">COUNTIFS('Paired Comparison'!$A:$A,$B48,'Paired Comparison'!$G:$G,$C48,'Paired Comparison'!$E:$E,"box001",'Paired Comparison'!$M:$M,"&lt;0")</f>
        <v>8</v>
      </c>
    </row>
    <row r="49" customFormat="false" ht="15" hidden="false" customHeight="false" outlineLevel="0" collapsed="false">
      <c r="A49" s="7" t="s">
        <v>125</v>
      </c>
      <c r="B49" s="7" t="s">
        <v>82</v>
      </c>
      <c r="C49" s="7" t="s">
        <v>57</v>
      </c>
      <c r="D49" s="7" t="s">
        <v>58</v>
      </c>
      <c r="E49" s="7" t="s">
        <v>54</v>
      </c>
      <c r="F49" s="7" t="n">
        <f aca="false">COUNTIFS('Paired Comparison'!$A:$A,$B49,'Paired Comparison'!$G:$G,$C49,'Paired Comparison'!$E:$E,"box001")</f>
        <v>21</v>
      </c>
      <c r="G49" s="9" t="n">
        <f aca="false">AVERAGEIFS('Paired Comparison'!$J:$J,'Paired Comparison'!$A:$A,$B49,'Paired Comparison'!$G:$G,$C49,'Paired Comparison'!$E:$E,"box001")</f>
        <v>9.92385524884313</v>
      </c>
      <c r="H49" s="9" t="n">
        <f aca="false">AVERAGEIFS('Paired Comparison'!$K:$K,'Paired Comparison'!$A:$A,$B49,'Paired Comparison'!$G:$G,$C49,'Paired Comparison'!$E:$E,"box001")</f>
        <v>5.19851263825701</v>
      </c>
      <c r="I49" s="9" t="n">
        <f aca="false">H49-G49</f>
        <v>-4.72534261058612</v>
      </c>
      <c r="J49" s="9" t="n">
        <f aca="false">IF(E49="higher",I49,-I49)</f>
        <v>4.72534261058612</v>
      </c>
      <c r="K49" s="9" t="n">
        <v>1.28342788735564</v>
      </c>
      <c r="L49" s="9" t="n">
        <v>1.89103553798247</v>
      </c>
      <c r="M49" s="9" t="n">
        <v>8.01982550496618</v>
      </c>
      <c r="N49" s="7" t="n">
        <f aca="false">COUNTIFS('Paired Comparison'!$A:$A,$B49,'Paired Comparison'!$G:$G,$C49,'Paired Comparison'!$E:$E,"box001",'Paired Comparison'!$M:$M,"&gt;0")</f>
        <v>15</v>
      </c>
      <c r="O49" s="7" t="n">
        <f aca="false">COUNTIFS('Paired Comparison'!$A:$A,$B49,'Paired Comparison'!$G:$G,$C49,'Paired Comparison'!$E:$E,"box001",'Paired Comparison'!$M:$M,"&lt;0")</f>
        <v>6</v>
      </c>
    </row>
    <row r="50" customFormat="false" ht="15" hidden="false" customHeight="false" outlineLevel="0" collapsed="false">
      <c r="A50" s="7" t="s">
        <v>125</v>
      </c>
      <c r="B50" s="7" t="s">
        <v>82</v>
      </c>
      <c r="C50" s="7" t="s">
        <v>59</v>
      </c>
      <c r="D50" s="7" t="s">
        <v>60</v>
      </c>
      <c r="E50" s="7" t="s">
        <v>54</v>
      </c>
      <c r="F50" s="7" t="n">
        <f aca="false">COUNTIFS('Paired Comparison'!$A:$A,$B50,'Paired Comparison'!$G:$G,$C50,'Paired Comparison'!$E:$E,"box001")</f>
        <v>21</v>
      </c>
      <c r="G50" s="9" t="n">
        <f aca="false">AVERAGEIFS('Paired Comparison'!$J:$J,'Paired Comparison'!$A:$A,$B50,'Paired Comparison'!$G:$G,$C50,'Paired Comparison'!$E:$E,"box001")</f>
        <v>0.0957040445262415</v>
      </c>
      <c r="H50" s="9" t="n">
        <f aca="false">AVERAGEIFS('Paired Comparison'!$K:$K,'Paired Comparison'!$A:$A,$B50,'Paired Comparison'!$G:$G,$C50,'Paired Comparison'!$E:$E,"box001")</f>
        <v>0.0877650807145656</v>
      </c>
      <c r="I50" s="9" t="n">
        <f aca="false">H50-G50</f>
        <v>-0.0079389638116759</v>
      </c>
      <c r="J50" s="9" t="n">
        <f aca="false">IF(E50="higher",I50,-I50)</f>
        <v>0.0079389638116759</v>
      </c>
      <c r="K50" s="9" t="n">
        <v>0.00474531505483042</v>
      </c>
      <c r="L50" s="9" t="n">
        <v>0.0013288466450782</v>
      </c>
      <c r="M50" s="9" t="n">
        <v>0.0150820446433449</v>
      </c>
      <c r="N50" s="7" t="n">
        <f aca="false">COUNTIFS('Paired Comparison'!$A:$A,$B50,'Paired Comparison'!$G:$G,$C50,'Paired Comparison'!$E:$E,"box001",'Paired Comparison'!$M:$M,"&gt;0")</f>
        <v>15</v>
      </c>
      <c r="O50" s="7" t="n">
        <f aca="false">COUNTIFS('Paired Comparison'!$A:$A,$B50,'Paired Comparison'!$G:$G,$C50,'Paired Comparison'!$E:$E,"box001",'Paired Comparison'!$M:$M,"&lt;0")</f>
        <v>6</v>
      </c>
    </row>
    <row r="51" customFormat="false" ht="15" hidden="false" customHeight="false" outlineLevel="0" collapsed="false">
      <c r="A51" s="7" t="s">
        <v>125</v>
      </c>
      <c r="B51" s="7" t="s">
        <v>82</v>
      </c>
      <c r="C51" s="7" t="s">
        <v>61</v>
      </c>
      <c r="D51" s="7" t="s">
        <v>62</v>
      </c>
      <c r="E51" s="7" t="s">
        <v>54</v>
      </c>
      <c r="F51" s="7" t="n">
        <f aca="false">COUNTIFS('Paired Comparison'!$A:$A,$B51,'Paired Comparison'!$G:$G,$C51,'Paired Comparison'!$E:$E,"box001")</f>
        <v>21</v>
      </c>
      <c r="G51" s="9" t="n">
        <f aca="false">AVERAGEIFS('Paired Comparison'!$J:$J,'Paired Comparison'!$A:$A,$B51,'Paired Comparison'!$G:$G,$C51,'Paired Comparison'!$E:$E,"box001")</f>
        <v>40.7099048089937</v>
      </c>
      <c r="H51" s="9" t="n">
        <f aca="false">AVERAGEIFS('Paired Comparison'!$K:$K,'Paired Comparison'!$A:$A,$B51,'Paired Comparison'!$G:$G,$C51,'Paired Comparison'!$E:$E,"box001")</f>
        <v>41.2150186330943</v>
      </c>
      <c r="I51" s="9" t="n">
        <f aca="false">H51-G51</f>
        <v>0.505113824100512</v>
      </c>
      <c r="J51" s="9" t="n">
        <f aca="false">IF(E51="higher",I51,-I51)</f>
        <v>-0.505113824100512</v>
      </c>
      <c r="K51" s="9" t="n">
        <v>-0.720657675330616</v>
      </c>
      <c r="L51" s="9" t="n">
        <v>-2.3009984208744</v>
      </c>
      <c r="M51" s="9" t="n">
        <v>1.31406118654079</v>
      </c>
      <c r="N51" s="7" t="n">
        <f aca="false">COUNTIFS('Paired Comparison'!$A:$A,$B51,'Paired Comparison'!$G:$G,$C51,'Paired Comparison'!$E:$E,"box001",'Paired Comparison'!$M:$M,"&gt;0")</f>
        <v>10</v>
      </c>
      <c r="O51" s="7" t="n">
        <f aca="false">COUNTIFS('Paired Comparison'!$A:$A,$B51,'Paired Comparison'!$G:$G,$C51,'Paired Comparison'!$E:$E,"box001",'Paired Comparison'!$M:$M,"&lt;0")</f>
        <v>11</v>
      </c>
    </row>
    <row r="52" customFormat="false" ht="15" hidden="false" customHeight="false" outlineLevel="0" collapsed="false">
      <c r="A52" s="7" t="s">
        <v>125</v>
      </c>
      <c r="B52" s="7" t="s">
        <v>82</v>
      </c>
      <c r="C52" s="7" t="s">
        <v>63</v>
      </c>
      <c r="D52" s="7" t="s">
        <v>64</v>
      </c>
      <c r="E52" s="7" t="s">
        <v>54</v>
      </c>
      <c r="F52" s="7" t="n">
        <f aca="false">COUNTIFS('Paired Comparison'!$A:$A,$B52,'Paired Comparison'!$G:$G,$C52,'Paired Comparison'!$E:$E,"box001")</f>
        <v>21</v>
      </c>
      <c r="G52" s="9" t="n">
        <f aca="false">AVERAGEIFS('Paired Comparison'!$J:$J,'Paired Comparison'!$A:$A,$B52,'Paired Comparison'!$G:$G,$C52,'Paired Comparison'!$E:$E,"box001")</f>
        <v>15.2408613696772</v>
      </c>
      <c r="H52" s="9" t="n">
        <f aca="false">AVERAGEIFS('Paired Comparison'!$K:$K,'Paired Comparison'!$A:$A,$B52,'Paired Comparison'!$G:$G,$C52,'Paired Comparison'!$E:$E,"box001")</f>
        <v>14.4105290986934</v>
      </c>
      <c r="I52" s="9" t="n">
        <f aca="false">H52-G52</f>
        <v>-0.830332270983892</v>
      </c>
      <c r="J52" s="9" t="n">
        <f aca="false">IF(E52="higher",I52,-I52)</f>
        <v>0.830332270983892</v>
      </c>
      <c r="K52" s="9" t="n">
        <v>-0.332283275245206</v>
      </c>
      <c r="L52" s="9" t="n">
        <v>-0.541084424438063</v>
      </c>
      <c r="M52" s="9" t="n">
        <v>2.52620426122634</v>
      </c>
      <c r="N52" s="7" t="n">
        <f aca="false">COUNTIFS('Paired Comparison'!$A:$A,$B52,'Paired Comparison'!$G:$G,$C52,'Paired Comparison'!$E:$E,"box001",'Paired Comparison'!$M:$M,"&gt;0")</f>
        <v>10</v>
      </c>
      <c r="O52" s="7" t="n">
        <f aca="false">COUNTIFS('Paired Comparison'!$A:$A,$B52,'Paired Comparison'!$G:$G,$C52,'Paired Comparison'!$E:$E,"box001",'Paired Comparison'!$M:$M,"&lt;0")</f>
        <v>11</v>
      </c>
    </row>
    <row r="53" customFormat="false" ht="15" hidden="false" customHeight="false" outlineLevel="0" collapsed="false">
      <c r="A53" s="7" t="s">
        <v>125</v>
      </c>
      <c r="B53" s="7" t="s">
        <v>82</v>
      </c>
      <c r="C53" s="7" t="s">
        <v>65</v>
      </c>
      <c r="D53" s="7" t="s">
        <v>66</v>
      </c>
      <c r="E53" s="7" t="s">
        <v>54</v>
      </c>
      <c r="F53" s="7" t="n">
        <f aca="false">COUNTIFS('Paired Comparison'!$A:$A,$B53,'Paired Comparison'!$G:$G,$C53,'Paired Comparison'!$E:$E,"box001")</f>
        <v>21</v>
      </c>
      <c r="G53" s="9" t="n">
        <f aca="false">AVERAGEIFS('Paired Comparison'!$J:$J,'Paired Comparison'!$A:$A,$B53,'Paired Comparison'!$G:$G,$C53,'Paired Comparison'!$E:$E,"box001")</f>
        <v>40.8854639695765</v>
      </c>
      <c r="H53" s="9" t="n">
        <f aca="false">AVERAGEIFS('Paired Comparison'!$K:$K,'Paired Comparison'!$A:$A,$B53,'Paired Comparison'!$G:$G,$C53,'Paired Comparison'!$E:$E,"box001")</f>
        <v>41.3192809384707</v>
      </c>
      <c r="I53" s="9" t="n">
        <f aca="false">H53-G53</f>
        <v>0.433816968894206</v>
      </c>
      <c r="J53" s="9" t="n">
        <f aca="false">IF(E53="higher",I53,-I53)</f>
        <v>-0.433816968894206</v>
      </c>
      <c r="K53" s="9" t="n">
        <v>-0.913209732174192</v>
      </c>
      <c r="L53" s="9" t="n">
        <v>-2.06725420140465</v>
      </c>
      <c r="M53" s="9" t="n">
        <v>1.15966983273288</v>
      </c>
      <c r="N53" s="7" t="n">
        <f aca="false">COUNTIFS('Paired Comparison'!$A:$A,$B53,'Paired Comparison'!$G:$G,$C53,'Paired Comparison'!$E:$E,"box001",'Paired Comparison'!$M:$M,"&gt;0")</f>
        <v>8</v>
      </c>
      <c r="O53" s="7" t="n">
        <f aca="false">COUNTIFS('Paired Comparison'!$A:$A,$B53,'Paired Comparison'!$G:$G,$C53,'Paired Comparison'!$E:$E,"box001",'Paired Comparison'!$M:$M,"&lt;0")</f>
        <v>13</v>
      </c>
    </row>
    <row r="54" customFormat="false" ht="15" hidden="false" customHeight="false" outlineLevel="0" collapsed="false">
      <c r="A54" s="7" t="s">
        <v>125</v>
      </c>
      <c r="B54" s="7" t="s">
        <v>82</v>
      </c>
      <c r="C54" s="7" t="s">
        <v>67</v>
      </c>
      <c r="D54" s="7" t="s">
        <v>68</v>
      </c>
      <c r="E54" s="7" t="s">
        <v>54</v>
      </c>
      <c r="F54" s="7" t="n">
        <f aca="false">COUNTIFS('Paired Comparison'!$A:$A,$B54,'Paired Comparison'!$G:$G,$C54,'Paired Comparison'!$E:$E,"box001")</f>
        <v>21</v>
      </c>
      <c r="G54" s="9" t="n">
        <f aca="false">AVERAGEIFS('Paired Comparison'!$J:$J,'Paired Comparison'!$A:$A,$B54,'Paired Comparison'!$G:$G,$C54,'Paired Comparison'!$E:$E,"box001")</f>
        <v>25.8706843442272</v>
      </c>
      <c r="H54" s="9" t="n">
        <f aca="false">AVERAGEIFS('Paired Comparison'!$K:$K,'Paired Comparison'!$A:$A,$B54,'Paired Comparison'!$G:$G,$C54,'Paired Comparison'!$E:$E,"box001")</f>
        <v>23.0625304793437</v>
      </c>
      <c r="I54" s="9" t="n">
        <f aca="false">H54-G54</f>
        <v>-2.80815386488345</v>
      </c>
      <c r="J54" s="9" t="n">
        <f aca="false">IF(E54="higher",I54,-I54)</f>
        <v>2.80815386488345</v>
      </c>
      <c r="K54" s="9" t="n">
        <v>1.50523511287675</v>
      </c>
      <c r="L54" s="9" t="n">
        <v>0.646017171222582</v>
      </c>
      <c r="M54" s="9" t="n">
        <v>4.92216465017145</v>
      </c>
      <c r="N54" s="7" t="n">
        <f aca="false">COUNTIFS('Paired Comparison'!$A:$A,$B54,'Paired Comparison'!$G:$G,$C54,'Paired Comparison'!$E:$E,"box001",'Paired Comparison'!$M:$M,"&gt;0")</f>
        <v>15</v>
      </c>
      <c r="O54" s="7" t="n">
        <f aca="false">COUNTIFS('Paired Comparison'!$A:$A,$B54,'Paired Comparison'!$G:$G,$C54,'Paired Comparison'!$E:$E,"box001",'Paired Comparison'!$M:$M,"&lt;0")</f>
        <v>6</v>
      </c>
    </row>
    <row r="55" customFormat="false" ht="15" hidden="false" customHeight="false" outlineLevel="0" collapsed="false">
      <c r="A55" s="7" t="s">
        <v>125</v>
      </c>
      <c r="B55" s="7" t="s">
        <v>82</v>
      </c>
      <c r="C55" s="7" t="s">
        <v>69</v>
      </c>
      <c r="D55" s="7" t="s">
        <v>70</v>
      </c>
      <c r="E55" s="7" t="s">
        <v>71</v>
      </c>
      <c r="F55" s="7" t="n">
        <f aca="false">COUNTIFS('Paired Comparison'!$A:$A,$B55,'Paired Comparison'!$G:$G,$C55,'Paired Comparison'!$E:$E,"box001")</f>
        <v>21</v>
      </c>
      <c r="G55" s="9" t="n">
        <f aca="false">AVERAGEIFS('Paired Comparison'!$J:$J,'Paired Comparison'!$A:$A,$B55,'Paired Comparison'!$G:$G,$C55,'Paired Comparison'!$E:$E,"box001")</f>
        <v>0.528688260374315</v>
      </c>
      <c r="H55" s="9" t="n">
        <f aca="false">AVERAGEIFS('Paired Comparison'!$K:$K,'Paired Comparison'!$A:$A,$B55,'Paired Comparison'!$G:$G,$C55,'Paired Comparison'!$E:$E,"box001")</f>
        <v>0.544670140644408</v>
      </c>
      <c r="I55" s="9" t="n">
        <f aca="false">H55-G55</f>
        <v>0.0159818802700922</v>
      </c>
      <c r="J55" s="9" t="n">
        <f aca="false">IF(E55="higher",I55,-I55)</f>
        <v>0.0159818802700922</v>
      </c>
      <c r="K55" s="9" t="n">
        <v>0</v>
      </c>
      <c r="L55" s="9" t="n">
        <v>-0.0407927962884896</v>
      </c>
      <c r="M55" s="9" t="n">
        <v>0.0749422727998936</v>
      </c>
      <c r="N55" s="7" t="n">
        <f aca="false">COUNTIFS('Paired Comparison'!$A:$A,$B55,'Paired Comparison'!$G:$G,$C55,'Paired Comparison'!$E:$E,"box001",'Paired Comparison'!$M:$M,"&gt;0")</f>
        <v>9</v>
      </c>
      <c r="O55" s="7" t="n">
        <f aca="false">COUNTIFS('Paired Comparison'!$A:$A,$B55,'Paired Comparison'!$G:$G,$C55,'Paired Comparison'!$E:$E,"box001",'Paired Comparison'!$M:$M,"&lt;0")</f>
        <v>10</v>
      </c>
    </row>
    <row r="56" customFormat="false" ht="15" hidden="false" customHeight="false" outlineLevel="0" collapsed="false">
      <c r="A56" s="7" t="s">
        <v>125</v>
      </c>
      <c r="B56" s="7" t="s">
        <v>82</v>
      </c>
      <c r="C56" s="7" t="s">
        <v>72</v>
      </c>
      <c r="D56" s="7" t="s">
        <v>73</v>
      </c>
      <c r="E56" s="7" t="s">
        <v>71</v>
      </c>
      <c r="F56" s="7" t="n">
        <f aca="false">COUNTIFS('Paired Comparison'!$A:$A,$B56,'Paired Comparison'!$G:$G,$C56,'Paired Comparison'!$E:$E,"box001")</f>
        <v>21</v>
      </c>
      <c r="G56" s="9" t="n">
        <f aca="false">AVERAGEIFS('Paired Comparison'!$J:$J,'Paired Comparison'!$A:$A,$B56,'Paired Comparison'!$G:$G,$C56,'Paired Comparison'!$E:$E,"box001")</f>
        <v>0.69755772193496</v>
      </c>
      <c r="H56" s="9" t="n">
        <f aca="false">AVERAGEIFS('Paired Comparison'!$K:$K,'Paired Comparison'!$A:$A,$B56,'Paired Comparison'!$G:$G,$C56,'Paired Comparison'!$E:$E,"box001")</f>
        <v>0.786607513416851</v>
      </c>
      <c r="I56" s="9" t="n">
        <f aca="false">H56-G56</f>
        <v>0.0890497914818911</v>
      </c>
      <c r="J56" s="9" t="n">
        <f aca="false">IF(E56="higher",I56,-I56)</f>
        <v>0.0890497914818911</v>
      </c>
      <c r="K56" s="9" t="n">
        <v>0.041095890410959</v>
      </c>
      <c r="L56" s="9" t="n">
        <v>0.0269217644306672</v>
      </c>
      <c r="M56" s="9" t="n">
        <v>0.155490394350936</v>
      </c>
      <c r="N56" s="7" t="n">
        <f aca="false">COUNTIFS('Paired Comparison'!$A:$A,$B56,'Paired Comparison'!$G:$G,$C56,'Paired Comparison'!$E:$E,"box001",'Paired Comparison'!$M:$M,"&gt;0")</f>
        <v>14</v>
      </c>
      <c r="O56" s="7" t="n">
        <f aca="false">COUNTIFS('Paired Comparison'!$A:$A,$B56,'Paired Comparison'!$G:$G,$C56,'Paired Comparison'!$E:$E,"box001",'Paired Comparison'!$M:$M,"&lt;0")</f>
        <v>5</v>
      </c>
    </row>
    <row r="57" customFormat="false" ht="15" hidden="false" customHeight="false" outlineLevel="0" collapsed="false">
      <c r="A57" s="7" t="s">
        <v>125</v>
      </c>
      <c r="B57" s="7" t="s">
        <v>82</v>
      </c>
      <c r="C57" s="7" t="s">
        <v>74</v>
      </c>
      <c r="D57" s="7" t="s">
        <v>75</v>
      </c>
      <c r="E57" s="7" t="s">
        <v>54</v>
      </c>
      <c r="F57" s="7" t="n">
        <f aca="false">COUNTIFS('Paired Comparison'!$A:$A,$B57,'Paired Comparison'!$G:$G,$C57,'Paired Comparison'!$E:$E,"box001")</f>
        <v>21</v>
      </c>
      <c r="G57" s="9" t="n">
        <f aca="false">AVERAGEIFS('Paired Comparison'!$J:$J,'Paired Comparison'!$A:$A,$B57,'Paired Comparison'!$G:$G,$C57,'Paired Comparison'!$E:$E,"box001")</f>
        <v>0.134746691889549</v>
      </c>
      <c r="H57" s="9" t="n">
        <f aca="false">AVERAGEIFS('Paired Comparison'!$K:$K,'Paired Comparison'!$A:$A,$B57,'Paired Comparison'!$G:$G,$C57,'Paired Comparison'!$E:$E,"box001")</f>
        <v>0.126001088087554</v>
      </c>
      <c r="I57" s="9" t="n">
        <f aca="false">H57-G57</f>
        <v>-0.00874560380199477</v>
      </c>
      <c r="J57" s="9" t="n">
        <f aca="false">IF(E57="higher",I57,-I57)</f>
        <v>0.00874560380199477</v>
      </c>
      <c r="K57" s="9" t="n">
        <v>0</v>
      </c>
      <c r="L57" s="9" t="n">
        <v>-0.0643223137034227</v>
      </c>
      <c r="M57" s="9" t="n">
        <v>0.0770263131273469</v>
      </c>
      <c r="N57" s="7" t="n">
        <f aca="false">COUNTIFS('Paired Comparison'!$A:$A,$B57,'Paired Comparison'!$G:$G,$C57,'Paired Comparison'!$E:$E,"box001",'Paired Comparison'!$M:$M,"&gt;0")</f>
        <v>10</v>
      </c>
      <c r="O57" s="7" t="n">
        <f aca="false">COUNTIFS('Paired Comparison'!$A:$A,$B57,'Paired Comparison'!$G:$G,$C57,'Paired Comparison'!$E:$E,"box001",'Paired Comparison'!$M:$M,"&lt;0")</f>
        <v>7</v>
      </c>
    </row>
    <row r="58" customFormat="false" ht="15" hidden="false" customHeight="false" outlineLevel="0" collapsed="false">
      <c r="A58" s="7" t="s">
        <v>125</v>
      </c>
      <c r="B58" s="7" t="s">
        <v>82</v>
      </c>
      <c r="C58" s="7" t="s">
        <v>76</v>
      </c>
      <c r="D58" s="7" t="s">
        <v>77</v>
      </c>
      <c r="E58" s="7" t="s">
        <v>54</v>
      </c>
      <c r="F58" s="7" t="n">
        <f aca="false">COUNTIFS('Paired Comparison'!$A:$A,$B58,'Paired Comparison'!$G:$G,$C58,'Paired Comparison'!$E:$E,"box001")</f>
        <v>21</v>
      </c>
      <c r="G58" s="9" t="n">
        <f aca="false">AVERAGEIFS('Paired Comparison'!$J:$J,'Paired Comparison'!$A:$A,$B58,'Paired Comparison'!$G:$G,$C58,'Paired Comparison'!$E:$E,"box001")</f>
        <v>0.117666578875872</v>
      </c>
      <c r="H58" s="9" t="n">
        <f aca="false">AVERAGEIFS('Paired Comparison'!$K:$K,'Paired Comparison'!$A:$A,$B58,'Paired Comparison'!$G:$G,$C58,'Paired Comparison'!$E:$E,"box001")</f>
        <v>0.175270706518426</v>
      </c>
      <c r="I58" s="9" t="n">
        <f aca="false">H58-G58</f>
        <v>0.0576041276425547</v>
      </c>
      <c r="J58" s="9" t="n">
        <f aca="false">IF(E58="higher",I58,-I58)</f>
        <v>-0.0576041276425547</v>
      </c>
      <c r="K58" s="9" t="n">
        <v>-0.0655737704918033</v>
      </c>
      <c r="L58" s="9" t="n">
        <v>-0.102820583903329</v>
      </c>
      <c r="M58" s="9" t="n">
        <v>-0.0104964601018631</v>
      </c>
      <c r="N58" s="7" t="n">
        <f aca="false">COUNTIFS('Paired Comparison'!$A:$A,$B58,'Paired Comparison'!$G:$G,$C58,'Paired Comparison'!$E:$E,"box001",'Paired Comparison'!$M:$M,"&gt;0")</f>
        <v>5</v>
      </c>
      <c r="O58" s="7" t="n">
        <f aca="false">COUNTIFS('Paired Comparison'!$A:$A,$B58,'Paired Comparison'!$G:$G,$C58,'Paired Comparison'!$E:$E,"box001",'Paired Comparison'!$M:$M,"&lt;0")</f>
        <v>15</v>
      </c>
    </row>
    <row r="59" customFormat="false" ht="15" hidden="false" customHeight="false" outlineLevel="0" collapsed="false">
      <c r="A59" s="7" t="s">
        <v>125</v>
      </c>
      <c r="B59" s="7" t="s">
        <v>82</v>
      </c>
      <c r="C59" s="7" t="s">
        <v>78</v>
      </c>
      <c r="D59" s="7" t="s">
        <v>79</v>
      </c>
      <c r="E59" s="7" t="s">
        <v>54</v>
      </c>
      <c r="F59" s="7" t="n">
        <f aca="false">COUNTIFS('Paired Comparison'!$A:$A,$B59,'Paired Comparison'!$G:$G,$C59,'Paired Comparison'!$E:$E,"box001")</f>
        <v>21</v>
      </c>
      <c r="G59" s="9" t="n">
        <f aca="false">AVERAGEIFS('Paired Comparison'!$J:$J,'Paired Comparison'!$A:$A,$B59,'Paired Comparison'!$G:$G,$C59,'Paired Comparison'!$E:$E,"box001")</f>
        <v>0.0256518655543442</v>
      </c>
      <c r="H59" s="9" t="n">
        <f aca="false">AVERAGEIFS('Paired Comparison'!$K:$K,'Paired Comparison'!$A:$A,$B59,'Paired Comparison'!$G:$G,$C59,'Paired Comparison'!$E:$E,"box001")</f>
        <v>0.0186556103017608</v>
      </c>
      <c r="I59" s="9" t="n">
        <f aca="false">H59-G59</f>
        <v>-0.00699625525258338</v>
      </c>
      <c r="J59" s="9" t="n">
        <f aca="false">IF(E59="higher",I59,-I59)</f>
        <v>0.00699625525258338</v>
      </c>
      <c r="K59" s="9" t="n">
        <v>0</v>
      </c>
      <c r="L59" s="9" t="n">
        <v>-0.00993788819875777</v>
      </c>
      <c r="M59" s="9" t="n">
        <v>0.0265287171378072</v>
      </c>
      <c r="N59" s="7" t="n">
        <f aca="false">COUNTIFS('Paired Comparison'!$A:$A,$B59,'Paired Comparison'!$G:$G,$C59,'Paired Comparison'!$E:$E,"box001",'Paired Comparison'!$M:$M,"&gt;0")</f>
        <v>3</v>
      </c>
      <c r="O59" s="7" t="n">
        <f aca="false">COUNTIFS('Paired Comparison'!$A:$A,$B59,'Paired Comparison'!$G:$G,$C59,'Paired Comparison'!$E:$E,"box001",'Paired Comparison'!$M:$M,"&lt;0")</f>
        <v>3</v>
      </c>
    </row>
    <row r="60" customFormat="false" ht="15" hidden="false" customHeight="false" outlineLevel="0" collapsed="false">
      <c r="A60" s="7" t="s">
        <v>125</v>
      </c>
      <c r="B60" s="7" t="s">
        <v>82</v>
      </c>
      <c r="C60" s="7" t="s">
        <v>80</v>
      </c>
      <c r="D60" s="7" t="s">
        <v>81</v>
      </c>
      <c r="E60" s="7" t="s">
        <v>54</v>
      </c>
      <c r="F60" s="7" t="n">
        <f aca="false">COUNTIFS('Paired Comparison'!$A:$A,$B60,'Paired Comparison'!$G:$G,$C60,'Paired Comparison'!$E:$E,"box001")</f>
        <v>21</v>
      </c>
      <c r="G60" s="9" t="n">
        <f aca="false">AVERAGEIFS('Paired Comparison'!$J:$J,'Paired Comparison'!$A:$A,$B60,'Paired Comparison'!$G:$G,$C60,'Paired Comparison'!$E:$E,"box001")</f>
        <v>0.0476190476190476</v>
      </c>
      <c r="H60" s="9" t="n">
        <f aca="false">AVERAGEIFS('Paired Comparison'!$K:$K,'Paired Comparison'!$A:$A,$B60,'Paired Comparison'!$G:$G,$C60,'Paired Comparison'!$E:$E,"box001")</f>
        <v>0.0476190476190476</v>
      </c>
      <c r="I60" s="9" t="n">
        <f aca="false">H60-G60</f>
        <v>0</v>
      </c>
      <c r="J60" s="9" t="n">
        <f aca="false">IF(E60="higher",I60,-I60)</f>
        <v>-0</v>
      </c>
      <c r="K60" s="9" t="n">
        <v>0</v>
      </c>
      <c r="L60" s="9" t="n">
        <v>0</v>
      </c>
      <c r="M60" s="9" t="n">
        <v>0</v>
      </c>
      <c r="N60" s="7" t="n">
        <f aca="false">COUNTIFS('Paired Comparison'!$A:$A,$B60,'Paired Comparison'!$G:$G,$C60,'Paired Comparison'!$E:$E,"box001",'Paired Comparison'!$M:$M,"&gt;0")</f>
        <v>0</v>
      </c>
      <c r="O60" s="7" t="n">
        <f aca="false">COUNTIFS('Paired Comparison'!$A:$A,$B60,'Paired Comparison'!$G:$G,$C60,'Paired Comparison'!$E:$E,"box001",'Paired Comparison'!$M:$M,"&lt;0")</f>
        <v>0</v>
      </c>
    </row>
    <row r="61" customFormat="false" ht="15" hidden="false" customHeight="false" outlineLevel="0" collapsed="false">
      <c r="A61" s="7" t="s">
        <v>126</v>
      </c>
      <c r="B61" s="7" t="s">
        <v>48</v>
      </c>
      <c r="C61" s="7" t="s">
        <v>52</v>
      </c>
      <c r="D61" s="7" t="s">
        <v>53</v>
      </c>
      <c r="E61" s="7" t="s">
        <v>54</v>
      </c>
      <c r="F61" s="7" t="n">
        <f aca="false">COUNTIFS('Paired Comparison'!$A:$A,$B61,'Paired Comparison'!$G:$G,$C61,'Paired Comparison'!$E:$E,"box001",'Paired Comparison'!$F:$F,TRUE())</f>
        <v>20</v>
      </c>
      <c r="G61" s="9" t="n">
        <f aca="false">AVERAGEIFS('Paired Comparison'!$J:$J,'Paired Comparison'!$A:$A,$B61,'Paired Comparison'!$G:$G,$C61,'Paired Comparison'!$E:$E,"box001",'Paired Comparison'!$F:$F,TRUE())</f>
        <v>4.7911164460973</v>
      </c>
      <c r="H61" s="9" t="n">
        <f aca="false">AVERAGEIFS('Paired Comparison'!$K:$K,'Paired Comparison'!$A:$A,$B61,'Paired Comparison'!$G:$G,$C61,'Paired Comparison'!$E:$E,"box001",'Paired Comparison'!$F:$F,TRUE())</f>
        <v>3.15015017728162</v>
      </c>
      <c r="I61" s="9" t="n">
        <f aca="false">H61-G61</f>
        <v>-1.64096626881567</v>
      </c>
      <c r="J61" s="9" t="n">
        <f aca="false">IF(E61="higher",I61,-I61)</f>
        <v>1.64096626881567</v>
      </c>
      <c r="K61" s="9" t="n">
        <v>1.61713078641658</v>
      </c>
      <c r="L61" s="9" t="n">
        <v>1.26653401438741</v>
      </c>
      <c r="M61" s="9" t="n">
        <v>2.01295271761246</v>
      </c>
      <c r="N61" s="7" t="n">
        <f aca="false">COUNTIFS('Paired Comparison'!$A:$A,$B61,'Paired Comparison'!$G:$G,$C61,'Paired Comparison'!$E:$E,"box001",'Paired Comparison'!$F:$F,TRUE(),'Paired Comparison'!$M:$M,"&gt;0")</f>
        <v>20</v>
      </c>
      <c r="O61" s="7" t="n">
        <f aca="false">COUNTIFS('Paired Comparison'!$A:$A,$B61,'Paired Comparison'!$G:$G,$C61,'Paired Comparison'!$E:$E,"box001",'Paired Comparison'!$F:$F,TRUE(),'Paired Comparison'!$M:$M,"&lt;0")</f>
        <v>0</v>
      </c>
    </row>
    <row r="62" customFormat="false" ht="15" hidden="false" customHeight="false" outlineLevel="0" collapsed="false">
      <c r="A62" s="7" t="s">
        <v>126</v>
      </c>
      <c r="B62" s="7" t="s">
        <v>48</v>
      </c>
      <c r="C62" s="7" t="s">
        <v>55</v>
      </c>
      <c r="D62" s="7" t="s">
        <v>56</v>
      </c>
      <c r="E62" s="7" t="s">
        <v>54</v>
      </c>
      <c r="F62" s="7" t="n">
        <f aca="false">COUNTIFS('Paired Comparison'!$A:$A,$B62,'Paired Comparison'!$G:$G,$C62,'Paired Comparison'!$E:$E,"box001",'Paired Comparison'!$F:$F,TRUE())</f>
        <v>20</v>
      </c>
      <c r="G62" s="9" t="n">
        <f aca="false">AVERAGEIFS('Paired Comparison'!$J:$J,'Paired Comparison'!$A:$A,$B62,'Paired Comparison'!$G:$G,$C62,'Paired Comparison'!$E:$E,"box001",'Paired Comparison'!$F:$F,TRUE())</f>
        <v>11.0243514723928</v>
      </c>
      <c r="H62" s="9" t="n">
        <f aca="false">AVERAGEIFS('Paired Comparison'!$K:$K,'Paired Comparison'!$A:$A,$B62,'Paired Comparison'!$G:$G,$C62,'Paired Comparison'!$E:$E,"box001",'Paired Comparison'!$F:$F,TRUE())</f>
        <v>9.47333979491544</v>
      </c>
      <c r="I62" s="9" t="n">
        <f aca="false">H62-G62</f>
        <v>-1.55101167747738</v>
      </c>
      <c r="J62" s="9" t="n">
        <f aca="false">IF(E62="higher",I62,-I62)</f>
        <v>1.55101167747738</v>
      </c>
      <c r="K62" s="9" t="n">
        <v>1.17811772042403</v>
      </c>
      <c r="L62" s="9" t="n">
        <v>0.754610021181919</v>
      </c>
      <c r="M62" s="9" t="n">
        <v>2.39453332324054</v>
      </c>
      <c r="N62" s="7" t="n">
        <f aca="false">COUNTIFS('Paired Comparison'!$A:$A,$B62,'Paired Comparison'!$G:$G,$C62,'Paired Comparison'!$E:$E,"box001",'Paired Comparison'!$F:$F,TRUE(),'Paired Comparison'!$M:$M,"&gt;0")</f>
        <v>15</v>
      </c>
      <c r="O62" s="7" t="n">
        <f aca="false">COUNTIFS('Paired Comparison'!$A:$A,$B62,'Paired Comparison'!$G:$G,$C62,'Paired Comparison'!$E:$E,"box001",'Paired Comparison'!$F:$F,TRUE(),'Paired Comparison'!$M:$M,"&lt;0")</f>
        <v>5</v>
      </c>
    </row>
    <row r="63" customFormat="false" ht="15" hidden="false" customHeight="false" outlineLevel="0" collapsed="false">
      <c r="A63" s="7" t="s">
        <v>126</v>
      </c>
      <c r="B63" s="7" t="s">
        <v>48</v>
      </c>
      <c r="C63" s="7" t="s">
        <v>57</v>
      </c>
      <c r="D63" s="7" t="s">
        <v>58</v>
      </c>
      <c r="E63" s="7" t="s">
        <v>54</v>
      </c>
      <c r="F63" s="7" t="n">
        <f aca="false">COUNTIFS('Paired Comparison'!$A:$A,$B63,'Paired Comparison'!$G:$G,$C63,'Paired Comparison'!$E:$E,"box001",'Paired Comparison'!$F:$F,TRUE())</f>
        <v>20</v>
      </c>
      <c r="G63" s="9" t="n">
        <f aca="false">AVERAGEIFS('Paired Comparison'!$J:$J,'Paired Comparison'!$A:$A,$B63,'Paired Comparison'!$G:$G,$C63,'Paired Comparison'!$E:$E,"box001",'Paired Comparison'!$F:$F,TRUE())</f>
        <v>6.07561274603023</v>
      </c>
      <c r="H63" s="9" t="n">
        <f aca="false">AVERAGEIFS('Paired Comparison'!$K:$K,'Paired Comparison'!$A:$A,$B63,'Paired Comparison'!$G:$G,$C63,'Paired Comparison'!$E:$E,"box001",'Paired Comparison'!$F:$F,TRUE())</f>
        <v>5.25873837592409</v>
      </c>
      <c r="I63" s="9" t="n">
        <f aca="false">H63-G63</f>
        <v>-0.816874370106145</v>
      </c>
      <c r="J63" s="9" t="n">
        <f aca="false">IF(E63="higher",I63,-I63)</f>
        <v>0.816874370106145</v>
      </c>
      <c r="K63" s="9" t="n">
        <v>0.647516343655709</v>
      </c>
      <c r="L63" s="9" t="n">
        <v>0.226321638834027</v>
      </c>
      <c r="M63" s="9" t="n">
        <v>1.39900262904666</v>
      </c>
      <c r="N63" s="7" t="n">
        <f aca="false">COUNTIFS('Paired Comparison'!$A:$A,$B63,'Paired Comparison'!$G:$G,$C63,'Paired Comparison'!$E:$E,"box001",'Paired Comparison'!$F:$F,TRUE(),'Paired Comparison'!$M:$M,"&gt;0")</f>
        <v>15</v>
      </c>
      <c r="O63" s="7" t="n">
        <f aca="false">COUNTIFS('Paired Comparison'!$A:$A,$B63,'Paired Comparison'!$G:$G,$C63,'Paired Comparison'!$E:$E,"box001",'Paired Comparison'!$F:$F,TRUE(),'Paired Comparison'!$M:$M,"&lt;0")</f>
        <v>5</v>
      </c>
    </row>
    <row r="64" customFormat="false" ht="15" hidden="false" customHeight="false" outlineLevel="0" collapsed="false">
      <c r="A64" s="7" t="s">
        <v>126</v>
      </c>
      <c r="B64" s="7" t="s">
        <v>48</v>
      </c>
      <c r="C64" s="7" t="s">
        <v>59</v>
      </c>
      <c r="D64" s="7" t="s">
        <v>60</v>
      </c>
      <c r="E64" s="7" t="s">
        <v>54</v>
      </c>
      <c r="F64" s="7" t="n">
        <f aca="false">COUNTIFS('Paired Comparison'!$A:$A,$B64,'Paired Comparison'!$G:$G,$C64,'Paired Comparison'!$E:$E,"box001",'Paired Comparison'!$F:$F,TRUE())</f>
        <v>20</v>
      </c>
      <c r="G64" s="9" t="n">
        <f aca="false">AVERAGEIFS('Paired Comparison'!$J:$J,'Paired Comparison'!$A:$A,$B64,'Paired Comparison'!$G:$G,$C64,'Paired Comparison'!$E:$E,"box001",'Paired Comparison'!$F:$F,TRUE())</f>
        <v>0.0831679813222434</v>
      </c>
      <c r="H64" s="9" t="n">
        <f aca="false">AVERAGEIFS('Paired Comparison'!$K:$K,'Paired Comparison'!$A:$A,$B64,'Paired Comparison'!$G:$G,$C64,'Paired Comparison'!$E:$E,"box001",'Paired Comparison'!$F:$F,TRUE())</f>
        <v>0.0687362255205163</v>
      </c>
      <c r="I64" s="9" t="n">
        <f aca="false">H64-G64</f>
        <v>-0.0144317558017271</v>
      </c>
      <c r="J64" s="9" t="n">
        <f aca="false">IF(E64="higher",I64,-I64)</f>
        <v>0.0144317558017271</v>
      </c>
      <c r="K64" s="9" t="n">
        <v>0.0136558313038871</v>
      </c>
      <c r="L64" s="9" t="n">
        <v>0.00901128038758059</v>
      </c>
      <c r="M64" s="9" t="n">
        <v>0.0201544413096459</v>
      </c>
      <c r="N64" s="7" t="n">
        <f aca="false">COUNTIFS('Paired Comparison'!$A:$A,$B64,'Paired Comparison'!$G:$G,$C64,'Paired Comparison'!$E:$E,"box001",'Paired Comparison'!$F:$F,TRUE(),'Paired Comparison'!$M:$M,"&gt;0")</f>
        <v>17</v>
      </c>
      <c r="O64" s="7" t="n">
        <f aca="false">COUNTIFS('Paired Comparison'!$A:$A,$B64,'Paired Comparison'!$G:$G,$C64,'Paired Comparison'!$E:$E,"box001",'Paired Comparison'!$F:$F,TRUE(),'Paired Comparison'!$M:$M,"&lt;0")</f>
        <v>3</v>
      </c>
    </row>
    <row r="65" customFormat="false" ht="15" hidden="false" customHeight="false" outlineLevel="0" collapsed="false">
      <c r="A65" s="7" t="s">
        <v>126</v>
      </c>
      <c r="B65" s="7" t="s">
        <v>48</v>
      </c>
      <c r="C65" s="7" t="s">
        <v>61</v>
      </c>
      <c r="D65" s="7" t="s">
        <v>62</v>
      </c>
      <c r="E65" s="7" t="s">
        <v>54</v>
      </c>
      <c r="F65" s="7" t="n">
        <f aca="false">COUNTIFS('Paired Comparison'!$A:$A,$B65,'Paired Comparison'!$G:$G,$C65,'Paired Comparison'!$E:$E,"box001",'Paired Comparison'!$F:$F,TRUE())</f>
        <v>20</v>
      </c>
      <c r="G65" s="9" t="n">
        <f aca="false">AVERAGEIFS('Paired Comparison'!$J:$J,'Paired Comparison'!$A:$A,$B65,'Paired Comparison'!$G:$G,$C65,'Paired Comparison'!$E:$E,"box001",'Paired Comparison'!$F:$F,TRUE())</f>
        <v>16.2169970946338</v>
      </c>
      <c r="H65" s="9" t="n">
        <f aca="false">AVERAGEIFS('Paired Comparison'!$K:$K,'Paired Comparison'!$A:$A,$B65,'Paired Comparison'!$G:$G,$C65,'Paired Comparison'!$E:$E,"box001",'Paired Comparison'!$F:$F,TRUE())</f>
        <v>16.4865983266246</v>
      </c>
      <c r="I65" s="9" t="n">
        <f aca="false">H65-G65</f>
        <v>0.269601231990766</v>
      </c>
      <c r="J65" s="9" t="n">
        <f aca="false">IF(E65="higher",I65,-I65)</f>
        <v>-0.269601231990766</v>
      </c>
      <c r="K65" s="9" t="n">
        <v>-1.048648655901</v>
      </c>
      <c r="L65" s="9" t="n">
        <v>-1.92734848009355</v>
      </c>
      <c r="M65" s="9" t="n">
        <v>1.4733525661182</v>
      </c>
      <c r="N65" s="7" t="n">
        <f aca="false">COUNTIFS('Paired Comparison'!$A:$A,$B65,'Paired Comparison'!$G:$G,$C65,'Paired Comparison'!$E:$E,"box001",'Paired Comparison'!$F:$F,TRUE(),'Paired Comparison'!$M:$M,"&gt;0")</f>
        <v>9</v>
      </c>
      <c r="O65" s="7" t="n">
        <f aca="false">COUNTIFS('Paired Comparison'!$A:$A,$B65,'Paired Comparison'!$G:$G,$C65,'Paired Comparison'!$E:$E,"box001",'Paired Comparison'!$F:$F,TRUE(),'Paired Comparison'!$M:$M,"&lt;0")</f>
        <v>11</v>
      </c>
    </row>
    <row r="66" customFormat="false" ht="15" hidden="false" customHeight="false" outlineLevel="0" collapsed="false">
      <c r="A66" s="7" t="s">
        <v>126</v>
      </c>
      <c r="B66" s="7" t="s">
        <v>48</v>
      </c>
      <c r="C66" s="7" t="s">
        <v>63</v>
      </c>
      <c r="D66" s="7" t="s">
        <v>64</v>
      </c>
      <c r="E66" s="7" t="s">
        <v>54</v>
      </c>
      <c r="F66" s="7" t="n">
        <f aca="false">COUNTIFS('Paired Comparison'!$A:$A,$B66,'Paired Comparison'!$G:$G,$C66,'Paired Comparison'!$E:$E,"box001",'Paired Comparison'!$F:$F,TRUE())</f>
        <v>20</v>
      </c>
      <c r="G66" s="9" t="n">
        <f aca="false">AVERAGEIFS('Paired Comparison'!$J:$J,'Paired Comparison'!$A:$A,$B66,'Paired Comparison'!$G:$G,$C66,'Paired Comparison'!$E:$E,"box001",'Paired Comparison'!$F:$F,TRUE())</f>
        <v>9.90140935860393</v>
      </c>
      <c r="H66" s="9" t="n">
        <f aca="false">AVERAGEIFS('Paired Comparison'!$K:$K,'Paired Comparison'!$A:$A,$B66,'Paired Comparison'!$G:$G,$C66,'Paired Comparison'!$E:$E,"box001",'Paired Comparison'!$F:$F,TRUE())</f>
        <v>8.75800417861964</v>
      </c>
      <c r="I66" s="9" t="n">
        <f aca="false">H66-G66</f>
        <v>-1.14340517998429</v>
      </c>
      <c r="J66" s="9" t="n">
        <f aca="false">IF(E66="higher",I66,-I66)</f>
        <v>1.14340517998429</v>
      </c>
      <c r="K66" s="9" t="n">
        <v>0.510238978220527</v>
      </c>
      <c r="L66" s="9" t="n">
        <v>-0.0599494547490063</v>
      </c>
      <c r="M66" s="9" t="n">
        <v>2.54034864713529</v>
      </c>
      <c r="N66" s="7" t="n">
        <f aca="false">COUNTIFS('Paired Comparison'!$A:$A,$B66,'Paired Comparison'!$G:$G,$C66,'Paired Comparison'!$E:$E,"box001",'Paired Comparison'!$F:$F,TRUE(),'Paired Comparison'!$M:$M,"&gt;0")</f>
        <v>13</v>
      </c>
      <c r="O66" s="7" t="n">
        <f aca="false">COUNTIFS('Paired Comparison'!$A:$A,$B66,'Paired Comparison'!$G:$G,$C66,'Paired Comparison'!$E:$E,"box001",'Paired Comparison'!$F:$F,TRUE(),'Paired Comparison'!$M:$M,"&lt;0")</f>
        <v>7</v>
      </c>
    </row>
    <row r="67" customFormat="false" ht="15" hidden="false" customHeight="false" outlineLevel="0" collapsed="false">
      <c r="A67" s="7" t="s">
        <v>126</v>
      </c>
      <c r="B67" s="7" t="s">
        <v>48</v>
      </c>
      <c r="C67" s="7" t="s">
        <v>65</v>
      </c>
      <c r="D67" s="7" t="s">
        <v>66</v>
      </c>
      <c r="E67" s="7" t="s">
        <v>54</v>
      </c>
      <c r="F67" s="7" t="n">
        <f aca="false">COUNTIFS('Paired Comparison'!$A:$A,$B67,'Paired Comparison'!$G:$G,$C67,'Paired Comparison'!$E:$E,"box001",'Paired Comparison'!$F:$F,TRUE())</f>
        <v>20</v>
      </c>
      <c r="G67" s="9" t="n">
        <f aca="false">AVERAGEIFS('Paired Comparison'!$J:$J,'Paired Comparison'!$A:$A,$B67,'Paired Comparison'!$G:$G,$C67,'Paired Comparison'!$E:$E,"box001",'Paired Comparison'!$F:$F,TRUE())</f>
        <v>16.004158484152</v>
      </c>
      <c r="H67" s="9" t="n">
        <f aca="false">AVERAGEIFS('Paired Comparison'!$K:$K,'Paired Comparison'!$A:$A,$B67,'Paired Comparison'!$G:$G,$C67,'Paired Comparison'!$E:$E,"box001",'Paired Comparison'!$F:$F,TRUE())</f>
        <v>15.7348119376466</v>
      </c>
      <c r="I67" s="9" t="n">
        <f aca="false">H67-G67</f>
        <v>-0.26934654650543</v>
      </c>
      <c r="J67" s="9" t="n">
        <f aca="false">IF(E67="higher",I67,-I67)</f>
        <v>0.26934654650543</v>
      </c>
      <c r="K67" s="9" t="n">
        <v>-0.872238369534278</v>
      </c>
      <c r="L67" s="9" t="n">
        <v>-1.1507785094792</v>
      </c>
      <c r="M67" s="9" t="n">
        <v>1.85708119777782</v>
      </c>
      <c r="N67" s="7" t="n">
        <f aca="false">COUNTIFS('Paired Comparison'!$A:$A,$B67,'Paired Comparison'!$G:$G,$C67,'Paired Comparison'!$E:$E,"box001",'Paired Comparison'!$F:$F,TRUE(),'Paired Comparison'!$M:$M,"&gt;0")</f>
        <v>9</v>
      </c>
      <c r="O67" s="7" t="n">
        <f aca="false">COUNTIFS('Paired Comparison'!$A:$A,$B67,'Paired Comparison'!$G:$G,$C67,'Paired Comparison'!$E:$E,"box001",'Paired Comparison'!$F:$F,TRUE(),'Paired Comparison'!$M:$M,"&lt;0")</f>
        <v>11</v>
      </c>
    </row>
    <row r="68" customFormat="false" ht="15" hidden="false" customHeight="false" outlineLevel="0" collapsed="false">
      <c r="A68" s="7" t="s">
        <v>126</v>
      </c>
      <c r="B68" s="7" t="s">
        <v>48</v>
      </c>
      <c r="C68" s="7" t="s">
        <v>67</v>
      </c>
      <c r="D68" s="7" t="s">
        <v>68</v>
      </c>
      <c r="E68" s="7" t="s">
        <v>54</v>
      </c>
      <c r="F68" s="7" t="n">
        <f aca="false">COUNTIFS('Paired Comparison'!$A:$A,$B68,'Paired Comparison'!$G:$G,$C68,'Paired Comparison'!$E:$E,"box001",'Paired Comparison'!$F:$F,TRUE())</f>
        <v>20</v>
      </c>
      <c r="G68" s="9" t="n">
        <f aca="false">AVERAGEIFS('Paired Comparison'!$J:$J,'Paired Comparison'!$A:$A,$B68,'Paired Comparison'!$G:$G,$C68,'Paired Comparison'!$E:$E,"box001",'Paired Comparison'!$F:$F,TRUE())</f>
        <v>18.5565190944466</v>
      </c>
      <c r="H68" s="9" t="n">
        <f aca="false">AVERAGEIFS('Paired Comparison'!$K:$K,'Paired Comparison'!$A:$A,$B68,'Paired Comparison'!$G:$G,$C68,'Paired Comparison'!$E:$E,"box001",'Paired Comparison'!$F:$F,TRUE())</f>
        <v>17.8643756277772</v>
      </c>
      <c r="I68" s="9" t="n">
        <f aca="false">H68-G68</f>
        <v>-0.692143466669382</v>
      </c>
      <c r="J68" s="9" t="n">
        <f aca="false">IF(E68="higher",I68,-I68)</f>
        <v>0.692143466669382</v>
      </c>
      <c r="K68" s="9" t="n">
        <v>0.363138390539909</v>
      </c>
      <c r="L68" s="9" t="n">
        <v>-0.559077375041839</v>
      </c>
      <c r="M68" s="9" t="n">
        <v>2.04194299518364</v>
      </c>
      <c r="N68" s="7" t="n">
        <f aca="false">COUNTIFS('Paired Comparison'!$A:$A,$B68,'Paired Comparison'!$G:$G,$C68,'Paired Comparison'!$E:$E,"box001",'Paired Comparison'!$F:$F,TRUE(),'Paired Comparison'!$M:$M,"&gt;0")</f>
        <v>13</v>
      </c>
      <c r="O68" s="7" t="n">
        <f aca="false">COUNTIFS('Paired Comparison'!$A:$A,$B68,'Paired Comparison'!$G:$G,$C68,'Paired Comparison'!$E:$E,"box001",'Paired Comparison'!$F:$F,TRUE(),'Paired Comparison'!$M:$M,"&lt;0")</f>
        <v>7</v>
      </c>
    </row>
    <row r="69" customFormat="false" ht="15" hidden="false" customHeight="false" outlineLevel="0" collapsed="false">
      <c r="A69" s="7" t="s">
        <v>126</v>
      </c>
      <c r="B69" s="7" t="s">
        <v>48</v>
      </c>
      <c r="C69" s="7" t="s">
        <v>69</v>
      </c>
      <c r="D69" s="7" t="s">
        <v>70</v>
      </c>
      <c r="E69" s="7" t="s">
        <v>71</v>
      </c>
      <c r="F69" s="7" t="n">
        <f aca="false">COUNTIFS('Paired Comparison'!$A:$A,$B69,'Paired Comparison'!$G:$G,$C69,'Paired Comparison'!$E:$E,"box001",'Paired Comparison'!$F:$F,TRUE())</f>
        <v>20</v>
      </c>
      <c r="G69" s="9" t="n">
        <f aca="false">AVERAGEIFS('Paired Comparison'!$J:$J,'Paired Comparison'!$A:$A,$B69,'Paired Comparison'!$G:$G,$C69,'Paired Comparison'!$E:$E,"box001",'Paired Comparison'!$F:$F,TRUE())</f>
        <v>0.515221038781491</v>
      </c>
      <c r="H69" s="9" t="n">
        <f aca="false">AVERAGEIFS('Paired Comparison'!$K:$K,'Paired Comparison'!$A:$A,$B69,'Paired Comparison'!$G:$G,$C69,'Paired Comparison'!$E:$E,"box001",'Paired Comparison'!$F:$F,TRUE())</f>
        <v>0.571903647676628</v>
      </c>
      <c r="I69" s="9" t="n">
        <f aca="false">H69-G69</f>
        <v>0.0566826088951371</v>
      </c>
      <c r="J69" s="9" t="n">
        <f aca="false">IF(E69="higher",I69,-I69)</f>
        <v>0.0566826088951371</v>
      </c>
      <c r="K69" s="9" t="n">
        <v>0.0639386189258313</v>
      </c>
      <c r="L69" s="9" t="n">
        <v>0.0103798316074105</v>
      </c>
      <c r="M69" s="9" t="n">
        <v>0.103846996689332</v>
      </c>
      <c r="N69" s="7" t="n">
        <f aca="false">COUNTIFS('Paired Comparison'!$A:$A,$B69,'Paired Comparison'!$G:$G,$C69,'Paired Comparison'!$E:$E,"box001",'Paired Comparison'!$F:$F,TRUE(),'Paired Comparison'!$M:$M,"&gt;0")</f>
        <v>15</v>
      </c>
      <c r="O69" s="7" t="n">
        <f aca="false">COUNTIFS('Paired Comparison'!$A:$A,$B69,'Paired Comparison'!$G:$G,$C69,'Paired Comparison'!$E:$E,"box001",'Paired Comparison'!$F:$F,TRUE(),'Paired Comparison'!$M:$M,"&lt;0")</f>
        <v>4</v>
      </c>
    </row>
    <row r="70" customFormat="false" ht="15" hidden="false" customHeight="false" outlineLevel="0" collapsed="false">
      <c r="A70" s="7" t="s">
        <v>126</v>
      </c>
      <c r="B70" s="7" t="s">
        <v>48</v>
      </c>
      <c r="C70" s="7" t="s">
        <v>72</v>
      </c>
      <c r="D70" s="7" t="s">
        <v>73</v>
      </c>
      <c r="E70" s="7" t="s">
        <v>71</v>
      </c>
      <c r="F70" s="7" t="n">
        <f aca="false">COUNTIFS('Paired Comparison'!$A:$A,$B70,'Paired Comparison'!$G:$G,$C70,'Paired Comparison'!$E:$E,"box001",'Paired Comparison'!$F:$F,TRUE())</f>
        <v>20</v>
      </c>
      <c r="G70" s="9" t="n">
        <f aca="false">AVERAGEIFS('Paired Comparison'!$J:$J,'Paired Comparison'!$A:$A,$B70,'Paired Comparison'!$G:$G,$C70,'Paired Comparison'!$E:$E,"box001",'Paired Comparison'!$F:$F,TRUE())</f>
        <v>0.839870868292624</v>
      </c>
      <c r="H70" s="9" t="n">
        <f aca="false">AVERAGEIFS('Paired Comparison'!$K:$K,'Paired Comparison'!$A:$A,$B70,'Paired Comparison'!$G:$G,$C70,'Paired Comparison'!$E:$E,"box001",'Paired Comparison'!$F:$F,TRUE())</f>
        <v>0.825937889087694</v>
      </c>
      <c r="I70" s="9" t="n">
        <f aca="false">H70-G70</f>
        <v>-0.013932979204931</v>
      </c>
      <c r="J70" s="9" t="n">
        <f aca="false">IF(E70="higher",I70,-I70)</f>
        <v>-0.013932979204931</v>
      </c>
      <c r="K70" s="9" t="n">
        <v>0</v>
      </c>
      <c r="L70" s="9" t="n">
        <v>-0.0553853217377479</v>
      </c>
      <c r="M70" s="9" t="n">
        <v>0.0200913131969784</v>
      </c>
      <c r="N70" s="7" t="n">
        <f aca="false">COUNTIFS('Paired Comparison'!$A:$A,$B70,'Paired Comparison'!$G:$G,$C70,'Paired Comparison'!$E:$E,"box001",'Paired Comparison'!$F:$F,TRUE(),'Paired Comparison'!$M:$M,"&gt;0")</f>
        <v>7</v>
      </c>
      <c r="O70" s="7" t="n">
        <f aca="false">COUNTIFS('Paired Comparison'!$A:$A,$B70,'Paired Comparison'!$G:$G,$C70,'Paired Comparison'!$E:$E,"box001",'Paired Comparison'!$F:$F,TRUE(),'Paired Comparison'!$M:$M,"&lt;0")</f>
        <v>8</v>
      </c>
    </row>
    <row r="71" customFormat="false" ht="15" hidden="false" customHeight="false" outlineLevel="0" collapsed="false">
      <c r="A71" s="7" t="s">
        <v>126</v>
      </c>
      <c r="B71" s="7" t="s">
        <v>48</v>
      </c>
      <c r="C71" s="7" t="s">
        <v>74</v>
      </c>
      <c r="D71" s="7" t="s">
        <v>75</v>
      </c>
      <c r="E71" s="7" t="s">
        <v>54</v>
      </c>
      <c r="F71" s="7" t="n">
        <f aca="false">COUNTIFS('Paired Comparison'!$A:$A,$B71,'Paired Comparison'!$G:$G,$C71,'Paired Comparison'!$E:$E,"box001",'Paired Comparison'!$F:$F,TRUE())</f>
        <v>20</v>
      </c>
      <c r="G71" s="9" t="n">
        <f aca="false">AVERAGEIFS('Paired Comparison'!$J:$J,'Paired Comparison'!$A:$A,$B71,'Paired Comparison'!$G:$G,$C71,'Paired Comparison'!$E:$E,"box001",'Paired Comparison'!$F:$F,TRUE())</f>
        <v>0.132241588307378</v>
      </c>
      <c r="H71" s="9" t="n">
        <f aca="false">AVERAGEIFS('Paired Comparison'!$K:$K,'Paired Comparison'!$A:$A,$B71,'Paired Comparison'!$G:$G,$C71,'Paired Comparison'!$E:$E,"box001",'Paired Comparison'!$F:$F,TRUE())</f>
        <v>0.132301142491932</v>
      </c>
      <c r="I71" s="9" t="n">
        <f aca="false">H71-G71</f>
        <v>5.95541845541947E-005</v>
      </c>
      <c r="J71" s="9" t="n">
        <f aca="false">IF(E71="higher",I71,-I71)</f>
        <v>-5.95541845541947E-005</v>
      </c>
      <c r="K71" s="9" t="n">
        <v>0</v>
      </c>
      <c r="L71" s="9" t="n">
        <v>-0.0665045498139248</v>
      </c>
      <c r="M71" s="9" t="n">
        <v>0.0494980831668332</v>
      </c>
      <c r="N71" s="7" t="n">
        <f aca="false">COUNTIFS('Paired Comparison'!$A:$A,$B71,'Paired Comparison'!$G:$G,$C71,'Paired Comparison'!$E:$E,"box001",'Paired Comparison'!$F:$F,TRUE(),'Paired Comparison'!$M:$M,"&gt;0")</f>
        <v>9</v>
      </c>
      <c r="O71" s="7" t="n">
        <f aca="false">COUNTIFS('Paired Comparison'!$A:$A,$B71,'Paired Comparison'!$G:$G,$C71,'Paired Comparison'!$E:$E,"box001",'Paired Comparison'!$F:$F,TRUE(),'Paired Comparison'!$M:$M,"&lt;0")</f>
        <v>6</v>
      </c>
    </row>
    <row r="72" customFormat="false" ht="15" hidden="false" customHeight="false" outlineLevel="0" collapsed="false">
      <c r="A72" s="7" t="s">
        <v>126</v>
      </c>
      <c r="B72" s="7" t="s">
        <v>48</v>
      </c>
      <c r="C72" s="7" t="s">
        <v>76</v>
      </c>
      <c r="D72" s="7" t="s">
        <v>77</v>
      </c>
      <c r="E72" s="7" t="s">
        <v>54</v>
      </c>
      <c r="F72" s="7" t="n">
        <f aca="false">COUNTIFS('Paired Comparison'!$A:$A,$B72,'Paired Comparison'!$G:$G,$C72,'Paired Comparison'!$E:$E,"box001",'Paired Comparison'!$F:$F,TRUE())</f>
        <v>20</v>
      </c>
      <c r="G72" s="9" t="n">
        <f aca="false">AVERAGEIFS('Paired Comparison'!$J:$J,'Paired Comparison'!$A:$A,$B72,'Paired Comparison'!$G:$G,$C72,'Paired Comparison'!$E:$E,"box001",'Paired Comparison'!$F:$F,TRUE())</f>
        <v>0.225358814764003</v>
      </c>
      <c r="H72" s="9" t="n">
        <f aca="false">AVERAGEIFS('Paired Comparison'!$K:$K,'Paired Comparison'!$A:$A,$B72,'Paired Comparison'!$G:$G,$C72,'Paired Comparison'!$E:$E,"box001",'Paired Comparison'!$F:$F,TRUE())</f>
        <v>0.184034241844348</v>
      </c>
      <c r="I72" s="9" t="n">
        <f aca="false">H72-G72</f>
        <v>-0.0413245729196549</v>
      </c>
      <c r="J72" s="9" t="n">
        <f aca="false">IF(E72="higher",I72,-I72)</f>
        <v>0.0413245729196549</v>
      </c>
      <c r="K72" s="9" t="n">
        <v>0.0319849874895747</v>
      </c>
      <c r="L72" s="9" t="n">
        <v>-0.00549889674376799</v>
      </c>
      <c r="M72" s="9" t="n">
        <v>0.0878197210993126</v>
      </c>
      <c r="N72" s="7" t="n">
        <f aca="false">COUNTIFS('Paired Comparison'!$A:$A,$B72,'Paired Comparison'!$G:$G,$C72,'Paired Comparison'!$E:$E,"box001",'Paired Comparison'!$F:$F,TRUE(),'Paired Comparison'!$M:$M,"&gt;0")</f>
        <v>14</v>
      </c>
      <c r="O72" s="7" t="n">
        <f aca="false">COUNTIFS('Paired Comparison'!$A:$A,$B72,'Paired Comparison'!$G:$G,$C72,'Paired Comparison'!$E:$E,"box001",'Paired Comparison'!$F:$F,TRUE(),'Paired Comparison'!$M:$M,"&lt;0")</f>
        <v>4</v>
      </c>
    </row>
    <row r="73" customFormat="false" ht="15" hidden="false" customHeight="false" outlineLevel="0" collapsed="false">
      <c r="A73" s="7" t="s">
        <v>126</v>
      </c>
      <c r="B73" s="7" t="s">
        <v>48</v>
      </c>
      <c r="C73" s="7" t="s">
        <v>78</v>
      </c>
      <c r="D73" s="7" t="s">
        <v>79</v>
      </c>
      <c r="E73" s="7" t="s">
        <v>54</v>
      </c>
      <c r="F73" s="7" t="n">
        <f aca="false">COUNTIFS('Paired Comparison'!$A:$A,$B73,'Paired Comparison'!$G:$G,$C73,'Paired Comparison'!$E:$E,"box001",'Paired Comparison'!$F:$F,TRUE())</f>
        <v>20</v>
      </c>
      <c r="G73" s="9" t="n">
        <f aca="false">AVERAGEIFS('Paired Comparison'!$J:$J,'Paired Comparison'!$A:$A,$B73,'Paired Comparison'!$G:$G,$C73,'Paired Comparison'!$E:$E,"box001",'Paired Comparison'!$F:$F,TRUE())</f>
        <v>0.0655146840752181</v>
      </c>
      <c r="H73" s="9" t="n">
        <f aca="false">AVERAGEIFS('Paired Comparison'!$K:$K,'Paired Comparison'!$A:$A,$B73,'Paired Comparison'!$G:$G,$C73,'Paired Comparison'!$E:$E,"box001",'Paired Comparison'!$F:$F,TRUE())</f>
        <v>0.0195883908168489</v>
      </c>
      <c r="I73" s="9" t="n">
        <f aca="false">H73-G73</f>
        <v>-0.0459262932583692</v>
      </c>
      <c r="J73" s="9" t="n">
        <f aca="false">IF(E73="higher",I73,-I73)</f>
        <v>0.0459262932583692</v>
      </c>
      <c r="K73" s="9" t="n">
        <v>0</v>
      </c>
      <c r="L73" s="9" t="n">
        <v>0.00917105244892898</v>
      </c>
      <c r="M73" s="9" t="n">
        <v>0.0943227989131943</v>
      </c>
      <c r="N73" s="7" t="n">
        <f aca="false">COUNTIFS('Paired Comparison'!$A:$A,$B73,'Paired Comparison'!$G:$G,$C73,'Paired Comparison'!$E:$E,"box001",'Paired Comparison'!$F:$F,TRUE(),'Paired Comparison'!$M:$M,"&gt;0")</f>
        <v>7</v>
      </c>
      <c r="O73" s="7" t="n">
        <f aca="false">COUNTIFS('Paired Comparison'!$A:$A,$B73,'Paired Comparison'!$G:$G,$C73,'Paired Comparison'!$E:$E,"box001",'Paired Comparison'!$F:$F,TRUE(),'Paired Comparison'!$M:$M,"&lt;0")</f>
        <v>1</v>
      </c>
    </row>
    <row r="74" customFormat="false" ht="15" hidden="false" customHeight="false" outlineLevel="0" collapsed="false">
      <c r="A74" s="7" t="s">
        <v>126</v>
      </c>
      <c r="B74" s="7" t="s">
        <v>48</v>
      </c>
      <c r="C74" s="7" t="s">
        <v>80</v>
      </c>
      <c r="D74" s="7" t="s">
        <v>81</v>
      </c>
      <c r="E74" s="7" t="s">
        <v>54</v>
      </c>
      <c r="F74" s="7" t="n">
        <f aca="false">COUNTIFS('Paired Comparison'!$A:$A,$B74,'Paired Comparison'!$G:$G,$C74,'Paired Comparison'!$E:$E,"box001",'Paired Comparison'!$F:$F,TRUE())</f>
        <v>20</v>
      </c>
      <c r="G74" s="9" t="n">
        <f aca="false">AVERAGEIFS('Paired Comparison'!$J:$J,'Paired Comparison'!$A:$A,$B74,'Paired Comparison'!$G:$G,$C74,'Paired Comparison'!$E:$E,"box001",'Paired Comparison'!$F:$F,TRUE())</f>
        <v>0</v>
      </c>
      <c r="H74" s="9" t="n">
        <f aca="false">AVERAGEIFS('Paired Comparison'!$K:$K,'Paired Comparison'!$A:$A,$B74,'Paired Comparison'!$G:$G,$C74,'Paired Comparison'!$E:$E,"box001",'Paired Comparison'!$F:$F,TRUE())</f>
        <v>0</v>
      </c>
      <c r="I74" s="9" t="n">
        <f aca="false">H74-G74</f>
        <v>0</v>
      </c>
      <c r="J74" s="9" t="n">
        <f aca="false">IF(E74="higher",I74,-I74)</f>
        <v>-0</v>
      </c>
      <c r="K74" s="9" t="n">
        <v>0</v>
      </c>
      <c r="L74" s="9" t="n">
        <v>0</v>
      </c>
      <c r="M74" s="9" t="n">
        <v>0</v>
      </c>
      <c r="N74" s="7" t="n">
        <f aca="false">COUNTIFS('Paired Comparison'!$A:$A,$B74,'Paired Comparison'!$G:$G,$C74,'Paired Comparison'!$E:$E,"box001",'Paired Comparison'!$F:$F,TRUE(),'Paired Comparison'!$M:$M,"&gt;0")</f>
        <v>0</v>
      </c>
      <c r="O74" s="7" t="n">
        <f aca="false">COUNTIFS('Paired Comparison'!$A:$A,$B74,'Paired Comparison'!$G:$G,$C74,'Paired Comparison'!$E:$E,"box001",'Paired Comparison'!$F:$F,TRUE(),'Paired Comparison'!$M:$M,"&lt;0")</f>
        <v>0</v>
      </c>
    </row>
    <row r="75" customFormat="false" ht="15" hidden="false" customHeight="false" outlineLevel="0" collapsed="false">
      <c r="A75" s="7" t="s">
        <v>126</v>
      </c>
      <c r="B75" s="7" t="s">
        <v>82</v>
      </c>
      <c r="C75" s="7" t="s">
        <v>52</v>
      </c>
      <c r="D75" s="7" t="s">
        <v>53</v>
      </c>
      <c r="E75" s="7" t="s">
        <v>54</v>
      </c>
      <c r="F75" s="7" t="n">
        <f aca="false">COUNTIFS('Paired Comparison'!$A:$A,$B75,'Paired Comparison'!$G:$G,$C75,'Paired Comparison'!$E:$E,"box001",'Paired Comparison'!$F:$F,TRUE())</f>
        <v>20</v>
      </c>
      <c r="G75" s="9" t="n">
        <f aca="false">AVERAGEIFS('Paired Comparison'!$J:$J,'Paired Comparison'!$A:$A,$B75,'Paired Comparison'!$G:$G,$C75,'Paired Comparison'!$E:$E,"box001",'Paired Comparison'!$F:$F,TRUE())</f>
        <v>3.65415161489444</v>
      </c>
      <c r="H75" s="9" t="n">
        <f aca="false">AVERAGEIFS('Paired Comparison'!$K:$K,'Paired Comparison'!$A:$A,$B75,'Paired Comparison'!$G:$G,$C75,'Paired Comparison'!$E:$E,"box001",'Paired Comparison'!$F:$F,TRUE())</f>
        <v>3.15015017728162</v>
      </c>
      <c r="I75" s="9" t="n">
        <f aca="false">H75-G75</f>
        <v>-0.504001437612815</v>
      </c>
      <c r="J75" s="9" t="n">
        <f aca="false">IF(E75="higher",I75,-I75)</f>
        <v>0.504001437612815</v>
      </c>
      <c r="K75" s="9" t="n">
        <v>0.323321979038122</v>
      </c>
      <c r="L75" s="9" t="n">
        <v>0.167776578979959</v>
      </c>
      <c r="M75" s="9" t="n">
        <v>0.905050771718101</v>
      </c>
      <c r="N75" s="7" t="n">
        <f aca="false">COUNTIFS('Paired Comparison'!$A:$A,$B75,'Paired Comparison'!$G:$G,$C75,'Paired Comparison'!$E:$E,"box001",'Paired Comparison'!$F:$F,TRUE(),'Paired Comparison'!$M:$M,"&gt;0")</f>
        <v>15</v>
      </c>
      <c r="O75" s="7" t="n">
        <f aca="false">COUNTIFS('Paired Comparison'!$A:$A,$B75,'Paired Comparison'!$G:$G,$C75,'Paired Comparison'!$E:$E,"box001",'Paired Comparison'!$F:$F,TRUE(),'Paired Comparison'!$M:$M,"&lt;0")</f>
        <v>5</v>
      </c>
    </row>
    <row r="76" customFormat="false" ht="15" hidden="false" customHeight="false" outlineLevel="0" collapsed="false">
      <c r="A76" s="7" t="s">
        <v>126</v>
      </c>
      <c r="B76" s="7" t="s">
        <v>82</v>
      </c>
      <c r="C76" s="7" t="s">
        <v>55</v>
      </c>
      <c r="D76" s="7" t="s">
        <v>56</v>
      </c>
      <c r="E76" s="7" t="s">
        <v>54</v>
      </c>
      <c r="F76" s="7" t="n">
        <f aca="false">COUNTIFS('Paired Comparison'!$A:$A,$B76,'Paired Comparison'!$G:$G,$C76,'Paired Comparison'!$E:$E,"box001",'Paired Comparison'!$F:$F,TRUE())</f>
        <v>20</v>
      </c>
      <c r="G76" s="9" t="n">
        <f aca="false">AVERAGEIFS('Paired Comparison'!$J:$J,'Paired Comparison'!$A:$A,$B76,'Paired Comparison'!$G:$G,$C76,'Paired Comparison'!$E:$E,"box001",'Paired Comparison'!$F:$F,TRUE())</f>
        <v>9.86815973119621</v>
      </c>
      <c r="H76" s="9" t="n">
        <f aca="false">AVERAGEIFS('Paired Comparison'!$K:$K,'Paired Comparison'!$A:$A,$B76,'Paired Comparison'!$G:$G,$C76,'Paired Comparison'!$E:$E,"box001",'Paired Comparison'!$F:$F,TRUE())</f>
        <v>9.47333979491544</v>
      </c>
      <c r="I76" s="9" t="n">
        <f aca="false">H76-G76</f>
        <v>-0.394819936280774</v>
      </c>
      <c r="J76" s="9" t="n">
        <f aca="false">IF(E76="higher",I76,-I76)</f>
        <v>0.394819936280774</v>
      </c>
      <c r="K76" s="9" t="n">
        <v>0.772410177040793</v>
      </c>
      <c r="L76" s="9" t="n">
        <v>-0.05565037122799</v>
      </c>
      <c r="M76" s="9" t="n">
        <v>0.816873487388772</v>
      </c>
      <c r="N76" s="7" t="n">
        <f aca="false">COUNTIFS('Paired Comparison'!$A:$A,$B76,'Paired Comparison'!$G:$G,$C76,'Paired Comparison'!$E:$E,"box001",'Paired Comparison'!$F:$F,TRUE(),'Paired Comparison'!$M:$M,"&gt;0")</f>
        <v>12</v>
      </c>
      <c r="O76" s="7" t="n">
        <f aca="false">COUNTIFS('Paired Comparison'!$A:$A,$B76,'Paired Comparison'!$G:$G,$C76,'Paired Comparison'!$E:$E,"box001",'Paired Comparison'!$F:$F,TRUE(),'Paired Comparison'!$M:$M,"&lt;0")</f>
        <v>8</v>
      </c>
    </row>
    <row r="77" customFormat="false" ht="15" hidden="false" customHeight="false" outlineLevel="0" collapsed="false">
      <c r="A77" s="7" t="s">
        <v>126</v>
      </c>
      <c r="B77" s="7" t="s">
        <v>82</v>
      </c>
      <c r="C77" s="7" t="s">
        <v>57</v>
      </c>
      <c r="D77" s="7" t="s">
        <v>58</v>
      </c>
      <c r="E77" s="7" t="s">
        <v>54</v>
      </c>
      <c r="F77" s="7" t="n">
        <f aca="false">COUNTIFS('Paired Comparison'!$A:$A,$B77,'Paired Comparison'!$G:$G,$C77,'Paired Comparison'!$E:$E,"box001",'Paired Comparison'!$F:$F,TRUE())</f>
        <v>20</v>
      </c>
      <c r="G77" s="9" t="n">
        <f aca="false">AVERAGEIFS('Paired Comparison'!$J:$J,'Paired Comparison'!$A:$A,$B77,'Paired Comparison'!$G:$G,$C77,'Paired Comparison'!$E:$E,"box001",'Paired Comparison'!$F:$F,TRUE())</f>
        <v>9.86976086641591</v>
      </c>
      <c r="H77" s="9" t="n">
        <f aca="false">AVERAGEIFS('Paired Comparison'!$K:$K,'Paired Comparison'!$A:$A,$B77,'Paired Comparison'!$G:$G,$C77,'Paired Comparison'!$E:$E,"box001",'Paired Comparison'!$F:$F,TRUE())</f>
        <v>5.25873837592409</v>
      </c>
      <c r="I77" s="9" t="n">
        <f aca="false">H77-G77</f>
        <v>-4.61102249049183</v>
      </c>
      <c r="J77" s="9" t="n">
        <f aca="false">IF(E77="higher",I77,-I77)</f>
        <v>4.61102249049183</v>
      </c>
      <c r="K77" s="9" t="n">
        <v>0.969712161701093</v>
      </c>
      <c r="L77" s="9" t="n">
        <v>1.67457829032764</v>
      </c>
      <c r="M77" s="9" t="n">
        <v>8.05564134102443</v>
      </c>
      <c r="N77" s="7" t="n">
        <f aca="false">COUNTIFS('Paired Comparison'!$A:$A,$B77,'Paired Comparison'!$G:$G,$C77,'Paired Comparison'!$E:$E,"box001",'Paired Comparison'!$F:$F,TRUE(),'Paired Comparison'!$M:$M,"&gt;0")</f>
        <v>14</v>
      </c>
      <c r="O77" s="7" t="n">
        <f aca="false">COUNTIFS('Paired Comparison'!$A:$A,$B77,'Paired Comparison'!$G:$G,$C77,'Paired Comparison'!$E:$E,"box001",'Paired Comparison'!$F:$F,TRUE(),'Paired Comparison'!$M:$M,"&lt;0")</f>
        <v>6</v>
      </c>
    </row>
    <row r="78" customFormat="false" ht="15" hidden="false" customHeight="false" outlineLevel="0" collapsed="false">
      <c r="A78" s="7" t="s">
        <v>126</v>
      </c>
      <c r="B78" s="7" t="s">
        <v>82</v>
      </c>
      <c r="C78" s="7" t="s">
        <v>59</v>
      </c>
      <c r="D78" s="7" t="s">
        <v>60</v>
      </c>
      <c r="E78" s="7" t="s">
        <v>54</v>
      </c>
      <c r="F78" s="7" t="n">
        <f aca="false">COUNTIFS('Paired Comparison'!$A:$A,$B78,'Paired Comparison'!$G:$G,$C78,'Paired Comparison'!$E:$E,"box001",'Paired Comparison'!$F:$F,TRUE())</f>
        <v>20</v>
      </c>
      <c r="G78" s="9" t="n">
        <f aca="false">AVERAGEIFS('Paired Comparison'!$J:$J,'Paired Comparison'!$A:$A,$B78,'Paired Comparison'!$G:$G,$C78,'Paired Comparison'!$E:$E,"box001",'Paired Comparison'!$F:$F,TRUE())</f>
        <v>0.076561740580676</v>
      </c>
      <c r="H78" s="9" t="n">
        <f aca="false">AVERAGEIFS('Paired Comparison'!$K:$K,'Paired Comparison'!$A:$A,$B78,'Paired Comparison'!$G:$G,$C78,'Paired Comparison'!$E:$E,"box001",'Paired Comparison'!$F:$F,TRUE())</f>
        <v>0.0687362255205163</v>
      </c>
      <c r="I78" s="9" t="n">
        <f aca="false">H78-G78</f>
        <v>-0.00782551506015973</v>
      </c>
      <c r="J78" s="9" t="n">
        <f aca="false">IF(E78="higher",I78,-I78)</f>
        <v>0.00782551506015973</v>
      </c>
      <c r="K78" s="9" t="n">
        <v>0.00462031584525569</v>
      </c>
      <c r="L78" s="9" t="n">
        <v>0.000640084458283794</v>
      </c>
      <c r="M78" s="9" t="n">
        <v>0.015420613430813</v>
      </c>
      <c r="N78" s="7" t="n">
        <f aca="false">COUNTIFS('Paired Comparison'!$A:$A,$B78,'Paired Comparison'!$G:$G,$C78,'Paired Comparison'!$E:$E,"box001",'Paired Comparison'!$F:$F,TRUE(),'Paired Comparison'!$M:$M,"&gt;0")</f>
        <v>14</v>
      </c>
      <c r="O78" s="7" t="n">
        <f aca="false">COUNTIFS('Paired Comparison'!$A:$A,$B78,'Paired Comparison'!$G:$G,$C78,'Paired Comparison'!$E:$E,"box001",'Paired Comparison'!$F:$F,TRUE(),'Paired Comparison'!$M:$M,"&lt;0")</f>
        <v>6</v>
      </c>
    </row>
    <row r="79" customFormat="false" ht="15" hidden="false" customHeight="false" outlineLevel="0" collapsed="false">
      <c r="A79" s="7" t="s">
        <v>126</v>
      </c>
      <c r="B79" s="7" t="s">
        <v>82</v>
      </c>
      <c r="C79" s="7" t="s">
        <v>61</v>
      </c>
      <c r="D79" s="7" t="s">
        <v>62</v>
      </c>
      <c r="E79" s="7" t="s">
        <v>54</v>
      </c>
      <c r="F79" s="7" t="n">
        <f aca="false">COUNTIFS('Paired Comparison'!$A:$A,$B79,'Paired Comparison'!$G:$G,$C79,'Paired Comparison'!$E:$E,"box001",'Paired Comparison'!$F:$F,TRUE())</f>
        <v>20</v>
      </c>
      <c r="G79" s="9" t="n">
        <f aca="false">AVERAGEIFS('Paired Comparison'!$J:$J,'Paired Comparison'!$A:$A,$B79,'Paired Comparison'!$G:$G,$C79,'Paired Comparison'!$E:$E,"box001",'Paired Comparison'!$F:$F,TRUE())</f>
        <v>16.338390772424</v>
      </c>
      <c r="H79" s="9" t="n">
        <f aca="false">AVERAGEIFS('Paired Comparison'!$K:$K,'Paired Comparison'!$A:$A,$B79,'Paired Comparison'!$G:$G,$C79,'Paired Comparison'!$E:$E,"box001",'Paired Comparison'!$F:$F,TRUE())</f>
        <v>16.4865983266246</v>
      </c>
      <c r="I79" s="9" t="n">
        <f aca="false">H79-G79</f>
        <v>0.148207554200596</v>
      </c>
      <c r="J79" s="9" t="n">
        <f aca="false">IF(E79="higher",I79,-I79)</f>
        <v>-0.148207554200596</v>
      </c>
      <c r="K79" s="9" t="n">
        <v>-0.166469760226744</v>
      </c>
      <c r="L79" s="9" t="n">
        <v>-1.96467363909717</v>
      </c>
      <c r="M79" s="9" t="n">
        <v>1.65568494197121</v>
      </c>
      <c r="N79" s="7" t="n">
        <f aca="false">COUNTIFS('Paired Comparison'!$A:$A,$B79,'Paired Comparison'!$G:$G,$C79,'Paired Comparison'!$E:$E,"box001",'Paired Comparison'!$F:$F,TRUE(),'Paired Comparison'!$M:$M,"&gt;0")</f>
        <v>10</v>
      </c>
      <c r="O79" s="7" t="n">
        <f aca="false">COUNTIFS('Paired Comparison'!$A:$A,$B79,'Paired Comparison'!$G:$G,$C79,'Paired Comparison'!$E:$E,"box001",'Paired Comparison'!$F:$F,TRUE(),'Paired Comparison'!$M:$M,"&lt;0")</f>
        <v>10</v>
      </c>
    </row>
    <row r="80" customFormat="false" ht="15" hidden="false" customHeight="false" outlineLevel="0" collapsed="false">
      <c r="A80" s="7" t="s">
        <v>126</v>
      </c>
      <c r="B80" s="7" t="s">
        <v>82</v>
      </c>
      <c r="C80" s="7" t="s">
        <v>63</v>
      </c>
      <c r="D80" s="7" t="s">
        <v>64</v>
      </c>
      <c r="E80" s="7" t="s">
        <v>54</v>
      </c>
      <c r="F80" s="7" t="n">
        <f aca="false">COUNTIFS('Paired Comparison'!$A:$A,$B80,'Paired Comparison'!$G:$G,$C80,'Paired Comparison'!$E:$E,"box001",'Paired Comparison'!$F:$F,TRUE())</f>
        <v>20</v>
      </c>
      <c r="G80" s="9" t="n">
        <f aca="false">AVERAGEIFS('Paired Comparison'!$J:$J,'Paired Comparison'!$A:$A,$B80,'Paired Comparison'!$G:$G,$C80,'Paired Comparison'!$E:$E,"box001",'Paired Comparison'!$F:$F,TRUE())</f>
        <v>9.84542058128313</v>
      </c>
      <c r="H80" s="9" t="n">
        <f aca="false">AVERAGEIFS('Paired Comparison'!$K:$K,'Paired Comparison'!$A:$A,$B80,'Paired Comparison'!$G:$G,$C80,'Paired Comparison'!$E:$E,"box001",'Paired Comparison'!$F:$F,TRUE())</f>
        <v>8.75800417861964</v>
      </c>
      <c r="I80" s="9" t="n">
        <f aca="false">H80-G80</f>
        <v>-1.08741640266348</v>
      </c>
      <c r="J80" s="9" t="n">
        <f aca="false">IF(E80="higher",I80,-I80)</f>
        <v>1.08741640266348</v>
      </c>
      <c r="K80" s="9" t="n">
        <v>-0.105679826089531</v>
      </c>
      <c r="L80" s="9" t="n">
        <v>-0.254433931222988</v>
      </c>
      <c r="M80" s="9" t="n">
        <v>2.7779816854794</v>
      </c>
      <c r="N80" s="7" t="n">
        <f aca="false">COUNTIFS('Paired Comparison'!$A:$A,$B80,'Paired Comparison'!$G:$G,$C80,'Paired Comparison'!$E:$E,"box001",'Paired Comparison'!$F:$F,TRUE(),'Paired Comparison'!$M:$M,"&gt;0")</f>
        <v>10</v>
      </c>
      <c r="O80" s="7" t="n">
        <f aca="false">COUNTIFS('Paired Comparison'!$A:$A,$B80,'Paired Comparison'!$G:$G,$C80,'Paired Comparison'!$E:$E,"box001",'Paired Comparison'!$F:$F,TRUE(),'Paired Comparison'!$M:$M,"&lt;0")</f>
        <v>10</v>
      </c>
    </row>
    <row r="81" customFormat="false" ht="15" hidden="false" customHeight="false" outlineLevel="0" collapsed="false">
      <c r="A81" s="7" t="s">
        <v>126</v>
      </c>
      <c r="B81" s="7" t="s">
        <v>82</v>
      </c>
      <c r="C81" s="7" t="s">
        <v>65</v>
      </c>
      <c r="D81" s="7" t="s">
        <v>66</v>
      </c>
      <c r="E81" s="7" t="s">
        <v>54</v>
      </c>
      <c r="F81" s="7" t="n">
        <f aca="false">COUNTIFS('Paired Comparison'!$A:$A,$B81,'Paired Comparison'!$G:$G,$C81,'Paired Comparison'!$E:$E,"box001",'Paired Comparison'!$F:$F,TRUE())</f>
        <v>20</v>
      </c>
      <c r="G81" s="9" t="n">
        <f aca="false">AVERAGEIFS('Paired Comparison'!$J:$J,'Paired Comparison'!$A:$A,$B81,'Paired Comparison'!$G:$G,$C81,'Paired Comparison'!$E:$E,"box001",'Paired Comparison'!$F:$F,TRUE())</f>
        <v>15.6951737219543</v>
      </c>
      <c r="H81" s="9" t="n">
        <f aca="false">AVERAGEIFS('Paired Comparison'!$K:$K,'Paired Comparison'!$A:$A,$B81,'Paired Comparison'!$G:$G,$C81,'Paired Comparison'!$E:$E,"box001",'Paired Comparison'!$F:$F,TRUE())</f>
        <v>15.7348119376466</v>
      </c>
      <c r="I81" s="9" t="n">
        <f aca="false">H81-G81</f>
        <v>0.039638215692321</v>
      </c>
      <c r="J81" s="9" t="n">
        <f aca="false">IF(E81="higher",I81,-I81)</f>
        <v>-0.039638215692321</v>
      </c>
      <c r="K81" s="9" t="n">
        <v>-0.655070496625365</v>
      </c>
      <c r="L81" s="9" t="n">
        <v>-1.55897414247482</v>
      </c>
      <c r="M81" s="9" t="n">
        <v>1.47936768109938</v>
      </c>
      <c r="N81" s="7" t="n">
        <f aca="false">COUNTIFS('Paired Comparison'!$A:$A,$B81,'Paired Comparison'!$G:$G,$C81,'Paired Comparison'!$E:$E,"box001",'Paired Comparison'!$F:$F,TRUE(),'Paired Comparison'!$M:$M,"&gt;0")</f>
        <v>8</v>
      </c>
      <c r="O81" s="7" t="n">
        <f aca="false">COUNTIFS('Paired Comparison'!$A:$A,$B81,'Paired Comparison'!$G:$G,$C81,'Paired Comparison'!$E:$E,"box001",'Paired Comparison'!$F:$F,TRUE(),'Paired Comparison'!$M:$M,"&lt;0")</f>
        <v>12</v>
      </c>
    </row>
    <row r="82" customFormat="false" ht="15" hidden="false" customHeight="false" outlineLevel="0" collapsed="false">
      <c r="A82" s="7" t="s">
        <v>126</v>
      </c>
      <c r="B82" s="7" t="s">
        <v>82</v>
      </c>
      <c r="C82" s="7" t="s">
        <v>67</v>
      </c>
      <c r="D82" s="7" t="s">
        <v>68</v>
      </c>
      <c r="E82" s="7" t="s">
        <v>54</v>
      </c>
      <c r="F82" s="7" t="n">
        <f aca="false">COUNTIFS('Paired Comparison'!$A:$A,$B82,'Paired Comparison'!$G:$G,$C82,'Paired Comparison'!$E:$E,"box001",'Paired Comparison'!$F:$F,TRUE())</f>
        <v>20</v>
      </c>
      <c r="G82" s="9" t="n">
        <f aca="false">AVERAGEIFS('Paired Comparison'!$J:$J,'Paired Comparison'!$A:$A,$B82,'Paired Comparison'!$G:$G,$C82,'Paired Comparison'!$E:$E,"box001",'Paired Comparison'!$F:$F,TRUE())</f>
        <v>20.9336018634168</v>
      </c>
      <c r="H82" s="9" t="n">
        <f aca="false">AVERAGEIFS('Paired Comparison'!$K:$K,'Paired Comparison'!$A:$A,$B82,'Paired Comparison'!$G:$G,$C82,'Paired Comparison'!$E:$E,"box001",'Paired Comparison'!$F:$F,TRUE())</f>
        <v>17.8643756277772</v>
      </c>
      <c r="I82" s="9" t="n">
        <f aca="false">H82-G82</f>
        <v>-3.06922623563958</v>
      </c>
      <c r="J82" s="9" t="n">
        <f aca="false">IF(E82="higher",I82,-I82)</f>
        <v>3.06922623563958</v>
      </c>
      <c r="K82" s="9" t="n">
        <v>1.59334889927667</v>
      </c>
      <c r="L82" s="9" t="n">
        <v>0.90694462359218</v>
      </c>
      <c r="M82" s="9" t="n">
        <v>5.21676525687644</v>
      </c>
      <c r="N82" s="7" t="n">
        <f aca="false">COUNTIFS('Paired Comparison'!$A:$A,$B82,'Paired Comparison'!$G:$G,$C82,'Paired Comparison'!$E:$E,"box001",'Paired Comparison'!$F:$F,TRUE(),'Paired Comparison'!$M:$M,"&gt;0")</f>
        <v>15</v>
      </c>
      <c r="O82" s="7" t="n">
        <f aca="false">COUNTIFS('Paired Comparison'!$A:$A,$B82,'Paired Comparison'!$G:$G,$C82,'Paired Comparison'!$E:$E,"box001",'Paired Comparison'!$F:$F,TRUE(),'Paired Comparison'!$M:$M,"&lt;0")</f>
        <v>5</v>
      </c>
    </row>
    <row r="83" customFormat="false" ht="15" hidden="false" customHeight="false" outlineLevel="0" collapsed="false">
      <c r="A83" s="7" t="s">
        <v>126</v>
      </c>
      <c r="B83" s="7" t="s">
        <v>82</v>
      </c>
      <c r="C83" s="7" t="s">
        <v>69</v>
      </c>
      <c r="D83" s="7" t="s">
        <v>70</v>
      </c>
      <c r="E83" s="7" t="s">
        <v>71</v>
      </c>
      <c r="F83" s="7" t="n">
        <f aca="false">COUNTIFS('Paired Comparison'!$A:$A,$B83,'Paired Comparison'!$G:$G,$C83,'Paired Comparison'!$E:$E,"box001",'Paired Comparison'!$F:$F,TRUE())</f>
        <v>20</v>
      </c>
      <c r="G83" s="9" t="n">
        <f aca="false">AVERAGEIFS('Paired Comparison'!$J:$J,'Paired Comparison'!$A:$A,$B83,'Paired Comparison'!$G:$G,$C83,'Paired Comparison'!$E:$E,"box001",'Paired Comparison'!$F:$F,TRUE())</f>
        <v>0.555122673393031</v>
      </c>
      <c r="H83" s="9" t="n">
        <f aca="false">AVERAGEIFS('Paired Comparison'!$K:$K,'Paired Comparison'!$A:$A,$B83,'Paired Comparison'!$G:$G,$C83,'Paired Comparison'!$E:$E,"box001",'Paired Comparison'!$F:$F,TRUE())</f>
        <v>0.571903647676628</v>
      </c>
      <c r="I83" s="9" t="n">
        <f aca="false">H83-G83</f>
        <v>0.0167809742835967</v>
      </c>
      <c r="J83" s="9" t="n">
        <f aca="false">IF(E83="higher",I83,-I83)</f>
        <v>0.0167809742835967</v>
      </c>
      <c r="K83" s="9" t="n">
        <v>-0.00609756097560976</v>
      </c>
      <c r="L83" s="9" t="n">
        <v>-0.0431957249801982</v>
      </c>
      <c r="M83" s="9" t="n">
        <v>0.0790065268865653</v>
      </c>
      <c r="N83" s="7" t="n">
        <f aca="false">COUNTIFS('Paired Comparison'!$A:$A,$B83,'Paired Comparison'!$G:$G,$C83,'Paired Comparison'!$E:$E,"box001",'Paired Comparison'!$F:$F,TRUE(),'Paired Comparison'!$M:$M,"&gt;0")</f>
        <v>9</v>
      </c>
      <c r="O83" s="7" t="n">
        <f aca="false">COUNTIFS('Paired Comparison'!$A:$A,$B83,'Paired Comparison'!$G:$G,$C83,'Paired Comparison'!$E:$E,"box001",'Paired Comparison'!$F:$F,TRUE(),'Paired Comparison'!$M:$M,"&lt;0")</f>
        <v>10</v>
      </c>
    </row>
    <row r="84" customFormat="false" ht="15" hidden="false" customHeight="false" outlineLevel="0" collapsed="false">
      <c r="A84" s="7" t="s">
        <v>126</v>
      </c>
      <c r="B84" s="7" t="s">
        <v>82</v>
      </c>
      <c r="C84" s="7" t="s">
        <v>72</v>
      </c>
      <c r="D84" s="7" t="s">
        <v>73</v>
      </c>
      <c r="E84" s="7" t="s">
        <v>71</v>
      </c>
      <c r="F84" s="7" t="n">
        <f aca="false">COUNTIFS('Paired Comparison'!$A:$A,$B84,'Paired Comparison'!$G:$G,$C84,'Paired Comparison'!$E:$E,"box001",'Paired Comparison'!$F:$F,TRUE())</f>
        <v>20</v>
      </c>
      <c r="G84" s="9" t="n">
        <f aca="false">AVERAGEIFS('Paired Comparison'!$J:$J,'Paired Comparison'!$A:$A,$B84,'Paired Comparison'!$G:$G,$C84,'Paired Comparison'!$E:$E,"box001",'Paired Comparison'!$F:$F,TRUE())</f>
        <v>0.732435608031708</v>
      </c>
      <c r="H84" s="9" t="n">
        <f aca="false">AVERAGEIFS('Paired Comparison'!$K:$K,'Paired Comparison'!$A:$A,$B84,'Paired Comparison'!$G:$G,$C84,'Paired Comparison'!$E:$E,"box001",'Paired Comparison'!$F:$F,TRUE())</f>
        <v>0.825937889087694</v>
      </c>
      <c r="I84" s="9" t="n">
        <f aca="false">H84-G84</f>
        <v>0.0935022810559856</v>
      </c>
      <c r="J84" s="9" t="n">
        <f aca="false">IF(E84="higher",I84,-I84)</f>
        <v>0.0935022810559856</v>
      </c>
      <c r="K84" s="9" t="n">
        <v>0.0475749722325065</v>
      </c>
      <c r="L84" s="9" t="n">
        <v>0.0282473569753619</v>
      </c>
      <c r="M84" s="9" t="n">
        <v>0.162021021084524</v>
      </c>
      <c r="N84" s="7" t="n">
        <f aca="false">COUNTIFS('Paired Comparison'!$A:$A,$B84,'Paired Comparison'!$G:$G,$C84,'Paired Comparison'!$E:$E,"box001",'Paired Comparison'!$F:$F,TRUE(),'Paired Comparison'!$M:$M,"&gt;0")</f>
        <v>14</v>
      </c>
      <c r="O84" s="7" t="n">
        <f aca="false">COUNTIFS('Paired Comparison'!$A:$A,$B84,'Paired Comparison'!$G:$G,$C84,'Paired Comparison'!$E:$E,"box001",'Paired Comparison'!$F:$F,TRUE(),'Paired Comparison'!$M:$M,"&lt;0")</f>
        <v>5</v>
      </c>
    </row>
    <row r="85" customFormat="false" ht="15" hidden="false" customHeight="false" outlineLevel="0" collapsed="false">
      <c r="A85" s="7" t="s">
        <v>126</v>
      </c>
      <c r="B85" s="7" t="s">
        <v>82</v>
      </c>
      <c r="C85" s="7" t="s">
        <v>74</v>
      </c>
      <c r="D85" s="7" t="s">
        <v>75</v>
      </c>
      <c r="E85" s="7" t="s">
        <v>54</v>
      </c>
      <c r="F85" s="7" t="n">
        <f aca="false">COUNTIFS('Paired Comparison'!$A:$A,$B85,'Paired Comparison'!$G:$G,$C85,'Paired Comparison'!$E:$E,"box001",'Paired Comparison'!$F:$F,TRUE())</f>
        <v>20</v>
      </c>
      <c r="G85" s="9" t="n">
        <f aca="false">AVERAGEIFS('Paired Comparison'!$J:$J,'Paired Comparison'!$A:$A,$B85,'Paired Comparison'!$G:$G,$C85,'Paired Comparison'!$E:$E,"box001",'Paired Comparison'!$F:$F,TRUE())</f>
        <v>0.141484026484026</v>
      </c>
      <c r="H85" s="9" t="n">
        <f aca="false">AVERAGEIFS('Paired Comparison'!$K:$K,'Paired Comparison'!$A:$A,$B85,'Paired Comparison'!$G:$G,$C85,'Paired Comparison'!$E:$E,"box001",'Paired Comparison'!$F:$F,TRUE())</f>
        <v>0.132301142491932</v>
      </c>
      <c r="I85" s="9" t="n">
        <f aca="false">H85-G85</f>
        <v>-0.00918288399209449</v>
      </c>
      <c r="J85" s="9" t="n">
        <f aca="false">IF(E85="higher",I85,-I85)</f>
        <v>0.00918288399209449</v>
      </c>
      <c r="K85" s="9" t="n">
        <v>0.0128205128205128</v>
      </c>
      <c r="L85" s="9" t="n">
        <v>-0.0653417250621198</v>
      </c>
      <c r="M85" s="9" t="n">
        <v>0.079936179070554</v>
      </c>
      <c r="N85" s="7" t="n">
        <f aca="false">COUNTIFS('Paired Comparison'!$A:$A,$B85,'Paired Comparison'!$G:$G,$C85,'Paired Comparison'!$E:$E,"box001",'Paired Comparison'!$F:$F,TRUE(),'Paired Comparison'!$M:$M,"&gt;0")</f>
        <v>10</v>
      </c>
      <c r="O85" s="7" t="n">
        <f aca="false">COUNTIFS('Paired Comparison'!$A:$A,$B85,'Paired Comparison'!$G:$G,$C85,'Paired Comparison'!$E:$E,"box001",'Paired Comparison'!$F:$F,TRUE(),'Paired Comparison'!$M:$M,"&lt;0")</f>
        <v>7</v>
      </c>
    </row>
    <row r="86" customFormat="false" ht="15" hidden="false" customHeight="false" outlineLevel="0" collapsed="false">
      <c r="A86" s="7" t="s">
        <v>126</v>
      </c>
      <c r="B86" s="7" t="s">
        <v>82</v>
      </c>
      <c r="C86" s="7" t="s">
        <v>76</v>
      </c>
      <c r="D86" s="7" t="s">
        <v>77</v>
      </c>
      <c r="E86" s="7" t="s">
        <v>54</v>
      </c>
      <c r="F86" s="7" t="n">
        <f aca="false">COUNTIFS('Paired Comparison'!$A:$A,$B86,'Paired Comparison'!$G:$G,$C86,'Paired Comparison'!$E:$E,"box001",'Paired Comparison'!$F:$F,TRUE())</f>
        <v>20</v>
      </c>
      <c r="G86" s="9" t="n">
        <f aca="false">AVERAGEIFS('Paired Comparison'!$J:$J,'Paired Comparison'!$A:$A,$B86,'Paired Comparison'!$G:$G,$C86,'Paired Comparison'!$E:$E,"box001",'Paired Comparison'!$F:$F,TRUE())</f>
        <v>0.123549907819665</v>
      </c>
      <c r="H86" s="9" t="n">
        <f aca="false">AVERAGEIFS('Paired Comparison'!$K:$K,'Paired Comparison'!$A:$A,$B86,'Paired Comparison'!$G:$G,$C86,'Paired Comparison'!$E:$E,"box001",'Paired Comparison'!$F:$F,TRUE())</f>
        <v>0.184034241844348</v>
      </c>
      <c r="I86" s="9" t="n">
        <f aca="false">H86-G86</f>
        <v>0.0604843340246824</v>
      </c>
      <c r="J86" s="9" t="n">
        <f aca="false">IF(E86="higher",I86,-I86)</f>
        <v>-0.0604843340246824</v>
      </c>
      <c r="K86" s="9" t="n">
        <v>-0.0677868852459016</v>
      </c>
      <c r="L86" s="9" t="n">
        <v>-0.107620234165978</v>
      </c>
      <c r="M86" s="9" t="n">
        <v>-0.0115571230396987</v>
      </c>
      <c r="N86" s="7" t="n">
        <f aca="false">COUNTIFS('Paired Comparison'!$A:$A,$B86,'Paired Comparison'!$G:$G,$C86,'Paired Comparison'!$E:$E,"box001",'Paired Comparison'!$F:$F,TRUE(),'Paired Comparison'!$M:$M,"&gt;0")</f>
        <v>5</v>
      </c>
      <c r="O86" s="7" t="n">
        <f aca="false">COUNTIFS('Paired Comparison'!$A:$A,$B86,'Paired Comparison'!$G:$G,$C86,'Paired Comparison'!$E:$E,"box001",'Paired Comparison'!$F:$F,TRUE(),'Paired Comparison'!$M:$M,"&lt;0")</f>
        <v>15</v>
      </c>
    </row>
    <row r="87" customFormat="false" ht="15" hidden="false" customHeight="false" outlineLevel="0" collapsed="false">
      <c r="A87" s="7" t="s">
        <v>126</v>
      </c>
      <c r="B87" s="7" t="s">
        <v>82</v>
      </c>
      <c r="C87" s="7" t="s">
        <v>78</v>
      </c>
      <c r="D87" s="7" t="s">
        <v>79</v>
      </c>
      <c r="E87" s="7" t="s">
        <v>54</v>
      </c>
      <c r="F87" s="7" t="n">
        <f aca="false">COUNTIFS('Paired Comparison'!$A:$A,$B87,'Paired Comparison'!$G:$G,$C87,'Paired Comparison'!$E:$E,"box001",'Paired Comparison'!$F:$F,TRUE())</f>
        <v>20</v>
      </c>
      <c r="G87" s="9" t="n">
        <f aca="false">AVERAGEIFS('Paired Comparison'!$J:$J,'Paired Comparison'!$A:$A,$B87,'Paired Comparison'!$G:$G,$C87,'Paired Comparison'!$E:$E,"box001",'Paired Comparison'!$F:$F,TRUE())</f>
        <v>0.0269344588320614</v>
      </c>
      <c r="H87" s="9" t="n">
        <f aca="false">AVERAGEIFS('Paired Comparison'!$K:$K,'Paired Comparison'!$A:$A,$B87,'Paired Comparison'!$G:$G,$C87,'Paired Comparison'!$E:$E,"box001",'Paired Comparison'!$F:$F,TRUE())</f>
        <v>0.0195883908168489</v>
      </c>
      <c r="I87" s="9" t="n">
        <f aca="false">H87-G87</f>
        <v>-0.00734606801521255</v>
      </c>
      <c r="J87" s="9" t="n">
        <f aca="false">IF(E87="higher",I87,-I87)</f>
        <v>0.00734606801521255</v>
      </c>
      <c r="K87" s="9" t="n">
        <v>0</v>
      </c>
      <c r="L87" s="9" t="n">
        <v>-0.00984228473998295</v>
      </c>
      <c r="M87" s="9" t="n">
        <v>0.0269163267346305</v>
      </c>
      <c r="N87" s="7" t="n">
        <f aca="false">COUNTIFS('Paired Comparison'!$A:$A,$B87,'Paired Comparison'!$G:$G,$C87,'Paired Comparison'!$E:$E,"box001",'Paired Comparison'!$F:$F,TRUE(),'Paired Comparison'!$M:$M,"&gt;0")</f>
        <v>3</v>
      </c>
      <c r="O87" s="7" t="n">
        <f aca="false">COUNTIFS('Paired Comparison'!$A:$A,$B87,'Paired Comparison'!$G:$G,$C87,'Paired Comparison'!$E:$E,"box001",'Paired Comparison'!$F:$F,TRUE(),'Paired Comparison'!$M:$M,"&lt;0")</f>
        <v>3</v>
      </c>
    </row>
    <row r="88" customFormat="false" ht="15" hidden="false" customHeight="false" outlineLevel="0" collapsed="false">
      <c r="A88" s="7" t="s">
        <v>126</v>
      </c>
      <c r="B88" s="7" t="s">
        <v>82</v>
      </c>
      <c r="C88" s="7" t="s">
        <v>80</v>
      </c>
      <c r="D88" s="7" t="s">
        <v>81</v>
      </c>
      <c r="E88" s="7" t="s">
        <v>54</v>
      </c>
      <c r="F88" s="7" t="n">
        <f aca="false">COUNTIFS('Paired Comparison'!$A:$A,$B88,'Paired Comparison'!$G:$G,$C88,'Paired Comparison'!$E:$E,"box001",'Paired Comparison'!$F:$F,TRUE())</f>
        <v>20</v>
      </c>
      <c r="G88" s="9" t="n">
        <f aca="false">AVERAGEIFS('Paired Comparison'!$J:$J,'Paired Comparison'!$A:$A,$B88,'Paired Comparison'!$G:$G,$C88,'Paired Comparison'!$E:$E,"box001",'Paired Comparison'!$F:$F,TRUE())</f>
        <v>0</v>
      </c>
      <c r="H88" s="9" t="n">
        <f aca="false">AVERAGEIFS('Paired Comparison'!$K:$K,'Paired Comparison'!$A:$A,$B88,'Paired Comparison'!$G:$G,$C88,'Paired Comparison'!$E:$E,"box001",'Paired Comparison'!$F:$F,TRUE())</f>
        <v>0</v>
      </c>
      <c r="I88" s="9" t="n">
        <f aca="false">H88-G88</f>
        <v>0</v>
      </c>
      <c r="J88" s="9" t="n">
        <f aca="false">IF(E88="higher",I88,-I88)</f>
        <v>-0</v>
      </c>
      <c r="K88" s="9" t="n">
        <v>0</v>
      </c>
      <c r="L88" s="9" t="n">
        <v>0</v>
      </c>
      <c r="M88" s="9" t="n">
        <v>0</v>
      </c>
      <c r="N88" s="7" t="n">
        <f aca="false">COUNTIFS('Paired Comparison'!$A:$A,$B88,'Paired Comparison'!$G:$G,$C88,'Paired Comparison'!$E:$E,"box001",'Paired Comparison'!$F:$F,TRUE(),'Paired Comparison'!$M:$M,"&gt;0")</f>
        <v>0</v>
      </c>
      <c r="O88" s="7" t="n">
        <f aca="false">COUNTIFS('Paired Comparison'!$A:$A,$B88,'Paired Comparison'!$G:$G,$C88,'Paired Comparison'!$E:$E,"box001",'Paired Comparison'!$F:$F,TRUE(),'Paired Comparison'!$M:$M,"&lt;0")</f>
        <v>0</v>
      </c>
    </row>
    <row r="89" customFormat="false" ht="15" hidden="false" customHeight="false" outlineLevel="0" collapsed="false">
      <c r="A89" s="7" t="s">
        <v>127</v>
      </c>
      <c r="B89" s="7" t="s">
        <v>48</v>
      </c>
      <c r="C89" s="7" t="s">
        <v>52</v>
      </c>
      <c r="D89" s="7" t="s">
        <v>53</v>
      </c>
      <c r="E89" s="7" t="s">
        <v>54</v>
      </c>
      <c r="F89" s="7" t="n">
        <f aca="false">COUNTIFS('Paired Comparison'!$A:$A,$B89,'Paired Comparison'!$G:$G,$C89,'Paired Comparison'!$E:$E,"box023")</f>
        <v>8</v>
      </c>
      <c r="G89" s="9" t="n">
        <f aca="false">AVERAGEIFS('Paired Comparison'!$J:$J,'Paired Comparison'!$A:$A,$B89,'Paired Comparison'!$G:$G,$C89,'Paired Comparison'!$E:$E,"box023")</f>
        <v>5.51342935354185</v>
      </c>
      <c r="H89" s="9" t="n">
        <f aca="false">AVERAGEIFS('Paired Comparison'!$K:$K,'Paired Comparison'!$A:$A,$B89,'Paired Comparison'!$G:$G,$C89,'Paired Comparison'!$E:$E,"box023")</f>
        <v>4.96420253541407</v>
      </c>
      <c r="I89" s="9" t="n">
        <f aca="false">H89-G89</f>
        <v>-0.549226818127782</v>
      </c>
      <c r="J89" s="9" t="n">
        <f aca="false">IF(E89="higher",I89,-I89)</f>
        <v>0.549226818127782</v>
      </c>
      <c r="K89" s="9" t="n">
        <v>0.675972770469088</v>
      </c>
      <c r="L89" s="9" t="n">
        <v>-0.0398478762060991</v>
      </c>
      <c r="M89" s="9" t="n">
        <v>1.12467251836214</v>
      </c>
      <c r="N89" s="7" t="n">
        <f aca="false">COUNTIFS('Paired Comparison'!$A:$A,$B89,'Paired Comparison'!$G:$G,$C89,'Paired Comparison'!$E:$E,"box023",'Paired Comparison'!$M:$M,"&gt;0")</f>
        <v>6</v>
      </c>
      <c r="O89" s="7" t="n">
        <f aca="false">COUNTIFS('Paired Comparison'!$A:$A,$B89,'Paired Comparison'!$G:$G,$C89,'Paired Comparison'!$E:$E,"box023",'Paired Comparison'!$M:$M,"&lt;0")</f>
        <v>2</v>
      </c>
    </row>
    <row r="90" customFormat="false" ht="15" hidden="false" customHeight="false" outlineLevel="0" collapsed="false">
      <c r="A90" s="7" t="s">
        <v>127</v>
      </c>
      <c r="B90" s="7" t="s">
        <v>48</v>
      </c>
      <c r="C90" s="7" t="s">
        <v>55</v>
      </c>
      <c r="D90" s="7" t="s">
        <v>56</v>
      </c>
      <c r="E90" s="7" t="s">
        <v>54</v>
      </c>
      <c r="F90" s="7" t="n">
        <f aca="false">COUNTIFS('Paired Comparison'!$A:$A,$B90,'Paired Comparison'!$G:$G,$C90,'Paired Comparison'!$E:$E,"box023")</f>
        <v>8</v>
      </c>
      <c r="G90" s="9" t="n">
        <f aca="false">AVERAGEIFS('Paired Comparison'!$J:$J,'Paired Comparison'!$A:$A,$B90,'Paired Comparison'!$G:$G,$C90,'Paired Comparison'!$E:$E,"box023")</f>
        <v>13.1727224783801</v>
      </c>
      <c r="H90" s="9" t="n">
        <f aca="false">AVERAGEIFS('Paired Comparison'!$K:$K,'Paired Comparison'!$A:$A,$B90,'Paired Comparison'!$G:$G,$C90,'Paired Comparison'!$E:$E,"box023")</f>
        <v>11.7522367209044</v>
      </c>
      <c r="I90" s="9" t="n">
        <f aca="false">H90-G90</f>
        <v>-1.42048575747575</v>
      </c>
      <c r="J90" s="9" t="n">
        <f aca="false">IF(E90="higher",I90,-I90)</f>
        <v>1.42048575747575</v>
      </c>
      <c r="K90" s="9" t="n">
        <v>0.980202359181639</v>
      </c>
      <c r="L90" s="9" t="n">
        <v>0.306835291947555</v>
      </c>
      <c r="M90" s="9" t="n">
        <v>2.79945131121541</v>
      </c>
      <c r="N90" s="7" t="n">
        <f aca="false">COUNTIFS('Paired Comparison'!$A:$A,$B90,'Paired Comparison'!$G:$G,$C90,'Paired Comparison'!$E:$E,"box023",'Paired Comparison'!$M:$M,"&gt;0")</f>
        <v>6</v>
      </c>
      <c r="O90" s="7" t="n">
        <f aca="false">COUNTIFS('Paired Comparison'!$A:$A,$B90,'Paired Comparison'!$G:$G,$C90,'Paired Comparison'!$E:$E,"box023",'Paired Comparison'!$M:$M,"&lt;0")</f>
        <v>2</v>
      </c>
    </row>
    <row r="91" customFormat="false" ht="15" hidden="false" customHeight="false" outlineLevel="0" collapsed="false">
      <c r="A91" s="7" t="s">
        <v>127</v>
      </c>
      <c r="B91" s="7" t="s">
        <v>48</v>
      </c>
      <c r="C91" s="7" t="s">
        <v>57</v>
      </c>
      <c r="D91" s="7" t="s">
        <v>58</v>
      </c>
      <c r="E91" s="7" t="s">
        <v>54</v>
      </c>
      <c r="F91" s="7" t="n">
        <f aca="false">COUNTIFS('Paired Comparison'!$A:$A,$B91,'Paired Comparison'!$G:$G,$C91,'Paired Comparison'!$E:$E,"box023")</f>
        <v>8</v>
      </c>
      <c r="G91" s="9" t="n">
        <f aca="false">AVERAGEIFS('Paired Comparison'!$J:$J,'Paired Comparison'!$A:$A,$B91,'Paired Comparison'!$G:$G,$C91,'Paired Comparison'!$E:$E,"box023")</f>
        <v>5.27075661625226</v>
      </c>
      <c r="H91" s="9" t="n">
        <f aca="false">AVERAGEIFS('Paired Comparison'!$K:$K,'Paired Comparison'!$A:$A,$B91,'Paired Comparison'!$G:$G,$C91,'Paired Comparison'!$E:$E,"box023")</f>
        <v>4.88457064594838</v>
      </c>
      <c r="I91" s="9" t="n">
        <f aca="false">H91-G91</f>
        <v>-0.38618597030388</v>
      </c>
      <c r="J91" s="9" t="n">
        <f aca="false">IF(E91="higher",I91,-I91)</f>
        <v>0.38618597030388</v>
      </c>
      <c r="K91" s="9" t="n">
        <v>-0.460524500303525</v>
      </c>
      <c r="L91" s="9" t="n">
        <v>-0.605918628731057</v>
      </c>
      <c r="M91" s="9" t="n">
        <v>1.76219574973438</v>
      </c>
      <c r="N91" s="7" t="n">
        <f aca="false">COUNTIFS('Paired Comparison'!$A:$A,$B91,'Paired Comparison'!$G:$G,$C91,'Paired Comparison'!$E:$E,"box023",'Paired Comparison'!$M:$M,"&gt;0")</f>
        <v>3</v>
      </c>
      <c r="O91" s="7" t="n">
        <f aca="false">COUNTIFS('Paired Comparison'!$A:$A,$B91,'Paired Comparison'!$G:$G,$C91,'Paired Comparison'!$E:$E,"box023",'Paired Comparison'!$M:$M,"&lt;0")</f>
        <v>5</v>
      </c>
    </row>
    <row r="92" customFormat="false" ht="15" hidden="false" customHeight="false" outlineLevel="0" collapsed="false">
      <c r="A92" s="7" t="s">
        <v>127</v>
      </c>
      <c r="B92" s="7" t="s">
        <v>48</v>
      </c>
      <c r="C92" s="7" t="s">
        <v>59</v>
      </c>
      <c r="D92" s="7" t="s">
        <v>60</v>
      </c>
      <c r="E92" s="7" t="s">
        <v>54</v>
      </c>
      <c r="F92" s="7" t="n">
        <f aca="false">COUNTIFS('Paired Comparison'!$A:$A,$B92,'Paired Comparison'!$G:$G,$C92,'Paired Comparison'!$E:$E,"box023")</f>
        <v>8</v>
      </c>
      <c r="G92" s="9" t="n">
        <f aca="false">AVERAGEIFS('Paired Comparison'!$J:$J,'Paired Comparison'!$A:$A,$B92,'Paired Comparison'!$G:$G,$C92,'Paired Comparison'!$E:$E,"box023")</f>
        <v>0.147891329476784</v>
      </c>
      <c r="H92" s="9" t="n">
        <f aca="false">AVERAGEIFS('Paired Comparison'!$K:$K,'Paired Comparison'!$A:$A,$B92,'Paired Comparison'!$G:$G,$C92,'Paired Comparison'!$E:$E,"box023")</f>
        <v>0.135390001919079</v>
      </c>
      <c r="I92" s="9" t="n">
        <f aca="false">H92-G92</f>
        <v>-0.0125013275577056</v>
      </c>
      <c r="J92" s="9" t="n">
        <f aca="false">IF(E92="higher",I92,-I92)</f>
        <v>0.0125013275577056</v>
      </c>
      <c r="K92" s="9" t="n">
        <v>0.00921090745951249</v>
      </c>
      <c r="L92" s="9" t="n">
        <v>0.000526327018175846</v>
      </c>
      <c r="M92" s="9" t="n">
        <v>0.0251600250795563</v>
      </c>
      <c r="N92" s="7" t="n">
        <f aca="false">COUNTIFS('Paired Comparison'!$A:$A,$B92,'Paired Comparison'!$G:$G,$C92,'Paired Comparison'!$E:$E,"box023",'Paired Comparison'!$M:$M,"&gt;0")</f>
        <v>5</v>
      </c>
      <c r="O92" s="7" t="n">
        <f aca="false">COUNTIFS('Paired Comparison'!$A:$A,$B92,'Paired Comparison'!$G:$G,$C92,'Paired Comparison'!$E:$E,"box023",'Paired Comparison'!$M:$M,"&lt;0")</f>
        <v>3</v>
      </c>
    </row>
    <row r="93" customFormat="false" ht="15" hidden="false" customHeight="false" outlineLevel="0" collapsed="false">
      <c r="A93" s="7" t="s">
        <v>127</v>
      </c>
      <c r="B93" s="7" t="s">
        <v>48</v>
      </c>
      <c r="C93" s="7" t="s">
        <v>61</v>
      </c>
      <c r="D93" s="7" t="s">
        <v>62</v>
      </c>
      <c r="E93" s="7" t="s">
        <v>54</v>
      </c>
      <c r="F93" s="7" t="n">
        <f aca="false">COUNTIFS('Paired Comparison'!$A:$A,$B93,'Paired Comparison'!$G:$G,$C93,'Paired Comparison'!$E:$E,"box023")</f>
        <v>8</v>
      </c>
      <c r="G93" s="9" t="n">
        <f aca="false">AVERAGEIFS('Paired Comparison'!$J:$J,'Paired Comparison'!$A:$A,$B93,'Paired Comparison'!$G:$G,$C93,'Paired Comparison'!$E:$E,"box023")</f>
        <v>18.0321396554263</v>
      </c>
      <c r="H93" s="9" t="n">
        <f aca="false">AVERAGEIFS('Paired Comparison'!$K:$K,'Paired Comparison'!$A:$A,$B93,'Paired Comparison'!$G:$G,$C93,'Paired Comparison'!$E:$E,"box023")</f>
        <v>16.7449079382707</v>
      </c>
      <c r="I93" s="9" t="n">
        <f aca="false">H93-G93</f>
        <v>-1.28723171715565</v>
      </c>
      <c r="J93" s="9" t="n">
        <f aca="false">IF(E93="higher",I93,-I93)</f>
        <v>1.28723171715565</v>
      </c>
      <c r="K93" s="9" t="n">
        <v>0.563213202083868</v>
      </c>
      <c r="L93" s="9" t="n">
        <v>-0.365121805089895</v>
      </c>
      <c r="M93" s="9" t="n">
        <v>3.14191763193929</v>
      </c>
      <c r="N93" s="7" t="n">
        <f aca="false">COUNTIFS('Paired Comparison'!$A:$A,$B93,'Paired Comparison'!$G:$G,$C93,'Paired Comparison'!$E:$E,"box023",'Paired Comparison'!$M:$M,"&gt;0")</f>
        <v>6</v>
      </c>
      <c r="O93" s="7" t="n">
        <f aca="false">COUNTIFS('Paired Comparison'!$A:$A,$B93,'Paired Comparison'!$G:$G,$C93,'Paired Comparison'!$E:$E,"box023",'Paired Comparison'!$M:$M,"&lt;0")</f>
        <v>2</v>
      </c>
    </row>
    <row r="94" customFormat="false" ht="15" hidden="false" customHeight="false" outlineLevel="0" collapsed="false">
      <c r="A94" s="7" t="s">
        <v>127</v>
      </c>
      <c r="B94" s="7" t="s">
        <v>48</v>
      </c>
      <c r="C94" s="7" t="s">
        <v>63</v>
      </c>
      <c r="D94" s="7" t="s">
        <v>64</v>
      </c>
      <c r="E94" s="7" t="s">
        <v>54</v>
      </c>
      <c r="F94" s="7" t="n">
        <f aca="false">COUNTIFS('Paired Comparison'!$A:$A,$B94,'Paired Comparison'!$G:$G,$C94,'Paired Comparison'!$E:$E,"box023")</f>
        <v>8</v>
      </c>
      <c r="G94" s="9" t="n">
        <f aca="false">AVERAGEIFS('Paired Comparison'!$J:$J,'Paired Comparison'!$A:$A,$B94,'Paired Comparison'!$G:$G,$C94,'Paired Comparison'!$E:$E,"box023")</f>
        <v>14.9466262028143</v>
      </c>
      <c r="H94" s="9" t="n">
        <f aca="false">AVERAGEIFS('Paired Comparison'!$K:$K,'Paired Comparison'!$A:$A,$B94,'Paired Comparison'!$G:$G,$C94,'Paired Comparison'!$E:$E,"box023")</f>
        <v>11.9452203745962</v>
      </c>
      <c r="I94" s="9" t="n">
        <f aca="false">H94-G94</f>
        <v>-3.00140582821814</v>
      </c>
      <c r="J94" s="9" t="n">
        <f aca="false">IF(E94="higher",I94,-I94)</f>
        <v>3.00140582821814</v>
      </c>
      <c r="K94" s="9" t="n">
        <v>2.77706704247481</v>
      </c>
      <c r="L94" s="9" t="n">
        <v>1.25982705611067</v>
      </c>
      <c r="M94" s="9" t="n">
        <v>4.86947021046073</v>
      </c>
      <c r="N94" s="7" t="n">
        <f aca="false">COUNTIFS('Paired Comparison'!$A:$A,$B94,'Paired Comparison'!$G:$G,$C94,'Paired Comparison'!$E:$E,"box023",'Paired Comparison'!$M:$M,"&gt;0")</f>
        <v>7</v>
      </c>
      <c r="O94" s="7" t="n">
        <f aca="false">COUNTIFS('Paired Comparison'!$A:$A,$B94,'Paired Comparison'!$G:$G,$C94,'Paired Comparison'!$E:$E,"box023",'Paired Comparison'!$M:$M,"&lt;0")</f>
        <v>1</v>
      </c>
    </row>
    <row r="95" customFormat="false" ht="15" hidden="false" customHeight="false" outlineLevel="0" collapsed="false">
      <c r="A95" s="7" t="s">
        <v>127</v>
      </c>
      <c r="B95" s="7" t="s">
        <v>48</v>
      </c>
      <c r="C95" s="7" t="s">
        <v>65</v>
      </c>
      <c r="D95" s="7" t="s">
        <v>66</v>
      </c>
      <c r="E95" s="7" t="s">
        <v>54</v>
      </c>
      <c r="F95" s="7" t="n">
        <f aca="false">COUNTIFS('Paired Comparison'!$A:$A,$B95,'Paired Comparison'!$G:$G,$C95,'Paired Comparison'!$E:$E,"box023")</f>
        <v>8</v>
      </c>
      <c r="G95" s="9" t="n">
        <f aca="false">AVERAGEIFS('Paired Comparison'!$J:$J,'Paired Comparison'!$A:$A,$B95,'Paired Comparison'!$G:$G,$C95,'Paired Comparison'!$E:$E,"box023")</f>
        <v>16.6199850798218</v>
      </c>
      <c r="H95" s="9" t="n">
        <f aca="false">AVERAGEIFS('Paired Comparison'!$K:$K,'Paired Comparison'!$A:$A,$B95,'Paired Comparison'!$G:$G,$C95,'Paired Comparison'!$E:$E,"box023")</f>
        <v>15.3288213191949</v>
      </c>
      <c r="I95" s="9" t="n">
        <f aca="false">H95-G95</f>
        <v>-1.29116376062692</v>
      </c>
      <c r="J95" s="9" t="n">
        <f aca="false">IF(E95="higher",I95,-I95)</f>
        <v>1.29116376062692</v>
      </c>
      <c r="K95" s="9" t="n">
        <v>0.806024234027828</v>
      </c>
      <c r="L95" s="9" t="n">
        <v>-0.416579430823674</v>
      </c>
      <c r="M95" s="9" t="n">
        <v>3.20133561396539</v>
      </c>
      <c r="N95" s="7" t="n">
        <f aca="false">COUNTIFS('Paired Comparison'!$A:$A,$B95,'Paired Comparison'!$G:$G,$C95,'Paired Comparison'!$E:$E,"box023",'Paired Comparison'!$M:$M,"&gt;0")</f>
        <v>5</v>
      </c>
      <c r="O95" s="7" t="n">
        <f aca="false">COUNTIFS('Paired Comparison'!$A:$A,$B95,'Paired Comparison'!$G:$G,$C95,'Paired Comparison'!$E:$E,"box023",'Paired Comparison'!$M:$M,"&lt;0")</f>
        <v>3</v>
      </c>
    </row>
    <row r="96" customFormat="false" ht="15" hidden="false" customHeight="false" outlineLevel="0" collapsed="false">
      <c r="A96" s="7" t="s">
        <v>127</v>
      </c>
      <c r="B96" s="7" t="s">
        <v>48</v>
      </c>
      <c r="C96" s="7" t="s">
        <v>67</v>
      </c>
      <c r="D96" s="7" t="s">
        <v>68</v>
      </c>
      <c r="E96" s="7" t="s">
        <v>54</v>
      </c>
      <c r="F96" s="7" t="n">
        <f aca="false">COUNTIFS('Paired Comparison'!$A:$A,$B96,'Paired Comparison'!$G:$G,$C96,'Paired Comparison'!$E:$E,"box023")</f>
        <v>8</v>
      </c>
      <c r="G96" s="9" t="n">
        <f aca="false">AVERAGEIFS('Paired Comparison'!$J:$J,'Paired Comparison'!$A:$A,$B96,'Paired Comparison'!$G:$G,$C96,'Paired Comparison'!$E:$E,"box023")</f>
        <v>21.7978735342338</v>
      </c>
      <c r="H96" s="9" t="n">
        <f aca="false">AVERAGEIFS('Paired Comparison'!$K:$K,'Paired Comparison'!$A:$A,$B96,'Paired Comparison'!$G:$G,$C96,'Paired Comparison'!$E:$E,"box023")</f>
        <v>19.5766122014621</v>
      </c>
      <c r="I96" s="9" t="n">
        <f aca="false">H96-G96</f>
        <v>-2.22126133277166</v>
      </c>
      <c r="J96" s="9" t="n">
        <f aca="false">IF(E96="higher",I96,-I96)</f>
        <v>2.22126133277166</v>
      </c>
      <c r="K96" s="9" t="n">
        <v>2.68674489167109</v>
      </c>
      <c r="L96" s="9" t="n">
        <v>0.138281154702551</v>
      </c>
      <c r="M96" s="9" t="n">
        <v>4.03578834559079</v>
      </c>
      <c r="N96" s="7" t="n">
        <f aca="false">COUNTIFS('Paired Comparison'!$A:$A,$B96,'Paired Comparison'!$G:$G,$C96,'Paired Comparison'!$E:$E,"box023",'Paired Comparison'!$M:$M,"&gt;0")</f>
        <v>7</v>
      </c>
      <c r="O96" s="7" t="n">
        <f aca="false">COUNTIFS('Paired Comparison'!$A:$A,$B96,'Paired Comparison'!$G:$G,$C96,'Paired Comparison'!$E:$E,"box023",'Paired Comparison'!$M:$M,"&lt;0")</f>
        <v>1</v>
      </c>
    </row>
    <row r="97" customFormat="false" ht="15" hidden="false" customHeight="false" outlineLevel="0" collapsed="false">
      <c r="A97" s="7" t="s">
        <v>127</v>
      </c>
      <c r="B97" s="7" t="s">
        <v>48</v>
      </c>
      <c r="C97" s="7" t="s">
        <v>69</v>
      </c>
      <c r="D97" s="7" t="s">
        <v>70</v>
      </c>
      <c r="E97" s="7" t="s">
        <v>71</v>
      </c>
      <c r="F97" s="7" t="n">
        <f aca="false">COUNTIFS('Paired Comparison'!$A:$A,$B97,'Paired Comparison'!$G:$G,$C97,'Paired Comparison'!$E:$E,"box023")</f>
        <v>8</v>
      </c>
      <c r="G97" s="9" t="n">
        <f aca="false">AVERAGEIFS('Paired Comparison'!$J:$J,'Paired Comparison'!$A:$A,$B97,'Paired Comparison'!$G:$G,$C97,'Paired Comparison'!$E:$E,"box023")</f>
        <v>0.5076050781344</v>
      </c>
      <c r="H97" s="9" t="n">
        <f aca="false">AVERAGEIFS('Paired Comparison'!$K:$K,'Paired Comparison'!$A:$A,$B97,'Paired Comparison'!$G:$G,$C97,'Paired Comparison'!$E:$E,"box023")</f>
        <v>0.501092609756053</v>
      </c>
      <c r="I97" s="9" t="n">
        <f aca="false">H97-G97</f>
        <v>-0.0065124683783474</v>
      </c>
      <c r="J97" s="9" t="n">
        <f aca="false">IF(E97="higher",I97,-I97)</f>
        <v>-0.0065124683783474</v>
      </c>
      <c r="K97" s="9" t="n">
        <v>-0.0108695652173913</v>
      </c>
      <c r="L97" s="9" t="n">
        <v>-0.101587338798986</v>
      </c>
      <c r="M97" s="9" t="n">
        <v>0.092668534964668</v>
      </c>
      <c r="N97" s="7" t="n">
        <f aca="false">COUNTIFS('Paired Comparison'!$A:$A,$B97,'Paired Comparison'!$G:$G,$C97,'Paired Comparison'!$E:$E,"box023",'Paired Comparison'!$M:$M,"&gt;0")</f>
        <v>3</v>
      </c>
      <c r="O97" s="7" t="n">
        <f aca="false">COUNTIFS('Paired Comparison'!$A:$A,$B97,'Paired Comparison'!$G:$G,$C97,'Paired Comparison'!$E:$E,"box023",'Paired Comparison'!$M:$M,"&lt;0")</f>
        <v>4</v>
      </c>
    </row>
    <row r="98" customFormat="false" ht="15" hidden="false" customHeight="false" outlineLevel="0" collapsed="false">
      <c r="A98" s="7" t="s">
        <v>127</v>
      </c>
      <c r="B98" s="7" t="s">
        <v>48</v>
      </c>
      <c r="C98" s="7" t="s">
        <v>72</v>
      </c>
      <c r="D98" s="7" t="s">
        <v>73</v>
      </c>
      <c r="E98" s="7" t="s">
        <v>71</v>
      </c>
      <c r="F98" s="7" t="n">
        <f aca="false">COUNTIFS('Paired Comparison'!$A:$A,$B98,'Paired Comparison'!$G:$G,$C98,'Paired Comparison'!$E:$E,"box023")</f>
        <v>8</v>
      </c>
      <c r="G98" s="9" t="n">
        <f aca="false">AVERAGEIFS('Paired Comparison'!$J:$J,'Paired Comparison'!$A:$A,$B98,'Paired Comparison'!$G:$G,$C98,'Paired Comparison'!$E:$E,"box023")</f>
        <v>0.725829038201512</v>
      </c>
      <c r="H98" s="9" t="n">
        <f aca="false">AVERAGEIFS('Paired Comparison'!$K:$K,'Paired Comparison'!$A:$A,$B98,'Paired Comparison'!$G:$G,$C98,'Paired Comparison'!$E:$E,"box023")</f>
        <v>0.738219201035235</v>
      </c>
      <c r="I98" s="9" t="n">
        <f aca="false">H98-G98</f>
        <v>0.0123901628337229</v>
      </c>
      <c r="J98" s="9" t="n">
        <f aca="false">IF(E98="higher",I98,-I98)</f>
        <v>0.0123901628337229</v>
      </c>
      <c r="K98" s="9" t="n">
        <v>-0.0102040816326531</v>
      </c>
      <c r="L98" s="9" t="n">
        <v>-0.0435882595316088</v>
      </c>
      <c r="M98" s="9" t="n">
        <v>0.0648296412173746</v>
      </c>
      <c r="N98" s="7" t="n">
        <f aca="false">COUNTIFS('Paired Comparison'!$A:$A,$B98,'Paired Comparison'!$G:$G,$C98,'Paired Comparison'!$E:$E,"box023",'Paired Comparison'!$M:$M,"&gt;0")</f>
        <v>3</v>
      </c>
      <c r="O98" s="7" t="n">
        <f aca="false">COUNTIFS('Paired Comparison'!$A:$A,$B98,'Paired Comparison'!$G:$G,$C98,'Paired Comparison'!$E:$E,"box023",'Paired Comparison'!$M:$M,"&lt;0")</f>
        <v>4</v>
      </c>
    </row>
    <row r="99" customFormat="false" ht="15" hidden="false" customHeight="false" outlineLevel="0" collapsed="false">
      <c r="A99" s="7" t="s">
        <v>127</v>
      </c>
      <c r="B99" s="7" t="s">
        <v>48</v>
      </c>
      <c r="C99" s="7" t="s">
        <v>74</v>
      </c>
      <c r="D99" s="7" t="s">
        <v>75</v>
      </c>
      <c r="E99" s="7" t="s">
        <v>54</v>
      </c>
      <c r="F99" s="7" t="n">
        <f aca="false">COUNTIFS('Paired Comparison'!$A:$A,$B99,'Paired Comparison'!$G:$G,$C99,'Paired Comparison'!$E:$E,"box023")</f>
        <v>8</v>
      </c>
      <c r="G99" s="9" t="n">
        <f aca="false">AVERAGEIFS('Paired Comparison'!$J:$J,'Paired Comparison'!$A:$A,$B99,'Paired Comparison'!$G:$G,$C99,'Paired Comparison'!$E:$E,"box023")</f>
        <v>0.0274392203569268</v>
      </c>
      <c r="H99" s="9" t="n">
        <f aca="false">AVERAGEIFS('Paired Comparison'!$K:$K,'Paired Comparison'!$A:$A,$B99,'Paired Comparison'!$G:$G,$C99,'Paired Comparison'!$E:$E,"box023")</f>
        <v>0.0189622088626739</v>
      </c>
      <c r="I99" s="9" t="n">
        <f aca="false">H99-G99</f>
        <v>-0.00847701149425287</v>
      </c>
      <c r="J99" s="9" t="n">
        <f aca="false">IF(E99="higher",I99,-I99)</f>
        <v>0.00847701149425287</v>
      </c>
      <c r="K99" s="9" t="n">
        <v>0</v>
      </c>
      <c r="L99" s="9" t="n">
        <v>0</v>
      </c>
      <c r="M99" s="9" t="n">
        <v>0.0209770114942529</v>
      </c>
      <c r="N99" s="7" t="n">
        <f aca="false">COUNTIFS('Paired Comparison'!$A:$A,$B99,'Paired Comparison'!$G:$G,$C99,'Paired Comparison'!$E:$E,"box023",'Paired Comparison'!$M:$M,"&gt;0")</f>
        <v>2</v>
      </c>
      <c r="O99" s="7" t="n">
        <f aca="false">COUNTIFS('Paired Comparison'!$A:$A,$B99,'Paired Comparison'!$G:$G,$C99,'Paired Comparison'!$E:$E,"box023",'Paired Comparison'!$M:$M,"&lt;0")</f>
        <v>0</v>
      </c>
    </row>
    <row r="100" customFormat="false" ht="15" hidden="false" customHeight="false" outlineLevel="0" collapsed="false">
      <c r="A100" s="7" t="s">
        <v>127</v>
      </c>
      <c r="B100" s="7" t="s">
        <v>48</v>
      </c>
      <c r="C100" s="7" t="s">
        <v>76</v>
      </c>
      <c r="D100" s="7" t="s">
        <v>77</v>
      </c>
      <c r="E100" s="7" t="s">
        <v>54</v>
      </c>
      <c r="F100" s="7" t="n">
        <f aca="false">COUNTIFS('Paired Comparison'!$A:$A,$B100,'Paired Comparison'!$G:$G,$C100,'Paired Comparison'!$E:$E,"box023")</f>
        <v>8</v>
      </c>
      <c r="G100" s="9" t="n">
        <f aca="false">AVERAGEIFS('Paired Comparison'!$J:$J,'Paired Comparison'!$A:$A,$B100,'Paired Comparison'!$G:$G,$C100,'Paired Comparison'!$E:$E,"box023")</f>
        <v>0.132181688141111</v>
      </c>
      <c r="H100" s="9" t="n">
        <f aca="false">AVERAGEIFS('Paired Comparison'!$K:$K,'Paired Comparison'!$A:$A,$B100,'Paired Comparison'!$G:$G,$C100,'Paired Comparison'!$E:$E,"box023")</f>
        <v>0.142467210249992</v>
      </c>
      <c r="I100" s="9" t="n">
        <f aca="false">H100-G100</f>
        <v>0.0102855221088815</v>
      </c>
      <c r="J100" s="9" t="n">
        <f aca="false">IF(E100="higher",I100,-I100)</f>
        <v>-0.0102855221088815</v>
      </c>
      <c r="K100" s="9" t="n">
        <v>-0.0204081632653061</v>
      </c>
      <c r="L100" s="9" t="n">
        <v>-0.0646300128442986</v>
      </c>
      <c r="M100" s="9" t="n">
        <v>0.0484845761714921</v>
      </c>
      <c r="N100" s="7" t="n">
        <f aca="false">COUNTIFS('Paired Comparison'!$A:$A,$B100,'Paired Comparison'!$G:$G,$C100,'Paired Comparison'!$E:$E,"box023",'Paired Comparison'!$M:$M,"&gt;0")</f>
        <v>3</v>
      </c>
      <c r="O100" s="7" t="n">
        <f aca="false">COUNTIFS('Paired Comparison'!$A:$A,$B100,'Paired Comparison'!$G:$G,$C100,'Paired Comparison'!$E:$E,"box023",'Paired Comparison'!$M:$M,"&lt;0")</f>
        <v>4</v>
      </c>
    </row>
    <row r="101" customFormat="false" ht="15" hidden="false" customHeight="false" outlineLevel="0" collapsed="false">
      <c r="A101" s="7" t="s">
        <v>127</v>
      </c>
      <c r="B101" s="7" t="s">
        <v>48</v>
      </c>
      <c r="C101" s="7" t="s">
        <v>78</v>
      </c>
      <c r="D101" s="7" t="s">
        <v>79</v>
      </c>
      <c r="E101" s="7" t="s">
        <v>54</v>
      </c>
      <c r="F101" s="7" t="n">
        <f aca="false">COUNTIFS('Paired Comparison'!$A:$A,$B101,'Paired Comparison'!$G:$G,$C101,'Paired Comparison'!$E:$E,"box023")</f>
        <v>8</v>
      </c>
      <c r="G101" s="9" t="n">
        <f aca="false">AVERAGEIFS('Paired Comparison'!$J:$J,'Paired Comparison'!$A:$A,$B101,'Paired Comparison'!$G:$G,$C101,'Paired Comparison'!$E:$E,"box023")</f>
        <v>0.0187925170068027</v>
      </c>
      <c r="H101" s="9" t="n">
        <f aca="false">AVERAGEIFS('Paired Comparison'!$K:$K,'Paired Comparison'!$A:$A,$B101,'Paired Comparison'!$G:$G,$C101,'Paired Comparison'!$E:$E,"box023")</f>
        <v>0.0076530612244898</v>
      </c>
      <c r="I101" s="9" t="n">
        <f aca="false">H101-G101</f>
        <v>-0.0111394557823129</v>
      </c>
      <c r="J101" s="9" t="n">
        <f aca="false">IF(E101="higher",I101,-I101)</f>
        <v>0.0111394557823129</v>
      </c>
      <c r="K101" s="9" t="n">
        <v>0</v>
      </c>
      <c r="L101" s="9" t="n">
        <v>0</v>
      </c>
      <c r="M101" s="9" t="n">
        <v>0.0255102040816326</v>
      </c>
      <c r="N101" s="7" t="n">
        <f aca="false">COUNTIFS('Paired Comparison'!$A:$A,$B101,'Paired Comparison'!$G:$G,$C101,'Paired Comparison'!$E:$E,"box023",'Paired Comparison'!$M:$M,"&gt;0")</f>
        <v>2</v>
      </c>
      <c r="O101" s="7" t="n">
        <f aca="false">COUNTIFS('Paired Comparison'!$A:$A,$B101,'Paired Comparison'!$G:$G,$C101,'Paired Comparison'!$E:$E,"box023",'Paired Comparison'!$M:$M,"&lt;0")</f>
        <v>0</v>
      </c>
    </row>
    <row r="102" customFormat="false" ht="15" hidden="false" customHeight="false" outlineLevel="0" collapsed="false">
      <c r="A102" s="7" t="s">
        <v>127</v>
      </c>
      <c r="B102" s="7" t="s">
        <v>48</v>
      </c>
      <c r="C102" s="7" t="s">
        <v>80</v>
      </c>
      <c r="D102" s="7" t="s">
        <v>81</v>
      </c>
      <c r="E102" s="7" t="s">
        <v>54</v>
      </c>
      <c r="F102" s="7" t="n">
        <f aca="false">COUNTIFS('Paired Comparison'!$A:$A,$B102,'Paired Comparison'!$G:$G,$C102,'Paired Comparison'!$E:$E,"box023")</f>
        <v>8</v>
      </c>
      <c r="G102" s="9" t="n">
        <f aca="false">AVERAGEIFS('Paired Comparison'!$J:$J,'Paired Comparison'!$A:$A,$B102,'Paired Comparison'!$G:$G,$C102,'Paired Comparison'!$E:$E,"box023")</f>
        <v>0</v>
      </c>
      <c r="H102" s="9" t="n">
        <f aca="false">AVERAGEIFS('Paired Comparison'!$K:$K,'Paired Comparison'!$A:$A,$B102,'Paired Comparison'!$G:$G,$C102,'Paired Comparison'!$E:$E,"box023")</f>
        <v>0</v>
      </c>
      <c r="I102" s="9" t="n">
        <f aca="false">H102-G102</f>
        <v>0</v>
      </c>
      <c r="J102" s="9" t="n">
        <f aca="false">IF(E102="higher",I102,-I102)</f>
        <v>-0</v>
      </c>
      <c r="K102" s="9" t="n">
        <v>0</v>
      </c>
      <c r="L102" s="9" t="n">
        <v>0</v>
      </c>
      <c r="M102" s="9" t="n">
        <v>0</v>
      </c>
      <c r="N102" s="7" t="n">
        <f aca="false">COUNTIFS('Paired Comparison'!$A:$A,$B102,'Paired Comparison'!$G:$G,$C102,'Paired Comparison'!$E:$E,"box023",'Paired Comparison'!$M:$M,"&gt;0")</f>
        <v>0</v>
      </c>
      <c r="O102" s="7" t="n">
        <f aca="false">COUNTIFS('Paired Comparison'!$A:$A,$B102,'Paired Comparison'!$G:$G,$C102,'Paired Comparison'!$E:$E,"box023",'Paired Comparison'!$M:$M,"&lt;0")</f>
        <v>0</v>
      </c>
    </row>
    <row r="103" customFormat="false" ht="15" hidden="false" customHeight="false" outlineLevel="0" collapsed="false">
      <c r="A103" s="7" t="s">
        <v>127</v>
      </c>
      <c r="B103" s="7" t="s">
        <v>82</v>
      </c>
      <c r="C103" s="7" t="s">
        <v>52</v>
      </c>
      <c r="D103" s="7" t="s">
        <v>53</v>
      </c>
      <c r="E103" s="7" t="s">
        <v>54</v>
      </c>
      <c r="F103" s="7" t="n">
        <f aca="false">COUNTIFS('Paired Comparison'!$A:$A,$B103,'Paired Comparison'!$G:$G,$C103,'Paired Comparison'!$E:$E,"box023")</f>
        <v>8</v>
      </c>
      <c r="G103" s="9" t="n">
        <f aca="false">AVERAGEIFS('Paired Comparison'!$J:$J,'Paired Comparison'!$A:$A,$B103,'Paired Comparison'!$G:$G,$C103,'Paired Comparison'!$E:$E,"box023")</f>
        <v>5.32909904269784</v>
      </c>
      <c r="H103" s="9" t="n">
        <f aca="false">AVERAGEIFS('Paired Comparison'!$K:$K,'Paired Comparison'!$A:$A,$B103,'Paired Comparison'!$G:$G,$C103,'Paired Comparison'!$E:$E,"box023")</f>
        <v>4.96420253541407</v>
      </c>
      <c r="I103" s="9" t="n">
        <f aca="false">H103-G103</f>
        <v>-0.364896507283769</v>
      </c>
      <c r="J103" s="9" t="n">
        <f aca="false">IF(E103="higher",I103,-I103)</f>
        <v>0.364896507283769</v>
      </c>
      <c r="K103" s="9" t="n">
        <v>0.243897693294427</v>
      </c>
      <c r="L103" s="9" t="n">
        <v>-0.102782907444228</v>
      </c>
      <c r="M103" s="9" t="n">
        <v>0.815102088863613</v>
      </c>
      <c r="N103" s="7" t="n">
        <f aca="false">COUNTIFS('Paired Comparison'!$A:$A,$B103,'Paired Comparison'!$G:$G,$C103,'Paired Comparison'!$E:$E,"box023",'Paired Comparison'!$M:$M,"&gt;0")</f>
        <v>6</v>
      </c>
      <c r="O103" s="7" t="n">
        <f aca="false">COUNTIFS('Paired Comparison'!$A:$A,$B103,'Paired Comparison'!$G:$G,$C103,'Paired Comparison'!$E:$E,"box023",'Paired Comparison'!$M:$M,"&lt;0")</f>
        <v>2</v>
      </c>
    </row>
    <row r="104" customFormat="false" ht="15" hidden="false" customHeight="false" outlineLevel="0" collapsed="false">
      <c r="A104" s="7" t="s">
        <v>127</v>
      </c>
      <c r="B104" s="7" t="s">
        <v>82</v>
      </c>
      <c r="C104" s="7" t="s">
        <v>55</v>
      </c>
      <c r="D104" s="7" t="s">
        <v>56</v>
      </c>
      <c r="E104" s="7" t="s">
        <v>54</v>
      </c>
      <c r="F104" s="7" t="n">
        <f aca="false">COUNTIFS('Paired Comparison'!$A:$A,$B104,'Paired Comparison'!$G:$G,$C104,'Paired Comparison'!$E:$E,"box023")</f>
        <v>8</v>
      </c>
      <c r="G104" s="9" t="n">
        <f aca="false">AVERAGEIFS('Paired Comparison'!$J:$J,'Paired Comparison'!$A:$A,$B104,'Paired Comparison'!$G:$G,$C104,'Paired Comparison'!$E:$E,"box023")</f>
        <v>12.3405154676031</v>
      </c>
      <c r="H104" s="9" t="n">
        <f aca="false">AVERAGEIFS('Paired Comparison'!$K:$K,'Paired Comparison'!$A:$A,$B104,'Paired Comparison'!$G:$G,$C104,'Paired Comparison'!$E:$E,"box023")</f>
        <v>11.7522367209044</v>
      </c>
      <c r="I104" s="9" t="n">
        <f aca="false">H104-G104</f>
        <v>-0.588278746698716</v>
      </c>
      <c r="J104" s="9" t="n">
        <f aca="false">IF(E104="higher",I104,-I104)</f>
        <v>0.588278746698716</v>
      </c>
      <c r="K104" s="9" t="n">
        <v>0.473329065899236</v>
      </c>
      <c r="L104" s="9" t="n">
        <v>0.258706756477611</v>
      </c>
      <c r="M104" s="9" t="n">
        <v>0.970962102661134</v>
      </c>
      <c r="N104" s="7" t="n">
        <f aca="false">COUNTIFS('Paired Comparison'!$A:$A,$B104,'Paired Comparison'!$G:$G,$C104,'Paired Comparison'!$E:$E,"box023",'Paired Comparison'!$M:$M,"&gt;0")</f>
        <v>7</v>
      </c>
      <c r="O104" s="7" t="n">
        <f aca="false">COUNTIFS('Paired Comparison'!$A:$A,$B104,'Paired Comparison'!$G:$G,$C104,'Paired Comparison'!$E:$E,"box023",'Paired Comparison'!$M:$M,"&lt;0")</f>
        <v>1</v>
      </c>
    </row>
    <row r="105" customFormat="false" ht="15" hidden="false" customHeight="false" outlineLevel="0" collapsed="false">
      <c r="A105" s="7" t="s">
        <v>127</v>
      </c>
      <c r="B105" s="7" t="s">
        <v>82</v>
      </c>
      <c r="C105" s="7" t="s">
        <v>57</v>
      </c>
      <c r="D105" s="7" t="s">
        <v>58</v>
      </c>
      <c r="E105" s="7" t="s">
        <v>54</v>
      </c>
      <c r="F105" s="7" t="n">
        <f aca="false">COUNTIFS('Paired Comparison'!$A:$A,$B105,'Paired Comparison'!$G:$G,$C105,'Paired Comparison'!$E:$E,"box023")</f>
        <v>8</v>
      </c>
      <c r="G105" s="9" t="n">
        <f aca="false">AVERAGEIFS('Paired Comparison'!$J:$J,'Paired Comparison'!$A:$A,$B105,'Paired Comparison'!$G:$G,$C105,'Paired Comparison'!$E:$E,"box023")</f>
        <v>11.0385945275134</v>
      </c>
      <c r="H105" s="9" t="n">
        <f aca="false">AVERAGEIFS('Paired Comparison'!$K:$K,'Paired Comparison'!$A:$A,$B105,'Paired Comparison'!$G:$G,$C105,'Paired Comparison'!$E:$E,"box023")</f>
        <v>4.88457064594838</v>
      </c>
      <c r="I105" s="9" t="n">
        <f aca="false">H105-G105</f>
        <v>-6.15402388156503</v>
      </c>
      <c r="J105" s="9" t="n">
        <f aca="false">IF(E105="higher",I105,-I105)</f>
        <v>6.15402388156503</v>
      </c>
      <c r="K105" s="9" t="n">
        <v>4.55809271820357</v>
      </c>
      <c r="L105" s="9" t="n">
        <v>2.6637677985013</v>
      </c>
      <c r="M105" s="9" t="n">
        <v>9.85865331667198</v>
      </c>
      <c r="N105" s="7" t="n">
        <f aca="false">COUNTIFS('Paired Comparison'!$A:$A,$B105,'Paired Comparison'!$G:$G,$C105,'Paired Comparison'!$E:$E,"box023",'Paired Comparison'!$M:$M,"&gt;0")</f>
        <v>8</v>
      </c>
      <c r="O105" s="7" t="n">
        <f aca="false">COUNTIFS('Paired Comparison'!$A:$A,$B105,'Paired Comparison'!$G:$G,$C105,'Paired Comparison'!$E:$E,"box023",'Paired Comparison'!$M:$M,"&lt;0")</f>
        <v>0</v>
      </c>
    </row>
    <row r="106" customFormat="false" ht="15" hidden="false" customHeight="false" outlineLevel="0" collapsed="false">
      <c r="A106" s="7" t="s">
        <v>127</v>
      </c>
      <c r="B106" s="7" t="s">
        <v>82</v>
      </c>
      <c r="C106" s="7" t="s">
        <v>59</v>
      </c>
      <c r="D106" s="7" t="s">
        <v>60</v>
      </c>
      <c r="E106" s="7" t="s">
        <v>54</v>
      </c>
      <c r="F106" s="7" t="n">
        <f aca="false">COUNTIFS('Paired Comparison'!$A:$A,$B106,'Paired Comparison'!$G:$G,$C106,'Paired Comparison'!$E:$E,"box023")</f>
        <v>8</v>
      </c>
      <c r="G106" s="9" t="n">
        <f aca="false">AVERAGEIFS('Paired Comparison'!$J:$J,'Paired Comparison'!$A:$A,$B106,'Paired Comparison'!$G:$G,$C106,'Paired Comparison'!$E:$E,"box023")</f>
        <v>0.126126337035327</v>
      </c>
      <c r="H106" s="9" t="n">
        <f aca="false">AVERAGEIFS('Paired Comparison'!$K:$K,'Paired Comparison'!$A:$A,$B106,'Paired Comparison'!$G:$G,$C106,'Paired Comparison'!$E:$E,"box023")</f>
        <v>0.135390001919079</v>
      </c>
      <c r="I106" s="9" t="n">
        <f aca="false">H106-G106</f>
        <v>0.00926366488375202</v>
      </c>
      <c r="J106" s="9" t="n">
        <f aca="false">IF(E106="higher",I106,-I106)</f>
        <v>-0.00926366488375202</v>
      </c>
      <c r="K106" s="9" t="n">
        <v>-0.0071488400143083</v>
      </c>
      <c r="L106" s="9" t="n">
        <v>-0.0159787149364851</v>
      </c>
      <c r="M106" s="9" t="n">
        <v>-0.00287523734085054</v>
      </c>
      <c r="N106" s="7" t="n">
        <f aca="false">COUNTIFS('Paired Comparison'!$A:$A,$B106,'Paired Comparison'!$G:$G,$C106,'Paired Comparison'!$E:$E,"box023",'Paired Comparison'!$M:$M,"&gt;0")</f>
        <v>2</v>
      </c>
      <c r="O106" s="7" t="n">
        <f aca="false">COUNTIFS('Paired Comparison'!$A:$A,$B106,'Paired Comparison'!$G:$G,$C106,'Paired Comparison'!$E:$E,"box023",'Paired Comparison'!$M:$M,"&lt;0")</f>
        <v>6</v>
      </c>
    </row>
    <row r="107" customFormat="false" ht="15" hidden="false" customHeight="false" outlineLevel="0" collapsed="false">
      <c r="A107" s="7" t="s">
        <v>127</v>
      </c>
      <c r="B107" s="7" t="s">
        <v>82</v>
      </c>
      <c r="C107" s="7" t="s">
        <v>61</v>
      </c>
      <c r="D107" s="7" t="s">
        <v>62</v>
      </c>
      <c r="E107" s="7" t="s">
        <v>54</v>
      </c>
      <c r="F107" s="7" t="n">
        <f aca="false">COUNTIFS('Paired Comparison'!$A:$A,$B107,'Paired Comparison'!$G:$G,$C107,'Paired Comparison'!$E:$E,"box023")</f>
        <v>8</v>
      </c>
      <c r="G107" s="9" t="n">
        <f aca="false">AVERAGEIFS('Paired Comparison'!$J:$J,'Paired Comparison'!$A:$A,$B107,'Paired Comparison'!$G:$G,$C107,'Paired Comparison'!$E:$E,"box023")</f>
        <v>18.0384425130112</v>
      </c>
      <c r="H107" s="9" t="n">
        <f aca="false">AVERAGEIFS('Paired Comparison'!$K:$K,'Paired Comparison'!$A:$A,$B107,'Paired Comparison'!$G:$G,$C107,'Paired Comparison'!$E:$E,"box023")</f>
        <v>16.7449079382707</v>
      </c>
      <c r="I107" s="9" t="n">
        <f aca="false">H107-G107</f>
        <v>-1.29353457474052</v>
      </c>
      <c r="J107" s="9" t="n">
        <f aca="false">IF(E107="higher",I107,-I107)</f>
        <v>1.29353457474052</v>
      </c>
      <c r="K107" s="9" t="n">
        <v>1.59829156437497</v>
      </c>
      <c r="L107" s="9" t="n">
        <v>0.504225669391742</v>
      </c>
      <c r="M107" s="9" t="n">
        <v>2.01683462470044</v>
      </c>
      <c r="N107" s="7" t="n">
        <f aca="false">COUNTIFS('Paired Comparison'!$A:$A,$B107,'Paired Comparison'!$G:$G,$C107,'Paired Comparison'!$E:$E,"box023",'Paired Comparison'!$M:$M,"&gt;0")</f>
        <v>6</v>
      </c>
      <c r="O107" s="7" t="n">
        <f aca="false">COUNTIFS('Paired Comparison'!$A:$A,$B107,'Paired Comparison'!$G:$G,$C107,'Paired Comparison'!$E:$E,"box023",'Paired Comparison'!$M:$M,"&lt;0")</f>
        <v>2</v>
      </c>
    </row>
    <row r="108" customFormat="false" ht="15" hidden="false" customHeight="false" outlineLevel="0" collapsed="false">
      <c r="A108" s="7" t="s">
        <v>127</v>
      </c>
      <c r="B108" s="7" t="s">
        <v>82</v>
      </c>
      <c r="C108" s="7" t="s">
        <v>63</v>
      </c>
      <c r="D108" s="7" t="s">
        <v>64</v>
      </c>
      <c r="E108" s="7" t="s">
        <v>54</v>
      </c>
      <c r="F108" s="7" t="n">
        <f aca="false">COUNTIFS('Paired Comparison'!$A:$A,$B108,'Paired Comparison'!$G:$G,$C108,'Paired Comparison'!$E:$E,"box023")</f>
        <v>8</v>
      </c>
      <c r="G108" s="9" t="n">
        <f aca="false">AVERAGEIFS('Paired Comparison'!$J:$J,'Paired Comparison'!$A:$A,$B108,'Paired Comparison'!$G:$G,$C108,'Paired Comparison'!$E:$E,"box023")</f>
        <v>12.4134628486145</v>
      </c>
      <c r="H108" s="9" t="n">
        <f aca="false">AVERAGEIFS('Paired Comparison'!$K:$K,'Paired Comparison'!$A:$A,$B108,'Paired Comparison'!$G:$G,$C108,'Paired Comparison'!$E:$E,"box023")</f>
        <v>11.9452203745962</v>
      </c>
      <c r="I108" s="9" t="n">
        <f aca="false">H108-G108</f>
        <v>-0.468242474018277</v>
      </c>
      <c r="J108" s="9" t="n">
        <f aca="false">IF(E108="higher",I108,-I108)</f>
        <v>0.468242474018277</v>
      </c>
      <c r="K108" s="9" t="n">
        <v>0.856154524978808</v>
      </c>
      <c r="L108" s="9" t="n">
        <v>-0.23325769356146</v>
      </c>
      <c r="M108" s="9" t="n">
        <v>1.03886246802233</v>
      </c>
      <c r="N108" s="7" t="n">
        <f aca="false">COUNTIFS('Paired Comparison'!$A:$A,$B108,'Paired Comparison'!$G:$G,$C108,'Paired Comparison'!$E:$E,"box023",'Paired Comparison'!$M:$M,"&gt;0")</f>
        <v>6</v>
      </c>
      <c r="O108" s="7" t="n">
        <f aca="false">COUNTIFS('Paired Comparison'!$A:$A,$B108,'Paired Comparison'!$G:$G,$C108,'Paired Comparison'!$E:$E,"box023",'Paired Comparison'!$M:$M,"&lt;0")</f>
        <v>2</v>
      </c>
    </row>
    <row r="109" customFormat="false" ht="15" hidden="false" customHeight="false" outlineLevel="0" collapsed="false">
      <c r="A109" s="7" t="s">
        <v>127</v>
      </c>
      <c r="B109" s="7" t="s">
        <v>82</v>
      </c>
      <c r="C109" s="7" t="s">
        <v>65</v>
      </c>
      <c r="D109" s="7" t="s">
        <v>66</v>
      </c>
      <c r="E109" s="7" t="s">
        <v>54</v>
      </c>
      <c r="F109" s="7" t="n">
        <f aca="false">COUNTIFS('Paired Comparison'!$A:$A,$B109,'Paired Comparison'!$G:$G,$C109,'Paired Comparison'!$E:$E,"box023")</f>
        <v>8</v>
      </c>
      <c r="G109" s="9" t="n">
        <f aca="false">AVERAGEIFS('Paired Comparison'!$J:$J,'Paired Comparison'!$A:$A,$B109,'Paired Comparison'!$G:$G,$C109,'Paired Comparison'!$E:$E,"box023")</f>
        <v>16.3119382873234</v>
      </c>
      <c r="H109" s="9" t="n">
        <f aca="false">AVERAGEIFS('Paired Comparison'!$K:$K,'Paired Comparison'!$A:$A,$B109,'Paired Comparison'!$G:$G,$C109,'Paired Comparison'!$E:$E,"box023")</f>
        <v>15.3288213191949</v>
      </c>
      <c r="I109" s="9" t="n">
        <f aca="false">H109-G109</f>
        <v>-0.983116968128531</v>
      </c>
      <c r="J109" s="9" t="n">
        <f aca="false">IF(E109="higher",I109,-I109)</f>
        <v>0.983116968128531</v>
      </c>
      <c r="K109" s="9" t="n">
        <v>0.901784442628875</v>
      </c>
      <c r="L109" s="9" t="n">
        <v>0.361182778642614</v>
      </c>
      <c r="M109" s="9" t="n">
        <v>1.64564685924962</v>
      </c>
      <c r="N109" s="7" t="n">
        <f aca="false">COUNTIFS('Paired Comparison'!$A:$A,$B109,'Paired Comparison'!$G:$G,$C109,'Paired Comparison'!$E:$E,"box023",'Paired Comparison'!$M:$M,"&gt;0")</f>
        <v>7</v>
      </c>
      <c r="O109" s="7" t="n">
        <f aca="false">COUNTIFS('Paired Comparison'!$A:$A,$B109,'Paired Comparison'!$G:$G,$C109,'Paired Comparison'!$E:$E,"box023",'Paired Comparison'!$M:$M,"&lt;0")</f>
        <v>1</v>
      </c>
    </row>
    <row r="110" customFormat="false" ht="15" hidden="false" customHeight="false" outlineLevel="0" collapsed="false">
      <c r="A110" s="7" t="s">
        <v>127</v>
      </c>
      <c r="B110" s="7" t="s">
        <v>82</v>
      </c>
      <c r="C110" s="7" t="s">
        <v>67</v>
      </c>
      <c r="D110" s="7" t="s">
        <v>68</v>
      </c>
      <c r="E110" s="7" t="s">
        <v>54</v>
      </c>
      <c r="F110" s="7" t="n">
        <f aca="false">COUNTIFS('Paired Comparison'!$A:$A,$B110,'Paired Comparison'!$G:$G,$C110,'Paired Comparison'!$E:$E,"box023")</f>
        <v>8</v>
      </c>
      <c r="G110" s="9" t="n">
        <f aca="false">AVERAGEIFS('Paired Comparison'!$J:$J,'Paired Comparison'!$A:$A,$B110,'Paired Comparison'!$G:$G,$C110,'Paired Comparison'!$E:$E,"box023")</f>
        <v>20.3089113807628</v>
      </c>
      <c r="H110" s="9" t="n">
        <f aca="false">AVERAGEIFS('Paired Comparison'!$K:$K,'Paired Comparison'!$A:$A,$B110,'Paired Comparison'!$G:$G,$C110,'Paired Comparison'!$E:$E,"box023")</f>
        <v>19.5766122014621</v>
      </c>
      <c r="I110" s="9" t="n">
        <f aca="false">H110-G110</f>
        <v>-0.732299179300725</v>
      </c>
      <c r="J110" s="9" t="n">
        <f aca="false">IF(E110="higher",I110,-I110)</f>
        <v>0.732299179300725</v>
      </c>
      <c r="K110" s="9" t="n">
        <v>0.337815742883574</v>
      </c>
      <c r="L110" s="9" t="n">
        <v>-0.29141912791368</v>
      </c>
      <c r="M110" s="9" t="n">
        <v>1.82594453616558</v>
      </c>
      <c r="N110" s="7" t="n">
        <f aca="false">COUNTIFS('Paired Comparison'!$A:$A,$B110,'Paired Comparison'!$G:$G,$C110,'Paired Comparison'!$E:$E,"box023",'Paired Comparison'!$M:$M,"&gt;0")</f>
        <v>7</v>
      </c>
      <c r="O110" s="7" t="n">
        <f aca="false">COUNTIFS('Paired Comparison'!$A:$A,$B110,'Paired Comparison'!$G:$G,$C110,'Paired Comparison'!$E:$E,"box023",'Paired Comparison'!$M:$M,"&lt;0")</f>
        <v>1</v>
      </c>
    </row>
    <row r="111" customFormat="false" ht="15" hidden="false" customHeight="false" outlineLevel="0" collapsed="false">
      <c r="A111" s="7" t="s">
        <v>127</v>
      </c>
      <c r="B111" s="7" t="s">
        <v>82</v>
      </c>
      <c r="C111" s="7" t="s">
        <v>69</v>
      </c>
      <c r="D111" s="7" t="s">
        <v>70</v>
      </c>
      <c r="E111" s="7" t="s">
        <v>71</v>
      </c>
      <c r="F111" s="7" t="n">
        <f aca="false">COUNTIFS('Paired Comparison'!$A:$A,$B111,'Paired Comparison'!$G:$G,$C111,'Paired Comparison'!$E:$E,"box023")</f>
        <v>8</v>
      </c>
      <c r="G111" s="9" t="n">
        <f aca="false">AVERAGEIFS('Paired Comparison'!$J:$J,'Paired Comparison'!$A:$A,$B111,'Paired Comparison'!$G:$G,$C111,'Paired Comparison'!$E:$E,"box023")</f>
        <v>0.455165116952788</v>
      </c>
      <c r="H111" s="9" t="n">
        <f aca="false">AVERAGEIFS('Paired Comparison'!$K:$K,'Paired Comparison'!$A:$A,$B111,'Paired Comparison'!$G:$G,$C111,'Paired Comparison'!$E:$E,"box023")</f>
        <v>0.501092609756053</v>
      </c>
      <c r="I111" s="9" t="n">
        <f aca="false">H111-G111</f>
        <v>0.0459274928032645</v>
      </c>
      <c r="J111" s="9" t="n">
        <f aca="false">IF(E111="higher",I111,-I111)</f>
        <v>0.0459274928032645</v>
      </c>
      <c r="K111" s="9" t="n">
        <v>-0.0232558139534884</v>
      </c>
      <c r="L111" s="9" t="n">
        <v>-0.0388107184369497</v>
      </c>
      <c r="M111" s="9" t="n">
        <v>0.145340329313544</v>
      </c>
      <c r="N111" s="7" t="n">
        <f aca="false">COUNTIFS('Paired Comparison'!$A:$A,$B111,'Paired Comparison'!$G:$G,$C111,'Paired Comparison'!$E:$E,"box023",'Paired Comparison'!$M:$M,"&gt;0")</f>
        <v>3</v>
      </c>
      <c r="O111" s="7" t="n">
        <f aca="false">COUNTIFS('Paired Comparison'!$A:$A,$B111,'Paired Comparison'!$G:$G,$C111,'Paired Comparison'!$E:$E,"box023",'Paired Comparison'!$M:$M,"&lt;0")</f>
        <v>4</v>
      </c>
    </row>
    <row r="112" customFormat="false" ht="15" hidden="false" customHeight="false" outlineLevel="0" collapsed="false">
      <c r="A112" s="7" t="s">
        <v>127</v>
      </c>
      <c r="B112" s="7" t="s">
        <v>82</v>
      </c>
      <c r="C112" s="7" t="s">
        <v>72</v>
      </c>
      <c r="D112" s="7" t="s">
        <v>73</v>
      </c>
      <c r="E112" s="7" t="s">
        <v>71</v>
      </c>
      <c r="F112" s="7" t="n">
        <f aca="false">COUNTIFS('Paired Comparison'!$A:$A,$B112,'Paired Comparison'!$G:$G,$C112,'Paired Comparison'!$E:$E,"box023")</f>
        <v>8</v>
      </c>
      <c r="G112" s="9" t="n">
        <f aca="false">AVERAGEIFS('Paired Comparison'!$J:$J,'Paired Comparison'!$A:$A,$B112,'Paired Comparison'!$G:$G,$C112,'Paired Comparison'!$E:$E,"box023")</f>
        <v>0.749021992669963</v>
      </c>
      <c r="H112" s="9" t="n">
        <f aca="false">AVERAGEIFS('Paired Comparison'!$K:$K,'Paired Comparison'!$A:$A,$B112,'Paired Comparison'!$G:$G,$C112,'Paired Comparison'!$E:$E,"box023")</f>
        <v>0.738219201035235</v>
      </c>
      <c r="I112" s="9" t="n">
        <f aca="false">H112-G112</f>
        <v>-0.0108027916347281</v>
      </c>
      <c r="J112" s="9" t="n">
        <f aca="false">IF(E112="higher",I112,-I112)</f>
        <v>-0.0108027916347281</v>
      </c>
      <c r="K112" s="9" t="n">
        <v>-0.0564516129032258</v>
      </c>
      <c r="L112" s="9" t="n">
        <v>-0.0803921024356981</v>
      </c>
      <c r="M112" s="9" t="n">
        <v>0.0732852590851239</v>
      </c>
      <c r="N112" s="7" t="n">
        <f aca="false">COUNTIFS('Paired Comparison'!$A:$A,$B112,'Paired Comparison'!$G:$G,$C112,'Paired Comparison'!$E:$E,"box023",'Paired Comparison'!$M:$M,"&gt;0")</f>
        <v>3</v>
      </c>
      <c r="O112" s="7" t="n">
        <f aca="false">COUNTIFS('Paired Comparison'!$A:$A,$B112,'Paired Comparison'!$G:$G,$C112,'Paired Comparison'!$E:$E,"box023",'Paired Comparison'!$M:$M,"&lt;0")</f>
        <v>5</v>
      </c>
    </row>
    <row r="113" customFormat="false" ht="15" hidden="false" customHeight="false" outlineLevel="0" collapsed="false">
      <c r="A113" s="7" t="s">
        <v>127</v>
      </c>
      <c r="B113" s="7" t="s">
        <v>82</v>
      </c>
      <c r="C113" s="7" t="s">
        <v>74</v>
      </c>
      <c r="D113" s="7" t="s">
        <v>75</v>
      </c>
      <c r="E113" s="7" t="s">
        <v>54</v>
      </c>
      <c r="F113" s="7" t="n">
        <f aca="false">COUNTIFS('Paired Comparison'!$A:$A,$B113,'Paired Comparison'!$G:$G,$C113,'Paired Comparison'!$E:$E,"box023")</f>
        <v>8</v>
      </c>
      <c r="G113" s="9" t="n">
        <f aca="false">AVERAGEIFS('Paired Comparison'!$J:$J,'Paired Comparison'!$A:$A,$B113,'Paired Comparison'!$G:$G,$C113,'Paired Comparison'!$E:$E,"box023")</f>
        <v>0.048692227233717</v>
      </c>
      <c r="H113" s="9" t="n">
        <f aca="false">AVERAGEIFS('Paired Comparison'!$K:$K,'Paired Comparison'!$A:$A,$B113,'Paired Comparison'!$G:$G,$C113,'Paired Comparison'!$E:$E,"box023")</f>
        <v>0.0189622088626739</v>
      </c>
      <c r="I113" s="9" t="n">
        <f aca="false">H113-G113</f>
        <v>-0.0297300183710431</v>
      </c>
      <c r="J113" s="9" t="n">
        <f aca="false">IF(E113="higher",I113,-I113)</f>
        <v>0.0297300183710431</v>
      </c>
      <c r="K113" s="9" t="n">
        <v>0.0348557692307692</v>
      </c>
      <c r="L113" s="9" t="n">
        <v>0.0044035974801061</v>
      </c>
      <c r="M113" s="9" t="n">
        <v>0.052579098908484</v>
      </c>
      <c r="N113" s="7" t="n">
        <f aca="false">COUNTIFS('Paired Comparison'!$A:$A,$B113,'Paired Comparison'!$G:$G,$C113,'Paired Comparison'!$E:$E,"box023",'Paired Comparison'!$M:$M,"&gt;0")</f>
        <v>5</v>
      </c>
      <c r="O113" s="7" t="n">
        <f aca="false">COUNTIFS('Paired Comparison'!$A:$A,$B113,'Paired Comparison'!$G:$G,$C113,'Paired Comparison'!$E:$E,"box023",'Paired Comparison'!$M:$M,"&lt;0")</f>
        <v>1</v>
      </c>
    </row>
    <row r="114" customFormat="false" ht="15" hidden="false" customHeight="false" outlineLevel="0" collapsed="false">
      <c r="A114" s="7" t="s">
        <v>127</v>
      </c>
      <c r="B114" s="7" t="s">
        <v>82</v>
      </c>
      <c r="C114" s="7" t="s">
        <v>76</v>
      </c>
      <c r="D114" s="7" t="s">
        <v>77</v>
      </c>
      <c r="E114" s="7" t="s">
        <v>54</v>
      </c>
      <c r="F114" s="7" t="n">
        <f aca="false">COUNTIFS('Paired Comparison'!$A:$A,$B114,'Paired Comparison'!$G:$G,$C114,'Paired Comparison'!$E:$E,"box023")</f>
        <v>8</v>
      </c>
      <c r="G114" s="9" t="n">
        <f aca="false">AVERAGEIFS('Paired Comparison'!$J:$J,'Paired Comparison'!$A:$A,$B114,'Paired Comparison'!$G:$G,$C114,'Paired Comparison'!$E:$E,"box023")</f>
        <v>0.172364142549918</v>
      </c>
      <c r="H114" s="9" t="n">
        <f aca="false">AVERAGEIFS('Paired Comparison'!$K:$K,'Paired Comparison'!$A:$A,$B114,'Paired Comparison'!$G:$G,$C114,'Paired Comparison'!$E:$E,"box023")</f>
        <v>0.142467210249992</v>
      </c>
      <c r="I114" s="9" t="n">
        <f aca="false">H114-G114</f>
        <v>-0.0298969322999253</v>
      </c>
      <c r="J114" s="9" t="n">
        <f aca="false">IF(E114="higher",I114,-I114)</f>
        <v>0.0298969322999253</v>
      </c>
      <c r="K114" s="9" t="n">
        <v>0</v>
      </c>
      <c r="L114" s="9" t="n">
        <v>-0.02750999000999</v>
      </c>
      <c r="M114" s="9" t="n">
        <v>0.109964320105542</v>
      </c>
      <c r="N114" s="7" t="n">
        <f aca="false">COUNTIFS('Paired Comparison'!$A:$A,$B114,'Paired Comparison'!$G:$G,$C114,'Paired Comparison'!$E:$E,"box023",'Paired Comparison'!$M:$M,"&gt;0")</f>
        <v>3</v>
      </c>
      <c r="O114" s="7" t="n">
        <f aca="false">COUNTIFS('Paired Comparison'!$A:$A,$B114,'Paired Comparison'!$G:$G,$C114,'Paired Comparison'!$E:$E,"box023",'Paired Comparison'!$M:$M,"&lt;0")</f>
        <v>3</v>
      </c>
    </row>
    <row r="115" customFormat="false" ht="15" hidden="false" customHeight="false" outlineLevel="0" collapsed="false">
      <c r="A115" s="7" t="s">
        <v>127</v>
      </c>
      <c r="B115" s="7" t="s">
        <v>82</v>
      </c>
      <c r="C115" s="7" t="s">
        <v>78</v>
      </c>
      <c r="D115" s="7" t="s">
        <v>79</v>
      </c>
      <c r="E115" s="7" t="s">
        <v>54</v>
      </c>
      <c r="F115" s="7" t="n">
        <f aca="false">COUNTIFS('Paired Comparison'!$A:$A,$B115,'Paired Comparison'!$G:$G,$C115,'Paired Comparison'!$E:$E,"box023")</f>
        <v>8</v>
      </c>
      <c r="G115" s="9" t="n">
        <f aca="false">AVERAGEIFS('Paired Comparison'!$J:$J,'Paired Comparison'!$A:$A,$B115,'Paired Comparison'!$G:$G,$C115,'Paired Comparison'!$E:$E,"box023")</f>
        <v>0.0247215036319919</v>
      </c>
      <c r="H115" s="9" t="n">
        <f aca="false">AVERAGEIFS('Paired Comparison'!$K:$K,'Paired Comparison'!$A:$A,$B115,'Paired Comparison'!$G:$G,$C115,'Paired Comparison'!$E:$E,"box023")</f>
        <v>0.0076530612244898</v>
      </c>
      <c r="I115" s="9" t="n">
        <f aca="false">H115-G115</f>
        <v>-0.0170684424075021</v>
      </c>
      <c r="J115" s="9" t="n">
        <f aca="false">IF(E115="higher",I115,-I115)</f>
        <v>0.0170684424075021</v>
      </c>
      <c r="K115" s="9" t="n">
        <v>0.00454545454545455</v>
      </c>
      <c r="L115" s="9" t="n">
        <v>0.00454545454545455</v>
      </c>
      <c r="M115" s="9" t="n">
        <v>0.0317424438129682</v>
      </c>
      <c r="N115" s="7" t="n">
        <f aca="false">COUNTIFS('Paired Comparison'!$A:$A,$B115,'Paired Comparison'!$G:$G,$C115,'Paired Comparison'!$E:$E,"box023",'Paired Comparison'!$M:$M,"&gt;0")</f>
        <v>4</v>
      </c>
      <c r="O115" s="7" t="n">
        <f aca="false">COUNTIFS('Paired Comparison'!$A:$A,$B115,'Paired Comparison'!$G:$G,$C115,'Paired Comparison'!$E:$E,"box023",'Paired Comparison'!$M:$M,"&lt;0")</f>
        <v>0</v>
      </c>
    </row>
    <row r="116" customFormat="false" ht="15" hidden="false" customHeight="false" outlineLevel="0" collapsed="false">
      <c r="A116" s="7" t="s">
        <v>127</v>
      </c>
      <c r="B116" s="7" t="s">
        <v>82</v>
      </c>
      <c r="C116" s="7" t="s">
        <v>80</v>
      </c>
      <c r="D116" s="7" t="s">
        <v>81</v>
      </c>
      <c r="E116" s="7" t="s">
        <v>54</v>
      </c>
      <c r="F116" s="7" t="n">
        <f aca="false">COUNTIFS('Paired Comparison'!$A:$A,$B116,'Paired Comparison'!$G:$G,$C116,'Paired Comparison'!$E:$E,"box023")</f>
        <v>8</v>
      </c>
      <c r="G116" s="9" t="n">
        <f aca="false">AVERAGEIFS('Paired Comparison'!$J:$J,'Paired Comparison'!$A:$A,$B116,'Paired Comparison'!$G:$G,$C116,'Paired Comparison'!$E:$E,"box023")</f>
        <v>0</v>
      </c>
      <c r="H116" s="9" t="n">
        <f aca="false">AVERAGEIFS('Paired Comparison'!$K:$K,'Paired Comparison'!$A:$A,$B116,'Paired Comparison'!$G:$G,$C116,'Paired Comparison'!$E:$E,"box023")</f>
        <v>0</v>
      </c>
      <c r="I116" s="9" t="n">
        <f aca="false">H116-G116</f>
        <v>0</v>
      </c>
      <c r="J116" s="9" t="n">
        <f aca="false">IF(E116="higher",I116,-I116)</f>
        <v>-0</v>
      </c>
      <c r="K116" s="9" t="n">
        <v>0</v>
      </c>
      <c r="L116" s="9" t="n">
        <v>0</v>
      </c>
      <c r="M116" s="9" t="n">
        <v>0</v>
      </c>
      <c r="N116" s="7" t="n">
        <f aca="false">COUNTIFS('Paired Comparison'!$A:$A,$B116,'Paired Comparison'!$G:$G,$C116,'Paired Comparison'!$E:$E,"box023",'Paired Comparison'!$M:$M,"&gt;0")</f>
        <v>0</v>
      </c>
      <c r="O116" s="7" t="n">
        <f aca="false">COUNTIFS('Paired Comparison'!$A:$A,$B116,'Paired Comparison'!$G:$G,$C116,'Paired Comparison'!$E:$E,"box023",'Paired Comparison'!$M:$M,"&lt;0")</f>
        <v>0</v>
      </c>
    </row>
  </sheetData>
  <autoFilter ref="A4:O116"/>
  <mergeCells count="2">
    <mergeCell ref="A1:O1"/>
    <mergeCell ref="A2:O2"/>
  </mergeCells>
  <conditionalFormatting sqref="J5:J116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3" min="2" style="0" width="18"/>
    <col collapsed="false" customWidth="true" hidden="false" outlineLevel="0" max="4" min="4" style="0" width="38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8" min="7" style="0" width="15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129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130</v>
      </c>
      <c r="G4" s="6" t="s">
        <v>131</v>
      </c>
      <c r="H4" s="6" t="s">
        <v>132</v>
      </c>
      <c r="I4" s="6" t="s">
        <v>133</v>
      </c>
    </row>
    <row r="5" customFormat="false" ht="15" hidden="false" customHeight="false" outlineLevel="0" collapsed="false">
      <c r="A5" s="7" t="s">
        <v>48</v>
      </c>
      <c r="B5" s="7" t="s">
        <v>10</v>
      </c>
      <c r="C5" s="7" t="s">
        <v>49</v>
      </c>
      <c r="D5" s="7" t="s">
        <v>50</v>
      </c>
      <c r="E5" s="7" t="s">
        <v>51</v>
      </c>
      <c r="F5" s="7" t="s">
        <v>134</v>
      </c>
      <c r="G5" s="8" t="b">
        <f aca="false">TRUE()</f>
        <v>1</v>
      </c>
      <c r="H5" s="8" t="b">
        <f aca="false">TRUE()</f>
        <v>1</v>
      </c>
      <c r="I5" s="7" t="str">
        <f aca="false">IF(AND(G5,H5),"PASS_TO_PASS",IF(G5,"PASS_TO_FAIL",IF(H5,"FAIL_TO_PASS","FAIL_TO_FAIL")))</f>
        <v>PASS_TO_PASS</v>
      </c>
    </row>
    <row r="6" customFormat="false" ht="15" hidden="false" customHeight="false" outlineLevel="0" collapsed="false">
      <c r="A6" s="7" t="s">
        <v>48</v>
      </c>
      <c r="B6" s="7" t="s">
        <v>10</v>
      </c>
      <c r="C6" s="7" t="s">
        <v>49</v>
      </c>
      <c r="D6" s="7" t="s">
        <v>50</v>
      </c>
      <c r="E6" s="7" t="s">
        <v>51</v>
      </c>
      <c r="F6" s="7" t="s">
        <v>135</v>
      </c>
      <c r="G6" s="8" t="b">
        <f aca="false">TRUE()</f>
        <v>1</v>
      </c>
      <c r="H6" s="8" t="b">
        <f aca="false">TRUE()</f>
        <v>1</v>
      </c>
      <c r="I6" s="7" t="str">
        <f aca="false">IF(AND(G6,H6),"PASS_TO_PASS",IF(G6,"PASS_TO_FAIL",IF(H6,"FAIL_TO_PASS","FAIL_TO_FAIL")))</f>
        <v>PASS_TO_PASS</v>
      </c>
    </row>
    <row r="7" customFormat="false" ht="15" hidden="false" customHeight="false" outlineLevel="0" collapsed="false">
      <c r="A7" s="7" t="s">
        <v>48</v>
      </c>
      <c r="B7" s="7" t="s">
        <v>10</v>
      </c>
      <c r="C7" s="7" t="s">
        <v>49</v>
      </c>
      <c r="D7" s="7" t="s">
        <v>50</v>
      </c>
      <c r="E7" s="7" t="s">
        <v>51</v>
      </c>
      <c r="F7" s="7" t="s">
        <v>136</v>
      </c>
      <c r="G7" s="8" t="b">
        <f aca="false">TRUE()</f>
        <v>1</v>
      </c>
      <c r="H7" s="8" t="b">
        <f aca="false">TRUE()</f>
        <v>1</v>
      </c>
      <c r="I7" s="7" t="str">
        <f aca="false">IF(AND(G7,H7),"PASS_TO_PASS",IF(G7,"PASS_TO_FAIL",IF(H7,"FAIL_TO_PASS","FAIL_TO_FAIL")))</f>
        <v>PASS_TO_PASS</v>
      </c>
    </row>
    <row r="8" customFormat="false" ht="15" hidden="false" customHeight="false" outlineLevel="0" collapsed="false">
      <c r="A8" s="7" t="s">
        <v>48</v>
      </c>
      <c r="B8" s="7" t="s">
        <v>10</v>
      </c>
      <c r="C8" s="7" t="s">
        <v>49</v>
      </c>
      <c r="D8" s="7" t="s">
        <v>50</v>
      </c>
      <c r="E8" s="7" t="s">
        <v>51</v>
      </c>
      <c r="F8" s="7" t="s">
        <v>137</v>
      </c>
      <c r="G8" s="8" t="b">
        <f aca="false">TRUE()</f>
        <v>1</v>
      </c>
      <c r="H8" s="8" t="b">
        <f aca="false">TRUE()</f>
        <v>1</v>
      </c>
      <c r="I8" s="7" t="str">
        <f aca="false">IF(AND(G8,H8),"PASS_TO_PASS",IF(G8,"PASS_TO_FAIL",IF(H8,"FAIL_TO_PASS","FAIL_TO_FAIL")))</f>
        <v>PASS_TO_PASS</v>
      </c>
    </row>
    <row r="9" customFormat="false" ht="15" hidden="false" customHeight="false" outlineLevel="0" collapsed="false">
      <c r="A9" s="7" t="s">
        <v>48</v>
      </c>
      <c r="B9" s="7" t="s">
        <v>10</v>
      </c>
      <c r="C9" s="7" t="s">
        <v>49</v>
      </c>
      <c r="D9" s="7" t="s">
        <v>50</v>
      </c>
      <c r="E9" s="7" t="s">
        <v>51</v>
      </c>
      <c r="F9" s="7" t="s">
        <v>138</v>
      </c>
      <c r="G9" s="8" t="b">
        <f aca="false">TRUE()</f>
        <v>1</v>
      </c>
      <c r="H9" s="8" t="b">
        <f aca="false">TRUE()</f>
        <v>1</v>
      </c>
      <c r="I9" s="7" t="str">
        <f aca="false">IF(AND(G9,H9),"PASS_TO_PASS",IF(G9,"PASS_TO_FAIL",IF(H9,"FAIL_TO_PASS","FAIL_TO_FAIL")))</f>
        <v>PASS_TO_PASS</v>
      </c>
    </row>
    <row r="10" customFormat="false" ht="15" hidden="false" customHeight="false" outlineLevel="0" collapsed="false">
      <c r="A10" s="7" t="s">
        <v>48</v>
      </c>
      <c r="B10" s="7" t="s">
        <v>10</v>
      </c>
      <c r="C10" s="7" t="s">
        <v>49</v>
      </c>
      <c r="D10" s="7" t="s">
        <v>50</v>
      </c>
      <c r="E10" s="7" t="s">
        <v>51</v>
      </c>
      <c r="F10" s="7" t="s">
        <v>139</v>
      </c>
      <c r="G10" s="8" t="b">
        <f aca="false">TRUE()</f>
        <v>1</v>
      </c>
      <c r="H10" s="8" t="b">
        <f aca="false">TRUE()</f>
        <v>1</v>
      </c>
      <c r="I10" s="7" t="str">
        <f aca="false">IF(AND(G10,H10),"PASS_TO_PASS",IF(G10,"PASS_TO_FAIL",IF(H10,"FAIL_TO_PASS","FAIL_TO_FAIL")))</f>
        <v>PASS_TO_PASS</v>
      </c>
    </row>
    <row r="11" customFormat="false" ht="15" hidden="false" customHeight="false" outlineLevel="0" collapsed="false">
      <c r="A11" s="7" t="s">
        <v>48</v>
      </c>
      <c r="B11" s="7" t="s">
        <v>10</v>
      </c>
      <c r="C11" s="7" t="s">
        <v>49</v>
      </c>
      <c r="D11" s="7" t="s">
        <v>50</v>
      </c>
      <c r="E11" s="7" t="s">
        <v>51</v>
      </c>
      <c r="F11" s="7" t="s">
        <v>140</v>
      </c>
      <c r="G11" s="8" t="b">
        <f aca="false">TRUE()</f>
        <v>1</v>
      </c>
      <c r="H11" s="8" t="b">
        <f aca="false">TRUE()</f>
        <v>1</v>
      </c>
      <c r="I11" s="7" t="str">
        <f aca="false">IF(AND(G11,H11),"PASS_TO_PASS",IF(G11,"PASS_TO_FAIL",IF(H11,"FAIL_TO_PASS","FAIL_TO_FAIL")))</f>
        <v>PASS_TO_PASS</v>
      </c>
    </row>
    <row r="12" customFormat="false" ht="15" hidden="false" customHeight="false" outlineLevel="0" collapsed="false">
      <c r="A12" s="7" t="s">
        <v>48</v>
      </c>
      <c r="B12" s="7" t="s">
        <v>10</v>
      </c>
      <c r="C12" s="7" t="s">
        <v>49</v>
      </c>
      <c r="D12" s="7" t="s">
        <v>50</v>
      </c>
      <c r="E12" s="7" t="s">
        <v>51</v>
      </c>
      <c r="F12" s="7" t="s">
        <v>141</v>
      </c>
      <c r="G12" s="8" t="b">
        <f aca="false">TRUE()</f>
        <v>1</v>
      </c>
      <c r="H12" s="8" t="b">
        <f aca="false">TRUE()</f>
        <v>1</v>
      </c>
      <c r="I12" s="7" t="str">
        <f aca="false">IF(AND(G12,H12),"PASS_TO_PASS",IF(G12,"PASS_TO_FAIL",IF(H12,"FAIL_TO_PASS","FAIL_TO_FAIL")))</f>
        <v>PASS_TO_PASS</v>
      </c>
    </row>
    <row r="13" customFormat="false" ht="15" hidden="false" customHeight="false" outlineLevel="0" collapsed="false">
      <c r="A13" s="7" t="s">
        <v>48</v>
      </c>
      <c r="B13" s="7" t="s">
        <v>10</v>
      </c>
      <c r="C13" s="7" t="s">
        <v>49</v>
      </c>
      <c r="D13" s="7" t="s">
        <v>50</v>
      </c>
      <c r="E13" s="7" t="s">
        <v>51</v>
      </c>
      <c r="F13" s="7" t="s">
        <v>142</v>
      </c>
      <c r="G13" s="8" t="b">
        <f aca="false">TRUE()</f>
        <v>1</v>
      </c>
      <c r="H13" s="8" t="b">
        <f aca="false">TRUE()</f>
        <v>1</v>
      </c>
      <c r="I13" s="7" t="str">
        <f aca="false">IF(AND(G13,H13),"PASS_TO_PASS",IF(G13,"PASS_TO_FAIL",IF(H13,"FAIL_TO_PASS","FAIL_TO_FAIL")))</f>
        <v>PASS_TO_PASS</v>
      </c>
    </row>
    <row r="14" customFormat="false" ht="15" hidden="false" customHeight="false" outlineLevel="0" collapsed="false">
      <c r="A14" s="7" t="s">
        <v>48</v>
      </c>
      <c r="B14" s="7" t="s">
        <v>10</v>
      </c>
      <c r="C14" s="7" t="s">
        <v>49</v>
      </c>
      <c r="D14" s="7" t="s">
        <v>50</v>
      </c>
      <c r="E14" s="7" t="s">
        <v>51</v>
      </c>
      <c r="F14" s="7" t="s">
        <v>143</v>
      </c>
      <c r="G14" s="8" t="b">
        <f aca="false">FALSE()</f>
        <v>0</v>
      </c>
      <c r="H14" s="8" t="b">
        <f aca="false">TRUE()</f>
        <v>1</v>
      </c>
      <c r="I14" s="7" t="str">
        <f aca="false">IF(AND(G14,H14),"PASS_TO_PASS",IF(G14,"PASS_TO_FAIL",IF(H14,"FAIL_TO_PASS","FAIL_TO_FAIL")))</f>
        <v>FAIL_TO_PASS</v>
      </c>
    </row>
    <row r="15" customFormat="false" ht="15" hidden="false" customHeight="false" outlineLevel="0" collapsed="false">
      <c r="A15" s="7" t="s">
        <v>48</v>
      </c>
      <c r="B15" s="7" t="s">
        <v>10</v>
      </c>
      <c r="C15" s="7" t="s">
        <v>49</v>
      </c>
      <c r="D15" s="7" t="s">
        <v>50</v>
      </c>
      <c r="E15" s="7" t="s">
        <v>51</v>
      </c>
      <c r="F15" s="7" t="s">
        <v>144</v>
      </c>
      <c r="G15" s="8" t="b">
        <f aca="false">TRUE()</f>
        <v>1</v>
      </c>
      <c r="H15" s="8" t="b">
        <f aca="false">TRUE()</f>
        <v>1</v>
      </c>
      <c r="I15" s="7" t="str">
        <f aca="false">IF(AND(G15,H15),"PASS_TO_PASS",IF(G15,"PASS_TO_FAIL",IF(H15,"FAIL_TO_PASS","FAIL_TO_FAIL")))</f>
        <v>PASS_TO_PASS</v>
      </c>
    </row>
    <row r="16" customFormat="false" ht="15" hidden="false" customHeight="false" outlineLevel="0" collapsed="false">
      <c r="A16" s="7" t="s">
        <v>48</v>
      </c>
      <c r="B16" s="7" t="s">
        <v>10</v>
      </c>
      <c r="C16" s="7" t="s">
        <v>49</v>
      </c>
      <c r="D16" s="7" t="s">
        <v>50</v>
      </c>
      <c r="E16" s="7" t="s">
        <v>51</v>
      </c>
      <c r="F16" s="7" t="s">
        <v>145</v>
      </c>
      <c r="G16" s="8" t="b">
        <f aca="false">TRUE()</f>
        <v>1</v>
      </c>
      <c r="H16" s="8" t="b">
        <f aca="false">TRUE()</f>
        <v>1</v>
      </c>
      <c r="I16" s="7" t="str">
        <f aca="false">IF(AND(G16,H16),"PASS_TO_PASS",IF(G16,"PASS_TO_FAIL",IF(H16,"FAIL_TO_PASS","FAIL_TO_FAIL")))</f>
        <v>PASS_TO_PASS</v>
      </c>
    </row>
    <row r="17" customFormat="false" ht="15" hidden="false" customHeight="false" outlineLevel="0" collapsed="false">
      <c r="A17" s="7" t="s">
        <v>82</v>
      </c>
      <c r="B17" s="7" t="s">
        <v>83</v>
      </c>
      <c r="C17" s="7" t="s">
        <v>49</v>
      </c>
      <c r="D17" s="7" t="s">
        <v>50</v>
      </c>
      <c r="E17" s="7" t="s">
        <v>51</v>
      </c>
      <c r="F17" s="7" t="s">
        <v>134</v>
      </c>
      <c r="G17" s="8" t="b">
        <f aca="false">TRUE()</f>
        <v>1</v>
      </c>
      <c r="H17" s="8" t="b">
        <f aca="false">TRUE()</f>
        <v>1</v>
      </c>
      <c r="I17" s="7" t="str">
        <f aca="false">IF(AND(G17,H17),"PASS_TO_PASS",IF(G17,"PASS_TO_FAIL",IF(H17,"FAIL_TO_PASS","FAIL_TO_FAIL")))</f>
        <v>PASS_TO_PASS</v>
      </c>
    </row>
    <row r="18" customFormat="false" ht="15" hidden="false" customHeight="false" outlineLevel="0" collapsed="false">
      <c r="A18" s="7" t="s">
        <v>82</v>
      </c>
      <c r="B18" s="7" t="s">
        <v>83</v>
      </c>
      <c r="C18" s="7" t="s">
        <v>49</v>
      </c>
      <c r="D18" s="7" t="s">
        <v>50</v>
      </c>
      <c r="E18" s="7" t="s">
        <v>51</v>
      </c>
      <c r="F18" s="7" t="s">
        <v>135</v>
      </c>
      <c r="G18" s="8" t="b">
        <f aca="false">TRUE()</f>
        <v>1</v>
      </c>
      <c r="H18" s="8" t="b">
        <f aca="false">TRUE()</f>
        <v>1</v>
      </c>
      <c r="I18" s="7" t="str">
        <f aca="false">IF(AND(G18,H18),"PASS_TO_PASS",IF(G18,"PASS_TO_FAIL",IF(H18,"FAIL_TO_PASS","FAIL_TO_FAIL")))</f>
        <v>PASS_TO_PASS</v>
      </c>
    </row>
    <row r="19" customFormat="false" ht="15" hidden="false" customHeight="false" outlineLevel="0" collapsed="false">
      <c r="A19" s="7" t="s">
        <v>82</v>
      </c>
      <c r="B19" s="7" t="s">
        <v>83</v>
      </c>
      <c r="C19" s="7" t="s">
        <v>49</v>
      </c>
      <c r="D19" s="7" t="s">
        <v>50</v>
      </c>
      <c r="E19" s="7" t="s">
        <v>51</v>
      </c>
      <c r="F19" s="7" t="s">
        <v>136</v>
      </c>
      <c r="G19" s="8" t="b">
        <f aca="false">TRUE()</f>
        <v>1</v>
      </c>
      <c r="H19" s="8" t="b">
        <f aca="false">TRUE()</f>
        <v>1</v>
      </c>
      <c r="I19" s="7" t="str">
        <f aca="false">IF(AND(G19,H19),"PASS_TO_PASS",IF(G19,"PASS_TO_FAIL",IF(H19,"FAIL_TO_PASS","FAIL_TO_FAIL")))</f>
        <v>PASS_TO_PASS</v>
      </c>
    </row>
    <row r="20" customFormat="false" ht="15" hidden="false" customHeight="false" outlineLevel="0" collapsed="false">
      <c r="A20" s="7" t="s">
        <v>82</v>
      </c>
      <c r="B20" s="7" t="s">
        <v>83</v>
      </c>
      <c r="C20" s="7" t="s">
        <v>49</v>
      </c>
      <c r="D20" s="7" t="s">
        <v>50</v>
      </c>
      <c r="E20" s="7" t="s">
        <v>51</v>
      </c>
      <c r="F20" s="7" t="s">
        <v>137</v>
      </c>
      <c r="G20" s="8" t="b">
        <f aca="false">TRUE()</f>
        <v>1</v>
      </c>
      <c r="H20" s="8" t="b">
        <f aca="false">TRUE()</f>
        <v>1</v>
      </c>
      <c r="I20" s="7" t="str">
        <f aca="false">IF(AND(G20,H20),"PASS_TO_PASS",IF(G20,"PASS_TO_FAIL",IF(H20,"FAIL_TO_PASS","FAIL_TO_FAIL")))</f>
        <v>PASS_TO_PASS</v>
      </c>
    </row>
    <row r="21" customFormat="false" ht="15" hidden="false" customHeight="false" outlineLevel="0" collapsed="false">
      <c r="A21" s="7" t="s">
        <v>82</v>
      </c>
      <c r="B21" s="7" t="s">
        <v>83</v>
      </c>
      <c r="C21" s="7" t="s">
        <v>49</v>
      </c>
      <c r="D21" s="7" t="s">
        <v>50</v>
      </c>
      <c r="E21" s="7" t="s">
        <v>51</v>
      </c>
      <c r="F21" s="7" t="s">
        <v>138</v>
      </c>
      <c r="G21" s="8" t="b">
        <f aca="false">TRUE()</f>
        <v>1</v>
      </c>
      <c r="H21" s="8" t="b">
        <f aca="false">TRUE()</f>
        <v>1</v>
      </c>
      <c r="I21" s="7" t="str">
        <f aca="false">IF(AND(G21,H21),"PASS_TO_PASS",IF(G21,"PASS_TO_FAIL",IF(H21,"FAIL_TO_PASS","FAIL_TO_FAIL")))</f>
        <v>PASS_TO_PASS</v>
      </c>
    </row>
    <row r="22" customFormat="false" ht="15" hidden="false" customHeight="false" outlineLevel="0" collapsed="false">
      <c r="A22" s="7" t="s">
        <v>82</v>
      </c>
      <c r="B22" s="7" t="s">
        <v>83</v>
      </c>
      <c r="C22" s="7" t="s">
        <v>49</v>
      </c>
      <c r="D22" s="7" t="s">
        <v>50</v>
      </c>
      <c r="E22" s="7" t="s">
        <v>51</v>
      </c>
      <c r="F22" s="7" t="s">
        <v>139</v>
      </c>
      <c r="G22" s="8" t="b">
        <f aca="false">TRUE()</f>
        <v>1</v>
      </c>
      <c r="H22" s="8" t="b">
        <f aca="false">TRUE()</f>
        <v>1</v>
      </c>
      <c r="I22" s="7" t="str">
        <f aca="false">IF(AND(G22,H22),"PASS_TO_PASS",IF(G22,"PASS_TO_FAIL",IF(H22,"FAIL_TO_PASS","FAIL_TO_FAIL")))</f>
        <v>PASS_TO_PASS</v>
      </c>
    </row>
    <row r="23" customFormat="false" ht="15" hidden="false" customHeight="false" outlineLevel="0" collapsed="false">
      <c r="A23" s="7" t="s">
        <v>82</v>
      </c>
      <c r="B23" s="7" t="s">
        <v>83</v>
      </c>
      <c r="C23" s="7" t="s">
        <v>49</v>
      </c>
      <c r="D23" s="7" t="s">
        <v>50</v>
      </c>
      <c r="E23" s="7" t="s">
        <v>51</v>
      </c>
      <c r="F23" s="7" t="s">
        <v>140</v>
      </c>
      <c r="G23" s="8" t="b">
        <f aca="false">TRUE()</f>
        <v>1</v>
      </c>
      <c r="H23" s="8" t="b">
        <f aca="false">TRUE()</f>
        <v>1</v>
      </c>
      <c r="I23" s="7" t="str">
        <f aca="false">IF(AND(G23,H23),"PASS_TO_PASS",IF(G23,"PASS_TO_FAIL",IF(H23,"FAIL_TO_PASS","FAIL_TO_FAIL")))</f>
        <v>PASS_TO_PASS</v>
      </c>
    </row>
    <row r="24" customFormat="false" ht="15" hidden="false" customHeight="false" outlineLevel="0" collapsed="false">
      <c r="A24" s="7" t="s">
        <v>82</v>
      </c>
      <c r="B24" s="7" t="s">
        <v>83</v>
      </c>
      <c r="C24" s="7" t="s">
        <v>49</v>
      </c>
      <c r="D24" s="7" t="s">
        <v>50</v>
      </c>
      <c r="E24" s="7" t="s">
        <v>51</v>
      </c>
      <c r="F24" s="7" t="s">
        <v>141</v>
      </c>
      <c r="G24" s="8" t="b">
        <f aca="false">TRUE()</f>
        <v>1</v>
      </c>
      <c r="H24" s="8" t="b">
        <f aca="false">TRUE()</f>
        <v>1</v>
      </c>
      <c r="I24" s="7" t="str">
        <f aca="false">IF(AND(G24,H24),"PASS_TO_PASS",IF(G24,"PASS_TO_FAIL",IF(H24,"FAIL_TO_PASS","FAIL_TO_FAIL")))</f>
        <v>PASS_TO_PASS</v>
      </c>
    </row>
    <row r="25" customFormat="false" ht="15" hidden="false" customHeight="false" outlineLevel="0" collapsed="false">
      <c r="A25" s="7" t="s">
        <v>82</v>
      </c>
      <c r="B25" s="7" t="s">
        <v>83</v>
      </c>
      <c r="C25" s="7" t="s">
        <v>49</v>
      </c>
      <c r="D25" s="7" t="s">
        <v>50</v>
      </c>
      <c r="E25" s="7" t="s">
        <v>51</v>
      </c>
      <c r="F25" s="7" t="s">
        <v>142</v>
      </c>
      <c r="G25" s="8" t="b">
        <f aca="false">TRUE()</f>
        <v>1</v>
      </c>
      <c r="H25" s="8" t="b">
        <f aca="false">TRUE()</f>
        <v>1</v>
      </c>
      <c r="I25" s="7" t="str">
        <f aca="false">IF(AND(G25,H25),"PASS_TO_PASS",IF(G25,"PASS_TO_FAIL",IF(H25,"FAIL_TO_PASS","FAIL_TO_FAIL")))</f>
        <v>PASS_TO_PASS</v>
      </c>
    </row>
    <row r="26" customFormat="false" ht="15" hidden="false" customHeight="false" outlineLevel="0" collapsed="false">
      <c r="A26" s="7" t="s">
        <v>82</v>
      </c>
      <c r="B26" s="7" t="s">
        <v>83</v>
      </c>
      <c r="C26" s="7" t="s">
        <v>49</v>
      </c>
      <c r="D26" s="7" t="s">
        <v>50</v>
      </c>
      <c r="E26" s="7" t="s">
        <v>51</v>
      </c>
      <c r="F26" s="7" t="s">
        <v>143</v>
      </c>
      <c r="G26" s="8" t="b">
        <f aca="false">FALSE()</f>
        <v>0</v>
      </c>
      <c r="H26" s="8" t="b">
        <f aca="false">TRUE()</f>
        <v>1</v>
      </c>
      <c r="I26" s="7" t="str">
        <f aca="false">IF(AND(G26,H26),"PASS_TO_PASS",IF(G26,"PASS_TO_FAIL",IF(H26,"FAIL_TO_PASS","FAIL_TO_FAIL")))</f>
        <v>FAIL_TO_PASS</v>
      </c>
    </row>
    <row r="27" customFormat="false" ht="15" hidden="false" customHeight="false" outlineLevel="0" collapsed="false">
      <c r="A27" s="7" t="s">
        <v>82</v>
      </c>
      <c r="B27" s="7" t="s">
        <v>83</v>
      </c>
      <c r="C27" s="7" t="s">
        <v>49</v>
      </c>
      <c r="D27" s="7" t="s">
        <v>50</v>
      </c>
      <c r="E27" s="7" t="s">
        <v>51</v>
      </c>
      <c r="F27" s="7" t="s">
        <v>144</v>
      </c>
      <c r="G27" s="8" t="b">
        <f aca="false">TRUE()</f>
        <v>1</v>
      </c>
      <c r="H27" s="8" t="b">
        <f aca="false">TRUE()</f>
        <v>1</v>
      </c>
      <c r="I27" s="7" t="str">
        <f aca="false">IF(AND(G27,H27),"PASS_TO_PASS",IF(G27,"PASS_TO_FAIL",IF(H27,"FAIL_TO_PASS","FAIL_TO_FAIL")))</f>
        <v>PASS_TO_PASS</v>
      </c>
    </row>
    <row r="28" customFormat="false" ht="15" hidden="false" customHeight="false" outlineLevel="0" collapsed="false">
      <c r="A28" s="7" t="s">
        <v>82</v>
      </c>
      <c r="B28" s="7" t="s">
        <v>83</v>
      </c>
      <c r="C28" s="7" t="s">
        <v>49</v>
      </c>
      <c r="D28" s="7" t="s">
        <v>50</v>
      </c>
      <c r="E28" s="7" t="s">
        <v>51</v>
      </c>
      <c r="F28" s="7" t="s">
        <v>145</v>
      </c>
      <c r="G28" s="8" t="b">
        <f aca="false">FALSE()</f>
        <v>0</v>
      </c>
      <c r="H28" s="8" t="b">
        <f aca="false">TRUE()</f>
        <v>1</v>
      </c>
      <c r="I28" s="7" t="str">
        <f aca="false">IF(AND(G28,H28),"PASS_TO_PASS",IF(G28,"PASS_TO_FAIL",IF(H28,"FAIL_TO_PASS","FAIL_TO_FAIL")))</f>
        <v>FAIL_TO_PASS</v>
      </c>
    </row>
    <row r="29" customFormat="false" ht="15" hidden="false" customHeight="false" outlineLevel="0" collapsed="false">
      <c r="A29" s="7" t="s">
        <v>48</v>
      </c>
      <c r="B29" s="7" t="s">
        <v>10</v>
      </c>
      <c r="C29" s="7" t="s">
        <v>49</v>
      </c>
      <c r="D29" s="7" t="s">
        <v>84</v>
      </c>
      <c r="E29" s="7" t="s">
        <v>51</v>
      </c>
      <c r="F29" s="7" t="s">
        <v>134</v>
      </c>
      <c r="G29" s="8" t="b">
        <f aca="false">TRUE()</f>
        <v>1</v>
      </c>
      <c r="H29" s="8" t="b">
        <f aca="false">TRUE()</f>
        <v>1</v>
      </c>
      <c r="I29" s="7" t="str">
        <f aca="false">IF(AND(G29,H29),"PASS_TO_PASS",IF(G29,"PASS_TO_FAIL",IF(H29,"FAIL_TO_PASS","FAIL_TO_FAIL")))</f>
        <v>PASS_TO_PASS</v>
      </c>
    </row>
    <row r="30" customFormat="false" ht="15" hidden="false" customHeight="false" outlineLevel="0" collapsed="false">
      <c r="A30" s="7" t="s">
        <v>48</v>
      </c>
      <c r="B30" s="7" t="s">
        <v>10</v>
      </c>
      <c r="C30" s="7" t="s">
        <v>49</v>
      </c>
      <c r="D30" s="7" t="s">
        <v>84</v>
      </c>
      <c r="E30" s="7" t="s">
        <v>51</v>
      </c>
      <c r="F30" s="7" t="s">
        <v>135</v>
      </c>
      <c r="G30" s="8" t="b">
        <f aca="false">TRUE()</f>
        <v>1</v>
      </c>
      <c r="H30" s="8" t="b">
        <f aca="false">TRUE()</f>
        <v>1</v>
      </c>
      <c r="I30" s="7" t="str">
        <f aca="false">IF(AND(G30,H30),"PASS_TO_PASS",IF(G30,"PASS_TO_FAIL",IF(H30,"FAIL_TO_PASS","FAIL_TO_FAIL")))</f>
        <v>PASS_TO_PASS</v>
      </c>
    </row>
    <row r="31" customFormat="false" ht="15" hidden="false" customHeight="false" outlineLevel="0" collapsed="false">
      <c r="A31" s="7" t="s">
        <v>48</v>
      </c>
      <c r="B31" s="7" t="s">
        <v>10</v>
      </c>
      <c r="C31" s="7" t="s">
        <v>49</v>
      </c>
      <c r="D31" s="7" t="s">
        <v>84</v>
      </c>
      <c r="E31" s="7" t="s">
        <v>51</v>
      </c>
      <c r="F31" s="7" t="s">
        <v>136</v>
      </c>
      <c r="G31" s="8" t="b">
        <f aca="false">TRUE()</f>
        <v>1</v>
      </c>
      <c r="H31" s="8" t="b">
        <f aca="false">TRUE()</f>
        <v>1</v>
      </c>
      <c r="I31" s="7" t="str">
        <f aca="false">IF(AND(G31,H31),"PASS_TO_PASS",IF(G31,"PASS_TO_FAIL",IF(H31,"FAIL_TO_PASS","FAIL_TO_FAIL")))</f>
        <v>PASS_TO_PASS</v>
      </c>
    </row>
    <row r="32" customFormat="false" ht="15" hidden="false" customHeight="false" outlineLevel="0" collapsed="false">
      <c r="A32" s="7" t="s">
        <v>48</v>
      </c>
      <c r="B32" s="7" t="s">
        <v>10</v>
      </c>
      <c r="C32" s="7" t="s">
        <v>49</v>
      </c>
      <c r="D32" s="7" t="s">
        <v>84</v>
      </c>
      <c r="E32" s="7" t="s">
        <v>51</v>
      </c>
      <c r="F32" s="7" t="s">
        <v>137</v>
      </c>
      <c r="G32" s="8" t="b">
        <f aca="false">TRUE()</f>
        <v>1</v>
      </c>
      <c r="H32" s="8" t="b">
        <f aca="false">TRUE()</f>
        <v>1</v>
      </c>
      <c r="I32" s="7" t="str">
        <f aca="false">IF(AND(G32,H32),"PASS_TO_PASS",IF(G32,"PASS_TO_FAIL",IF(H32,"FAIL_TO_PASS","FAIL_TO_FAIL")))</f>
        <v>PASS_TO_PASS</v>
      </c>
    </row>
    <row r="33" customFormat="false" ht="15" hidden="false" customHeight="false" outlineLevel="0" collapsed="false">
      <c r="A33" s="7" t="s">
        <v>48</v>
      </c>
      <c r="B33" s="7" t="s">
        <v>10</v>
      </c>
      <c r="C33" s="7" t="s">
        <v>49</v>
      </c>
      <c r="D33" s="7" t="s">
        <v>84</v>
      </c>
      <c r="E33" s="7" t="s">
        <v>51</v>
      </c>
      <c r="F33" s="7" t="s">
        <v>138</v>
      </c>
      <c r="G33" s="8" t="b">
        <f aca="false">TRUE()</f>
        <v>1</v>
      </c>
      <c r="H33" s="8" t="b">
        <f aca="false">TRUE()</f>
        <v>1</v>
      </c>
      <c r="I33" s="7" t="str">
        <f aca="false">IF(AND(G33,H33),"PASS_TO_PASS",IF(G33,"PASS_TO_FAIL",IF(H33,"FAIL_TO_PASS","FAIL_TO_FAIL")))</f>
        <v>PASS_TO_PASS</v>
      </c>
    </row>
    <row r="34" customFormat="false" ht="15" hidden="false" customHeight="false" outlineLevel="0" collapsed="false">
      <c r="A34" s="7" t="s">
        <v>48</v>
      </c>
      <c r="B34" s="7" t="s">
        <v>10</v>
      </c>
      <c r="C34" s="7" t="s">
        <v>49</v>
      </c>
      <c r="D34" s="7" t="s">
        <v>84</v>
      </c>
      <c r="E34" s="7" t="s">
        <v>51</v>
      </c>
      <c r="F34" s="7" t="s">
        <v>139</v>
      </c>
      <c r="G34" s="8" t="b">
        <f aca="false">TRUE()</f>
        <v>1</v>
      </c>
      <c r="H34" s="8" t="b">
        <f aca="false">TRUE()</f>
        <v>1</v>
      </c>
      <c r="I34" s="7" t="str">
        <f aca="false">IF(AND(G34,H34),"PASS_TO_PASS",IF(G34,"PASS_TO_FAIL",IF(H34,"FAIL_TO_PASS","FAIL_TO_FAIL")))</f>
        <v>PASS_TO_PASS</v>
      </c>
    </row>
    <row r="35" customFormat="false" ht="15" hidden="false" customHeight="false" outlineLevel="0" collapsed="false">
      <c r="A35" s="7" t="s">
        <v>48</v>
      </c>
      <c r="B35" s="7" t="s">
        <v>10</v>
      </c>
      <c r="C35" s="7" t="s">
        <v>49</v>
      </c>
      <c r="D35" s="7" t="s">
        <v>84</v>
      </c>
      <c r="E35" s="7" t="s">
        <v>51</v>
      </c>
      <c r="F35" s="7" t="s">
        <v>140</v>
      </c>
      <c r="G35" s="8" t="b">
        <f aca="false">TRUE()</f>
        <v>1</v>
      </c>
      <c r="H35" s="8" t="b">
        <f aca="false">TRUE()</f>
        <v>1</v>
      </c>
      <c r="I35" s="7" t="str">
        <f aca="false">IF(AND(G35,H35),"PASS_TO_PASS",IF(G35,"PASS_TO_FAIL",IF(H35,"FAIL_TO_PASS","FAIL_TO_FAIL")))</f>
        <v>PASS_TO_PASS</v>
      </c>
    </row>
    <row r="36" customFormat="false" ht="15" hidden="false" customHeight="false" outlineLevel="0" collapsed="false">
      <c r="A36" s="7" t="s">
        <v>48</v>
      </c>
      <c r="B36" s="7" t="s">
        <v>10</v>
      </c>
      <c r="C36" s="7" t="s">
        <v>49</v>
      </c>
      <c r="D36" s="7" t="s">
        <v>84</v>
      </c>
      <c r="E36" s="7" t="s">
        <v>51</v>
      </c>
      <c r="F36" s="7" t="s">
        <v>141</v>
      </c>
      <c r="G36" s="8" t="b">
        <f aca="false">TRUE()</f>
        <v>1</v>
      </c>
      <c r="H36" s="8" t="b">
        <f aca="false">TRUE()</f>
        <v>1</v>
      </c>
      <c r="I36" s="7" t="str">
        <f aca="false">IF(AND(G36,H36),"PASS_TO_PASS",IF(G36,"PASS_TO_FAIL",IF(H36,"FAIL_TO_PASS","FAIL_TO_FAIL")))</f>
        <v>PASS_TO_PASS</v>
      </c>
    </row>
    <row r="37" customFormat="false" ht="15" hidden="false" customHeight="false" outlineLevel="0" collapsed="false">
      <c r="A37" s="7" t="s">
        <v>48</v>
      </c>
      <c r="B37" s="7" t="s">
        <v>10</v>
      </c>
      <c r="C37" s="7" t="s">
        <v>49</v>
      </c>
      <c r="D37" s="7" t="s">
        <v>84</v>
      </c>
      <c r="E37" s="7" t="s">
        <v>51</v>
      </c>
      <c r="F37" s="7" t="s">
        <v>142</v>
      </c>
      <c r="G37" s="8" t="b">
        <f aca="false">TRUE()</f>
        <v>1</v>
      </c>
      <c r="H37" s="8" t="b">
        <f aca="false">TRUE()</f>
        <v>1</v>
      </c>
      <c r="I37" s="7" t="str">
        <f aca="false">IF(AND(G37,H37),"PASS_TO_PASS",IF(G37,"PASS_TO_FAIL",IF(H37,"FAIL_TO_PASS","FAIL_TO_FAIL")))</f>
        <v>PASS_TO_PASS</v>
      </c>
    </row>
    <row r="38" customFormat="false" ht="15" hidden="false" customHeight="false" outlineLevel="0" collapsed="false">
      <c r="A38" s="7" t="s">
        <v>48</v>
      </c>
      <c r="B38" s="7" t="s">
        <v>10</v>
      </c>
      <c r="C38" s="7" t="s">
        <v>49</v>
      </c>
      <c r="D38" s="7" t="s">
        <v>84</v>
      </c>
      <c r="E38" s="7" t="s">
        <v>51</v>
      </c>
      <c r="F38" s="7" t="s">
        <v>143</v>
      </c>
      <c r="G38" s="8" t="b">
        <f aca="false">TRUE()</f>
        <v>1</v>
      </c>
      <c r="H38" s="8" t="b">
        <f aca="false">TRUE()</f>
        <v>1</v>
      </c>
      <c r="I38" s="7" t="str">
        <f aca="false">IF(AND(G38,H38),"PASS_TO_PASS",IF(G38,"PASS_TO_FAIL",IF(H38,"FAIL_TO_PASS","FAIL_TO_FAIL")))</f>
        <v>PASS_TO_PASS</v>
      </c>
    </row>
    <row r="39" customFormat="false" ht="15" hidden="false" customHeight="false" outlineLevel="0" collapsed="false">
      <c r="A39" s="7" t="s">
        <v>48</v>
      </c>
      <c r="B39" s="7" t="s">
        <v>10</v>
      </c>
      <c r="C39" s="7" t="s">
        <v>49</v>
      </c>
      <c r="D39" s="7" t="s">
        <v>84</v>
      </c>
      <c r="E39" s="7" t="s">
        <v>51</v>
      </c>
      <c r="F39" s="7" t="s">
        <v>144</v>
      </c>
      <c r="G39" s="8" t="b">
        <f aca="false">TRUE()</f>
        <v>1</v>
      </c>
      <c r="H39" s="8" t="b">
        <f aca="false">TRUE()</f>
        <v>1</v>
      </c>
      <c r="I39" s="7" t="str">
        <f aca="false">IF(AND(G39,H39),"PASS_TO_PASS",IF(G39,"PASS_TO_FAIL",IF(H39,"FAIL_TO_PASS","FAIL_TO_FAIL")))</f>
        <v>PASS_TO_PASS</v>
      </c>
    </row>
    <row r="40" customFormat="false" ht="15" hidden="false" customHeight="false" outlineLevel="0" collapsed="false">
      <c r="A40" s="7" t="s">
        <v>48</v>
      </c>
      <c r="B40" s="7" t="s">
        <v>10</v>
      </c>
      <c r="C40" s="7" t="s">
        <v>49</v>
      </c>
      <c r="D40" s="7" t="s">
        <v>84</v>
      </c>
      <c r="E40" s="7" t="s">
        <v>51</v>
      </c>
      <c r="F40" s="7" t="s">
        <v>145</v>
      </c>
      <c r="G40" s="8" t="b">
        <f aca="false">TRUE()</f>
        <v>1</v>
      </c>
      <c r="H40" s="8" t="b">
        <f aca="false">TRUE()</f>
        <v>1</v>
      </c>
      <c r="I40" s="7" t="str">
        <f aca="false">IF(AND(G40,H40),"PASS_TO_PASS",IF(G40,"PASS_TO_FAIL",IF(H40,"FAIL_TO_PASS","FAIL_TO_FAIL")))</f>
        <v>PASS_TO_PASS</v>
      </c>
    </row>
    <row r="41" customFormat="false" ht="15" hidden="false" customHeight="false" outlineLevel="0" collapsed="false">
      <c r="A41" s="7" t="s">
        <v>82</v>
      </c>
      <c r="B41" s="7" t="s">
        <v>83</v>
      </c>
      <c r="C41" s="7" t="s">
        <v>49</v>
      </c>
      <c r="D41" s="7" t="s">
        <v>84</v>
      </c>
      <c r="E41" s="7" t="s">
        <v>51</v>
      </c>
      <c r="F41" s="7" t="s">
        <v>134</v>
      </c>
      <c r="G41" s="8" t="b">
        <f aca="false">TRUE()</f>
        <v>1</v>
      </c>
      <c r="H41" s="8" t="b">
        <f aca="false">TRUE()</f>
        <v>1</v>
      </c>
      <c r="I41" s="7" t="str">
        <f aca="false">IF(AND(G41,H41),"PASS_TO_PASS",IF(G41,"PASS_TO_FAIL",IF(H41,"FAIL_TO_PASS","FAIL_TO_FAIL")))</f>
        <v>PASS_TO_PASS</v>
      </c>
    </row>
    <row r="42" customFormat="false" ht="15" hidden="false" customHeight="false" outlineLevel="0" collapsed="false">
      <c r="A42" s="7" t="s">
        <v>82</v>
      </c>
      <c r="B42" s="7" t="s">
        <v>83</v>
      </c>
      <c r="C42" s="7" t="s">
        <v>49</v>
      </c>
      <c r="D42" s="7" t="s">
        <v>84</v>
      </c>
      <c r="E42" s="7" t="s">
        <v>51</v>
      </c>
      <c r="F42" s="7" t="s">
        <v>135</v>
      </c>
      <c r="G42" s="8" t="b">
        <f aca="false">TRUE()</f>
        <v>1</v>
      </c>
      <c r="H42" s="8" t="b">
        <f aca="false">TRUE()</f>
        <v>1</v>
      </c>
      <c r="I42" s="7" t="str">
        <f aca="false">IF(AND(G42,H42),"PASS_TO_PASS",IF(G42,"PASS_TO_FAIL",IF(H42,"FAIL_TO_PASS","FAIL_TO_FAIL")))</f>
        <v>PASS_TO_PASS</v>
      </c>
    </row>
    <row r="43" customFormat="false" ht="15" hidden="false" customHeight="false" outlineLevel="0" collapsed="false">
      <c r="A43" s="7" t="s">
        <v>82</v>
      </c>
      <c r="B43" s="7" t="s">
        <v>83</v>
      </c>
      <c r="C43" s="7" t="s">
        <v>49</v>
      </c>
      <c r="D43" s="7" t="s">
        <v>84</v>
      </c>
      <c r="E43" s="7" t="s">
        <v>51</v>
      </c>
      <c r="F43" s="7" t="s">
        <v>136</v>
      </c>
      <c r="G43" s="8" t="b">
        <f aca="false">TRUE()</f>
        <v>1</v>
      </c>
      <c r="H43" s="8" t="b">
        <f aca="false">TRUE()</f>
        <v>1</v>
      </c>
      <c r="I43" s="7" t="str">
        <f aca="false">IF(AND(G43,H43),"PASS_TO_PASS",IF(G43,"PASS_TO_FAIL",IF(H43,"FAIL_TO_PASS","FAIL_TO_FAIL")))</f>
        <v>PASS_TO_PASS</v>
      </c>
    </row>
    <row r="44" customFormat="false" ht="15" hidden="false" customHeight="false" outlineLevel="0" collapsed="false">
      <c r="A44" s="7" t="s">
        <v>82</v>
      </c>
      <c r="B44" s="7" t="s">
        <v>83</v>
      </c>
      <c r="C44" s="7" t="s">
        <v>49</v>
      </c>
      <c r="D44" s="7" t="s">
        <v>84</v>
      </c>
      <c r="E44" s="7" t="s">
        <v>51</v>
      </c>
      <c r="F44" s="7" t="s">
        <v>137</v>
      </c>
      <c r="G44" s="8" t="b">
        <f aca="false">FALSE()</f>
        <v>0</v>
      </c>
      <c r="H44" s="8" t="b">
        <f aca="false">TRUE()</f>
        <v>1</v>
      </c>
      <c r="I44" s="7" t="str">
        <f aca="false">IF(AND(G44,H44),"PASS_TO_PASS",IF(G44,"PASS_TO_FAIL",IF(H44,"FAIL_TO_PASS","FAIL_TO_FAIL")))</f>
        <v>FAIL_TO_PASS</v>
      </c>
    </row>
    <row r="45" customFormat="false" ht="15" hidden="false" customHeight="false" outlineLevel="0" collapsed="false">
      <c r="A45" s="7" t="s">
        <v>82</v>
      </c>
      <c r="B45" s="7" t="s">
        <v>83</v>
      </c>
      <c r="C45" s="7" t="s">
        <v>49</v>
      </c>
      <c r="D45" s="7" t="s">
        <v>84</v>
      </c>
      <c r="E45" s="7" t="s">
        <v>51</v>
      </c>
      <c r="F45" s="7" t="s">
        <v>138</v>
      </c>
      <c r="G45" s="8" t="b">
        <f aca="false">TRUE()</f>
        <v>1</v>
      </c>
      <c r="H45" s="8" t="b">
        <f aca="false">TRUE()</f>
        <v>1</v>
      </c>
      <c r="I45" s="7" t="str">
        <f aca="false">IF(AND(G45,H45),"PASS_TO_PASS",IF(G45,"PASS_TO_FAIL",IF(H45,"FAIL_TO_PASS","FAIL_TO_FAIL")))</f>
        <v>PASS_TO_PASS</v>
      </c>
    </row>
    <row r="46" customFormat="false" ht="15" hidden="false" customHeight="false" outlineLevel="0" collapsed="false">
      <c r="A46" s="7" t="s">
        <v>82</v>
      </c>
      <c r="B46" s="7" t="s">
        <v>83</v>
      </c>
      <c r="C46" s="7" t="s">
        <v>49</v>
      </c>
      <c r="D46" s="7" t="s">
        <v>84</v>
      </c>
      <c r="E46" s="7" t="s">
        <v>51</v>
      </c>
      <c r="F46" s="7" t="s">
        <v>139</v>
      </c>
      <c r="G46" s="8" t="b">
        <f aca="false">TRUE()</f>
        <v>1</v>
      </c>
      <c r="H46" s="8" t="b">
        <f aca="false">TRUE()</f>
        <v>1</v>
      </c>
      <c r="I46" s="7" t="str">
        <f aca="false">IF(AND(G46,H46),"PASS_TO_PASS",IF(G46,"PASS_TO_FAIL",IF(H46,"FAIL_TO_PASS","FAIL_TO_FAIL")))</f>
        <v>PASS_TO_PASS</v>
      </c>
    </row>
    <row r="47" customFormat="false" ht="15" hidden="false" customHeight="false" outlineLevel="0" collapsed="false">
      <c r="A47" s="7" t="s">
        <v>82</v>
      </c>
      <c r="B47" s="7" t="s">
        <v>83</v>
      </c>
      <c r="C47" s="7" t="s">
        <v>49</v>
      </c>
      <c r="D47" s="7" t="s">
        <v>84</v>
      </c>
      <c r="E47" s="7" t="s">
        <v>51</v>
      </c>
      <c r="F47" s="7" t="s">
        <v>140</v>
      </c>
      <c r="G47" s="8" t="b">
        <f aca="false">TRUE()</f>
        <v>1</v>
      </c>
      <c r="H47" s="8" t="b">
        <f aca="false">TRUE()</f>
        <v>1</v>
      </c>
      <c r="I47" s="7" t="str">
        <f aca="false">IF(AND(G47,H47),"PASS_TO_PASS",IF(G47,"PASS_TO_FAIL",IF(H47,"FAIL_TO_PASS","FAIL_TO_FAIL")))</f>
        <v>PASS_TO_PASS</v>
      </c>
    </row>
    <row r="48" customFormat="false" ht="15" hidden="false" customHeight="false" outlineLevel="0" collapsed="false">
      <c r="A48" s="7" t="s">
        <v>82</v>
      </c>
      <c r="B48" s="7" t="s">
        <v>83</v>
      </c>
      <c r="C48" s="7" t="s">
        <v>49</v>
      </c>
      <c r="D48" s="7" t="s">
        <v>84</v>
      </c>
      <c r="E48" s="7" t="s">
        <v>51</v>
      </c>
      <c r="F48" s="7" t="s">
        <v>141</v>
      </c>
      <c r="G48" s="8" t="b">
        <f aca="false">TRUE()</f>
        <v>1</v>
      </c>
      <c r="H48" s="8" t="b">
        <f aca="false">TRUE()</f>
        <v>1</v>
      </c>
      <c r="I48" s="7" t="str">
        <f aca="false">IF(AND(G48,H48),"PASS_TO_PASS",IF(G48,"PASS_TO_FAIL",IF(H48,"FAIL_TO_PASS","FAIL_TO_FAIL")))</f>
        <v>PASS_TO_PASS</v>
      </c>
    </row>
    <row r="49" customFormat="false" ht="15" hidden="false" customHeight="false" outlineLevel="0" collapsed="false">
      <c r="A49" s="7" t="s">
        <v>82</v>
      </c>
      <c r="B49" s="7" t="s">
        <v>83</v>
      </c>
      <c r="C49" s="7" t="s">
        <v>49</v>
      </c>
      <c r="D49" s="7" t="s">
        <v>84</v>
      </c>
      <c r="E49" s="7" t="s">
        <v>51</v>
      </c>
      <c r="F49" s="7" t="s">
        <v>142</v>
      </c>
      <c r="G49" s="8" t="b">
        <f aca="false">TRUE()</f>
        <v>1</v>
      </c>
      <c r="H49" s="8" t="b">
        <f aca="false">TRUE()</f>
        <v>1</v>
      </c>
      <c r="I49" s="7" t="str">
        <f aca="false">IF(AND(G49,H49),"PASS_TO_PASS",IF(G49,"PASS_TO_FAIL",IF(H49,"FAIL_TO_PASS","FAIL_TO_FAIL")))</f>
        <v>PASS_TO_PASS</v>
      </c>
    </row>
    <row r="50" customFormat="false" ht="15" hidden="false" customHeight="false" outlineLevel="0" collapsed="false">
      <c r="A50" s="7" t="s">
        <v>82</v>
      </c>
      <c r="B50" s="7" t="s">
        <v>83</v>
      </c>
      <c r="C50" s="7" t="s">
        <v>49</v>
      </c>
      <c r="D50" s="7" t="s">
        <v>84</v>
      </c>
      <c r="E50" s="7" t="s">
        <v>51</v>
      </c>
      <c r="F50" s="7" t="s">
        <v>143</v>
      </c>
      <c r="G50" s="8" t="b">
        <f aca="false">TRUE()</f>
        <v>1</v>
      </c>
      <c r="H50" s="8" t="b">
        <f aca="false">TRUE()</f>
        <v>1</v>
      </c>
      <c r="I50" s="7" t="str">
        <f aca="false">IF(AND(G50,H50),"PASS_TO_PASS",IF(G50,"PASS_TO_FAIL",IF(H50,"FAIL_TO_PASS","FAIL_TO_FAIL")))</f>
        <v>PASS_TO_PASS</v>
      </c>
    </row>
    <row r="51" customFormat="false" ht="15" hidden="false" customHeight="false" outlineLevel="0" collapsed="false">
      <c r="A51" s="7" t="s">
        <v>82</v>
      </c>
      <c r="B51" s="7" t="s">
        <v>83</v>
      </c>
      <c r="C51" s="7" t="s">
        <v>49</v>
      </c>
      <c r="D51" s="7" t="s">
        <v>84</v>
      </c>
      <c r="E51" s="7" t="s">
        <v>51</v>
      </c>
      <c r="F51" s="7" t="s">
        <v>144</v>
      </c>
      <c r="G51" s="8" t="b">
        <f aca="false">TRUE()</f>
        <v>1</v>
      </c>
      <c r="H51" s="8" t="b">
        <f aca="false">TRUE()</f>
        <v>1</v>
      </c>
      <c r="I51" s="7" t="str">
        <f aca="false">IF(AND(G51,H51),"PASS_TO_PASS",IF(G51,"PASS_TO_FAIL",IF(H51,"FAIL_TO_PASS","FAIL_TO_FAIL")))</f>
        <v>PASS_TO_PASS</v>
      </c>
    </row>
    <row r="52" customFormat="false" ht="15" hidden="false" customHeight="false" outlineLevel="0" collapsed="false">
      <c r="A52" s="7" t="s">
        <v>82</v>
      </c>
      <c r="B52" s="7" t="s">
        <v>83</v>
      </c>
      <c r="C52" s="7" t="s">
        <v>49</v>
      </c>
      <c r="D52" s="7" t="s">
        <v>84</v>
      </c>
      <c r="E52" s="7" t="s">
        <v>51</v>
      </c>
      <c r="F52" s="7" t="s">
        <v>145</v>
      </c>
      <c r="G52" s="8" t="b">
        <f aca="false">TRUE()</f>
        <v>1</v>
      </c>
      <c r="H52" s="8" t="b">
        <f aca="false">TRUE()</f>
        <v>1</v>
      </c>
      <c r="I52" s="7" t="str">
        <f aca="false">IF(AND(G52,H52),"PASS_TO_PASS",IF(G52,"PASS_TO_FAIL",IF(H52,"FAIL_TO_PASS","FAIL_TO_FAIL")))</f>
        <v>PASS_TO_PASS</v>
      </c>
    </row>
    <row r="53" customFormat="false" ht="15" hidden="false" customHeight="false" outlineLevel="0" collapsed="false">
      <c r="A53" s="7" t="s">
        <v>48</v>
      </c>
      <c r="B53" s="7" t="s">
        <v>10</v>
      </c>
      <c r="C53" s="7" t="s">
        <v>49</v>
      </c>
      <c r="D53" s="7" t="s">
        <v>85</v>
      </c>
      <c r="E53" s="7" t="s">
        <v>51</v>
      </c>
      <c r="F53" s="7" t="s">
        <v>134</v>
      </c>
      <c r="G53" s="8" t="b">
        <f aca="false">TRUE()</f>
        <v>1</v>
      </c>
      <c r="H53" s="8" t="b">
        <f aca="false">TRUE()</f>
        <v>1</v>
      </c>
      <c r="I53" s="7" t="str">
        <f aca="false">IF(AND(G53,H53),"PASS_TO_PASS",IF(G53,"PASS_TO_FAIL",IF(H53,"FAIL_TO_PASS","FAIL_TO_FAIL")))</f>
        <v>PASS_TO_PASS</v>
      </c>
    </row>
    <row r="54" customFormat="false" ht="15" hidden="false" customHeight="false" outlineLevel="0" collapsed="false">
      <c r="A54" s="7" t="s">
        <v>48</v>
      </c>
      <c r="B54" s="7" t="s">
        <v>10</v>
      </c>
      <c r="C54" s="7" t="s">
        <v>49</v>
      </c>
      <c r="D54" s="7" t="s">
        <v>85</v>
      </c>
      <c r="E54" s="7" t="s">
        <v>51</v>
      </c>
      <c r="F54" s="7" t="s">
        <v>135</v>
      </c>
      <c r="G54" s="8" t="b">
        <f aca="false">TRUE()</f>
        <v>1</v>
      </c>
      <c r="H54" s="8" t="b">
        <f aca="false">TRUE()</f>
        <v>1</v>
      </c>
      <c r="I54" s="7" t="str">
        <f aca="false">IF(AND(G54,H54),"PASS_TO_PASS",IF(G54,"PASS_TO_FAIL",IF(H54,"FAIL_TO_PASS","FAIL_TO_FAIL")))</f>
        <v>PASS_TO_PASS</v>
      </c>
    </row>
    <row r="55" customFormat="false" ht="15" hidden="false" customHeight="false" outlineLevel="0" collapsed="false">
      <c r="A55" s="7" t="s">
        <v>48</v>
      </c>
      <c r="B55" s="7" t="s">
        <v>10</v>
      </c>
      <c r="C55" s="7" t="s">
        <v>49</v>
      </c>
      <c r="D55" s="7" t="s">
        <v>85</v>
      </c>
      <c r="E55" s="7" t="s">
        <v>51</v>
      </c>
      <c r="F55" s="7" t="s">
        <v>136</v>
      </c>
      <c r="G55" s="8" t="b">
        <f aca="false">TRUE()</f>
        <v>1</v>
      </c>
      <c r="H55" s="8" t="b">
        <f aca="false">TRUE()</f>
        <v>1</v>
      </c>
      <c r="I55" s="7" t="str">
        <f aca="false">IF(AND(G55,H55),"PASS_TO_PASS",IF(G55,"PASS_TO_FAIL",IF(H55,"FAIL_TO_PASS","FAIL_TO_FAIL")))</f>
        <v>PASS_TO_PASS</v>
      </c>
    </row>
    <row r="56" customFormat="false" ht="15" hidden="false" customHeight="false" outlineLevel="0" collapsed="false">
      <c r="A56" s="7" t="s">
        <v>48</v>
      </c>
      <c r="B56" s="7" t="s">
        <v>10</v>
      </c>
      <c r="C56" s="7" t="s">
        <v>49</v>
      </c>
      <c r="D56" s="7" t="s">
        <v>85</v>
      </c>
      <c r="E56" s="7" t="s">
        <v>51</v>
      </c>
      <c r="F56" s="7" t="s">
        <v>137</v>
      </c>
      <c r="G56" s="8" t="b">
        <f aca="false">TRUE()</f>
        <v>1</v>
      </c>
      <c r="H56" s="8" t="b">
        <f aca="false">TRUE()</f>
        <v>1</v>
      </c>
      <c r="I56" s="7" t="str">
        <f aca="false">IF(AND(G56,H56),"PASS_TO_PASS",IF(G56,"PASS_TO_FAIL",IF(H56,"FAIL_TO_PASS","FAIL_TO_FAIL")))</f>
        <v>PASS_TO_PASS</v>
      </c>
    </row>
    <row r="57" customFormat="false" ht="15" hidden="false" customHeight="false" outlineLevel="0" collapsed="false">
      <c r="A57" s="7" t="s">
        <v>48</v>
      </c>
      <c r="B57" s="7" t="s">
        <v>10</v>
      </c>
      <c r="C57" s="7" t="s">
        <v>49</v>
      </c>
      <c r="D57" s="7" t="s">
        <v>85</v>
      </c>
      <c r="E57" s="7" t="s">
        <v>51</v>
      </c>
      <c r="F57" s="7" t="s">
        <v>138</v>
      </c>
      <c r="G57" s="8" t="b">
        <f aca="false">FALSE()</f>
        <v>0</v>
      </c>
      <c r="H57" s="8" t="b">
        <f aca="false">FALSE()</f>
        <v>0</v>
      </c>
      <c r="I57" s="7" t="str">
        <f aca="false">IF(AND(G57,H57),"PASS_TO_PASS",IF(G57,"PASS_TO_FAIL",IF(H57,"FAIL_TO_PASS","FAIL_TO_FAIL")))</f>
        <v>FAIL_TO_FAIL</v>
      </c>
    </row>
    <row r="58" customFormat="false" ht="15" hidden="false" customHeight="false" outlineLevel="0" collapsed="false">
      <c r="A58" s="7" t="s">
        <v>48</v>
      </c>
      <c r="B58" s="7" t="s">
        <v>10</v>
      </c>
      <c r="C58" s="7" t="s">
        <v>49</v>
      </c>
      <c r="D58" s="7" t="s">
        <v>85</v>
      </c>
      <c r="E58" s="7" t="s">
        <v>51</v>
      </c>
      <c r="F58" s="7" t="s">
        <v>139</v>
      </c>
      <c r="G58" s="8" t="b">
        <f aca="false">TRUE()</f>
        <v>1</v>
      </c>
      <c r="H58" s="8" t="b">
        <f aca="false">TRUE()</f>
        <v>1</v>
      </c>
      <c r="I58" s="7" t="str">
        <f aca="false">IF(AND(G58,H58),"PASS_TO_PASS",IF(G58,"PASS_TO_FAIL",IF(H58,"FAIL_TO_PASS","FAIL_TO_FAIL")))</f>
        <v>PASS_TO_PASS</v>
      </c>
    </row>
    <row r="59" customFormat="false" ht="15" hidden="false" customHeight="false" outlineLevel="0" collapsed="false">
      <c r="A59" s="7" t="s">
        <v>48</v>
      </c>
      <c r="B59" s="7" t="s">
        <v>10</v>
      </c>
      <c r="C59" s="7" t="s">
        <v>49</v>
      </c>
      <c r="D59" s="7" t="s">
        <v>85</v>
      </c>
      <c r="E59" s="7" t="s">
        <v>51</v>
      </c>
      <c r="F59" s="7" t="s">
        <v>140</v>
      </c>
      <c r="G59" s="8" t="b">
        <f aca="false">TRUE()</f>
        <v>1</v>
      </c>
      <c r="H59" s="8" t="b">
        <f aca="false">FALSE()</f>
        <v>0</v>
      </c>
      <c r="I59" s="7" t="str">
        <f aca="false">IF(AND(G59,H59),"PASS_TO_PASS",IF(G59,"PASS_TO_FAIL",IF(H59,"FAIL_TO_PASS","FAIL_TO_FAIL")))</f>
        <v>PASS_TO_FAIL</v>
      </c>
    </row>
    <row r="60" customFormat="false" ht="15" hidden="false" customHeight="false" outlineLevel="0" collapsed="false">
      <c r="A60" s="7" t="s">
        <v>48</v>
      </c>
      <c r="B60" s="7" t="s">
        <v>10</v>
      </c>
      <c r="C60" s="7" t="s">
        <v>49</v>
      </c>
      <c r="D60" s="7" t="s">
        <v>85</v>
      </c>
      <c r="E60" s="7" t="s">
        <v>51</v>
      </c>
      <c r="F60" s="7" t="s">
        <v>141</v>
      </c>
      <c r="G60" s="8" t="b">
        <f aca="false">TRUE()</f>
        <v>1</v>
      </c>
      <c r="H60" s="8" t="b">
        <f aca="false">TRUE()</f>
        <v>1</v>
      </c>
      <c r="I60" s="7" t="str">
        <f aca="false">IF(AND(G60,H60),"PASS_TO_PASS",IF(G60,"PASS_TO_FAIL",IF(H60,"FAIL_TO_PASS","FAIL_TO_FAIL")))</f>
        <v>PASS_TO_PASS</v>
      </c>
    </row>
    <row r="61" customFormat="false" ht="15" hidden="false" customHeight="false" outlineLevel="0" collapsed="false">
      <c r="A61" s="7" t="s">
        <v>48</v>
      </c>
      <c r="B61" s="7" t="s">
        <v>10</v>
      </c>
      <c r="C61" s="7" t="s">
        <v>49</v>
      </c>
      <c r="D61" s="7" t="s">
        <v>85</v>
      </c>
      <c r="E61" s="7" t="s">
        <v>51</v>
      </c>
      <c r="F61" s="7" t="s">
        <v>142</v>
      </c>
      <c r="G61" s="8" t="b">
        <f aca="false">TRUE()</f>
        <v>1</v>
      </c>
      <c r="H61" s="8" t="b">
        <f aca="false">TRUE()</f>
        <v>1</v>
      </c>
      <c r="I61" s="7" t="str">
        <f aca="false">IF(AND(G61,H61),"PASS_TO_PASS",IF(G61,"PASS_TO_FAIL",IF(H61,"FAIL_TO_PASS","FAIL_TO_FAIL")))</f>
        <v>PASS_TO_PASS</v>
      </c>
    </row>
    <row r="62" customFormat="false" ht="15" hidden="false" customHeight="false" outlineLevel="0" collapsed="false">
      <c r="A62" s="7" t="s">
        <v>48</v>
      </c>
      <c r="B62" s="7" t="s">
        <v>10</v>
      </c>
      <c r="C62" s="7" t="s">
        <v>49</v>
      </c>
      <c r="D62" s="7" t="s">
        <v>85</v>
      </c>
      <c r="E62" s="7" t="s">
        <v>51</v>
      </c>
      <c r="F62" s="7" t="s">
        <v>143</v>
      </c>
      <c r="G62" s="8" t="b">
        <f aca="false">TRUE()</f>
        <v>1</v>
      </c>
      <c r="H62" s="8" t="b">
        <f aca="false">TRUE()</f>
        <v>1</v>
      </c>
      <c r="I62" s="7" t="str">
        <f aca="false">IF(AND(G62,H62),"PASS_TO_PASS",IF(G62,"PASS_TO_FAIL",IF(H62,"FAIL_TO_PASS","FAIL_TO_FAIL")))</f>
        <v>PASS_TO_PASS</v>
      </c>
    </row>
    <row r="63" customFormat="false" ht="15" hidden="false" customHeight="false" outlineLevel="0" collapsed="false">
      <c r="A63" s="7" t="s">
        <v>48</v>
      </c>
      <c r="B63" s="7" t="s">
        <v>10</v>
      </c>
      <c r="C63" s="7" t="s">
        <v>49</v>
      </c>
      <c r="D63" s="7" t="s">
        <v>85</v>
      </c>
      <c r="E63" s="7" t="s">
        <v>51</v>
      </c>
      <c r="F63" s="7" t="s">
        <v>144</v>
      </c>
      <c r="G63" s="8" t="b">
        <f aca="false">TRUE()</f>
        <v>1</v>
      </c>
      <c r="H63" s="8" t="b">
        <f aca="false">TRUE()</f>
        <v>1</v>
      </c>
      <c r="I63" s="7" t="str">
        <f aca="false">IF(AND(G63,H63),"PASS_TO_PASS",IF(G63,"PASS_TO_FAIL",IF(H63,"FAIL_TO_PASS","FAIL_TO_FAIL")))</f>
        <v>PASS_TO_PASS</v>
      </c>
    </row>
    <row r="64" customFormat="false" ht="15" hidden="false" customHeight="false" outlineLevel="0" collapsed="false">
      <c r="A64" s="7" t="s">
        <v>48</v>
      </c>
      <c r="B64" s="7" t="s">
        <v>10</v>
      </c>
      <c r="C64" s="7" t="s">
        <v>49</v>
      </c>
      <c r="D64" s="7" t="s">
        <v>85</v>
      </c>
      <c r="E64" s="7" t="s">
        <v>51</v>
      </c>
      <c r="F64" s="7" t="s">
        <v>145</v>
      </c>
      <c r="G64" s="8" t="b">
        <f aca="false">TRUE()</f>
        <v>1</v>
      </c>
      <c r="H64" s="8" t="b">
        <f aca="false">TRUE()</f>
        <v>1</v>
      </c>
      <c r="I64" s="7" t="str">
        <f aca="false">IF(AND(G64,H64),"PASS_TO_PASS",IF(G64,"PASS_TO_FAIL",IF(H64,"FAIL_TO_PASS","FAIL_TO_FAIL")))</f>
        <v>PASS_TO_PASS</v>
      </c>
    </row>
    <row r="65" customFormat="false" ht="15" hidden="false" customHeight="false" outlineLevel="0" collapsed="false">
      <c r="A65" s="7" t="s">
        <v>82</v>
      </c>
      <c r="B65" s="7" t="s">
        <v>83</v>
      </c>
      <c r="C65" s="7" t="s">
        <v>49</v>
      </c>
      <c r="D65" s="7" t="s">
        <v>85</v>
      </c>
      <c r="E65" s="7" t="s">
        <v>51</v>
      </c>
      <c r="F65" s="7" t="s">
        <v>134</v>
      </c>
      <c r="G65" s="8" t="b">
        <f aca="false">TRUE()</f>
        <v>1</v>
      </c>
      <c r="H65" s="8" t="b">
        <f aca="false">TRUE()</f>
        <v>1</v>
      </c>
      <c r="I65" s="7" t="str">
        <f aca="false">IF(AND(G65,H65),"PASS_TO_PASS",IF(G65,"PASS_TO_FAIL",IF(H65,"FAIL_TO_PASS","FAIL_TO_FAIL")))</f>
        <v>PASS_TO_PASS</v>
      </c>
    </row>
    <row r="66" customFormat="false" ht="15" hidden="false" customHeight="false" outlineLevel="0" collapsed="false">
      <c r="A66" s="7" t="s">
        <v>82</v>
      </c>
      <c r="B66" s="7" t="s">
        <v>83</v>
      </c>
      <c r="C66" s="7" t="s">
        <v>49</v>
      </c>
      <c r="D66" s="7" t="s">
        <v>85</v>
      </c>
      <c r="E66" s="7" t="s">
        <v>51</v>
      </c>
      <c r="F66" s="7" t="s">
        <v>135</v>
      </c>
      <c r="G66" s="8" t="b">
        <f aca="false">TRUE()</f>
        <v>1</v>
      </c>
      <c r="H66" s="8" t="b">
        <f aca="false">TRUE()</f>
        <v>1</v>
      </c>
      <c r="I66" s="7" t="str">
        <f aca="false">IF(AND(G66,H66),"PASS_TO_PASS",IF(G66,"PASS_TO_FAIL",IF(H66,"FAIL_TO_PASS","FAIL_TO_FAIL")))</f>
        <v>PASS_TO_PASS</v>
      </c>
    </row>
    <row r="67" customFormat="false" ht="15" hidden="false" customHeight="false" outlineLevel="0" collapsed="false">
      <c r="A67" s="7" t="s">
        <v>82</v>
      </c>
      <c r="B67" s="7" t="s">
        <v>83</v>
      </c>
      <c r="C67" s="7" t="s">
        <v>49</v>
      </c>
      <c r="D67" s="7" t="s">
        <v>85</v>
      </c>
      <c r="E67" s="7" t="s">
        <v>51</v>
      </c>
      <c r="F67" s="7" t="s">
        <v>136</v>
      </c>
      <c r="G67" s="8" t="b">
        <f aca="false">TRUE()</f>
        <v>1</v>
      </c>
      <c r="H67" s="8" t="b">
        <f aca="false">TRUE()</f>
        <v>1</v>
      </c>
      <c r="I67" s="7" t="str">
        <f aca="false">IF(AND(G67,H67),"PASS_TO_PASS",IF(G67,"PASS_TO_FAIL",IF(H67,"FAIL_TO_PASS","FAIL_TO_FAIL")))</f>
        <v>PASS_TO_PASS</v>
      </c>
    </row>
    <row r="68" customFormat="false" ht="15" hidden="false" customHeight="false" outlineLevel="0" collapsed="false">
      <c r="A68" s="7" t="s">
        <v>82</v>
      </c>
      <c r="B68" s="7" t="s">
        <v>83</v>
      </c>
      <c r="C68" s="7" t="s">
        <v>49</v>
      </c>
      <c r="D68" s="7" t="s">
        <v>85</v>
      </c>
      <c r="E68" s="7" t="s">
        <v>51</v>
      </c>
      <c r="F68" s="7" t="s">
        <v>137</v>
      </c>
      <c r="G68" s="8" t="b">
        <f aca="false">TRUE()</f>
        <v>1</v>
      </c>
      <c r="H68" s="8" t="b">
        <f aca="false">TRUE()</f>
        <v>1</v>
      </c>
      <c r="I68" s="7" t="str">
        <f aca="false">IF(AND(G68,H68),"PASS_TO_PASS",IF(G68,"PASS_TO_FAIL",IF(H68,"FAIL_TO_PASS","FAIL_TO_FAIL")))</f>
        <v>PASS_TO_PASS</v>
      </c>
    </row>
    <row r="69" customFormat="false" ht="15" hidden="false" customHeight="false" outlineLevel="0" collapsed="false">
      <c r="A69" s="7" t="s">
        <v>82</v>
      </c>
      <c r="B69" s="7" t="s">
        <v>83</v>
      </c>
      <c r="C69" s="7" t="s">
        <v>49</v>
      </c>
      <c r="D69" s="7" t="s">
        <v>85</v>
      </c>
      <c r="E69" s="7" t="s">
        <v>51</v>
      </c>
      <c r="F69" s="7" t="s">
        <v>138</v>
      </c>
      <c r="G69" s="8" t="b">
        <f aca="false">TRUE()</f>
        <v>1</v>
      </c>
      <c r="H69" s="8" t="b">
        <f aca="false">FALSE()</f>
        <v>0</v>
      </c>
      <c r="I69" s="7" t="str">
        <f aca="false">IF(AND(G69,H69),"PASS_TO_PASS",IF(G69,"PASS_TO_FAIL",IF(H69,"FAIL_TO_PASS","FAIL_TO_FAIL")))</f>
        <v>PASS_TO_FAIL</v>
      </c>
    </row>
    <row r="70" customFormat="false" ht="15" hidden="false" customHeight="false" outlineLevel="0" collapsed="false">
      <c r="A70" s="7" t="s">
        <v>82</v>
      </c>
      <c r="B70" s="7" t="s">
        <v>83</v>
      </c>
      <c r="C70" s="7" t="s">
        <v>49</v>
      </c>
      <c r="D70" s="7" t="s">
        <v>85</v>
      </c>
      <c r="E70" s="7" t="s">
        <v>51</v>
      </c>
      <c r="F70" s="7" t="s">
        <v>139</v>
      </c>
      <c r="G70" s="8" t="b">
        <f aca="false">TRUE()</f>
        <v>1</v>
      </c>
      <c r="H70" s="8" t="b">
        <f aca="false">TRUE()</f>
        <v>1</v>
      </c>
      <c r="I70" s="7" t="str">
        <f aca="false">IF(AND(G70,H70),"PASS_TO_PASS",IF(G70,"PASS_TO_FAIL",IF(H70,"FAIL_TO_PASS","FAIL_TO_FAIL")))</f>
        <v>PASS_TO_PASS</v>
      </c>
    </row>
    <row r="71" customFormat="false" ht="15" hidden="false" customHeight="false" outlineLevel="0" collapsed="false">
      <c r="A71" s="7" t="s">
        <v>82</v>
      </c>
      <c r="B71" s="7" t="s">
        <v>83</v>
      </c>
      <c r="C71" s="7" t="s">
        <v>49</v>
      </c>
      <c r="D71" s="7" t="s">
        <v>85</v>
      </c>
      <c r="E71" s="7" t="s">
        <v>51</v>
      </c>
      <c r="F71" s="7" t="s">
        <v>140</v>
      </c>
      <c r="G71" s="8" t="b">
        <f aca="false">TRUE()</f>
        <v>1</v>
      </c>
      <c r="H71" s="8" t="b">
        <f aca="false">FALSE()</f>
        <v>0</v>
      </c>
      <c r="I71" s="7" t="str">
        <f aca="false">IF(AND(G71,H71),"PASS_TO_PASS",IF(G71,"PASS_TO_FAIL",IF(H71,"FAIL_TO_PASS","FAIL_TO_FAIL")))</f>
        <v>PASS_TO_FAIL</v>
      </c>
    </row>
    <row r="72" customFormat="false" ht="15" hidden="false" customHeight="false" outlineLevel="0" collapsed="false">
      <c r="A72" s="7" t="s">
        <v>82</v>
      </c>
      <c r="B72" s="7" t="s">
        <v>83</v>
      </c>
      <c r="C72" s="7" t="s">
        <v>49</v>
      </c>
      <c r="D72" s="7" t="s">
        <v>85</v>
      </c>
      <c r="E72" s="7" t="s">
        <v>51</v>
      </c>
      <c r="F72" s="7" t="s">
        <v>141</v>
      </c>
      <c r="G72" s="8" t="b">
        <f aca="false">TRUE()</f>
        <v>1</v>
      </c>
      <c r="H72" s="8" t="b">
        <f aca="false">TRUE()</f>
        <v>1</v>
      </c>
      <c r="I72" s="7" t="str">
        <f aca="false">IF(AND(G72,H72),"PASS_TO_PASS",IF(G72,"PASS_TO_FAIL",IF(H72,"FAIL_TO_PASS","FAIL_TO_FAIL")))</f>
        <v>PASS_TO_PASS</v>
      </c>
    </row>
    <row r="73" customFormat="false" ht="15" hidden="false" customHeight="false" outlineLevel="0" collapsed="false">
      <c r="A73" s="7" t="s">
        <v>82</v>
      </c>
      <c r="B73" s="7" t="s">
        <v>83</v>
      </c>
      <c r="C73" s="7" t="s">
        <v>49</v>
      </c>
      <c r="D73" s="7" t="s">
        <v>85</v>
      </c>
      <c r="E73" s="7" t="s">
        <v>51</v>
      </c>
      <c r="F73" s="7" t="s">
        <v>142</v>
      </c>
      <c r="G73" s="8" t="b">
        <f aca="false">TRUE()</f>
        <v>1</v>
      </c>
      <c r="H73" s="8" t="b">
        <f aca="false">TRUE()</f>
        <v>1</v>
      </c>
      <c r="I73" s="7" t="str">
        <f aca="false">IF(AND(G73,H73),"PASS_TO_PASS",IF(G73,"PASS_TO_FAIL",IF(H73,"FAIL_TO_PASS","FAIL_TO_FAIL")))</f>
        <v>PASS_TO_PASS</v>
      </c>
    </row>
    <row r="74" customFormat="false" ht="15" hidden="false" customHeight="false" outlineLevel="0" collapsed="false">
      <c r="A74" s="7" t="s">
        <v>82</v>
      </c>
      <c r="B74" s="7" t="s">
        <v>83</v>
      </c>
      <c r="C74" s="7" t="s">
        <v>49</v>
      </c>
      <c r="D74" s="7" t="s">
        <v>85</v>
      </c>
      <c r="E74" s="7" t="s">
        <v>51</v>
      </c>
      <c r="F74" s="7" t="s">
        <v>143</v>
      </c>
      <c r="G74" s="8" t="b">
        <f aca="false">TRUE()</f>
        <v>1</v>
      </c>
      <c r="H74" s="8" t="b">
        <f aca="false">TRUE()</f>
        <v>1</v>
      </c>
      <c r="I74" s="7" t="str">
        <f aca="false">IF(AND(G74,H74),"PASS_TO_PASS",IF(G74,"PASS_TO_FAIL",IF(H74,"FAIL_TO_PASS","FAIL_TO_FAIL")))</f>
        <v>PASS_TO_PASS</v>
      </c>
    </row>
    <row r="75" customFormat="false" ht="15" hidden="false" customHeight="false" outlineLevel="0" collapsed="false">
      <c r="A75" s="7" t="s">
        <v>82</v>
      </c>
      <c r="B75" s="7" t="s">
        <v>83</v>
      </c>
      <c r="C75" s="7" t="s">
        <v>49</v>
      </c>
      <c r="D75" s="7" t="s">
        <v>85</v>
      </c>
      <c r="E75" s="7" t="s">
        <v>51</v>
      </c>
      <c r="F75" s="7" t="s">
        <v>144</v>
      </c>
      <c r="G75" s="8" t="b">
        <f aca="false">TRUE()</f>
        <v>1</v>
      </c>
      <c r="H75" s="8" t="b">
        <f aca="false">TRUE()</f>
        <v>1</v>
      </c>
      <c r="I75" s="7" t="str">
        <f aca="false">IF(AND(G75,H75),"PASS_TO_PASS",IF(G75,"PASS_TO_FAIL",IF(H75,"FAIL_TO_PASS","FAIL_TO_FAIL")))</f>
        <v>PASS_TO_PASS</v>
      </c>
    </row>
    <row r="76" customFormat="false" ht="15" hidden="false" customHeight="false" outlineLevel="0" collapsed="false">
      <c r="A76" s="7" t="s">
        <v>82</v>
      </c>
      <c r="B76" s="7" t="s">
        <v>83</v>
      </c>
      <c r="C76" s="7" t="s">
        <v>49</v>
      </c>
      <c r="D76" s="7" t="s">
        <v>85</v>
      </c>
      <c r="E76" s="7" t="s">
        <v>51</v>
      </c>
      <c r="F76" s="7" t="s">
        <v>145</v>
      </c>
      <c r="G76" s="8" t="b">
        <f aca="false">TRUE()</f>
        <v>1</v>
      </c>
      <c r="H76" s="8" t="b">
        <f aca="false">TRUE()</f>
        <v>1</v>
      </c>
      <c r="I76" s="7" t="str">
        <f aca="false">IF(AND(G76,H76),"PASS_TO_PASS",IF(G76,"PASS_TO_FAIL",IF(H76,"FAIL_TO_PASS","FAIL_TO_FAIL")))</f>
        <v>PASS_TO_PASS</v>
      </c>
    </row>
    <row r="77" customFormat="false" ht="15" hidden="false" customHeight="false" outlineLevel="0" collapsed="false">
      <c r="A77" s="7" t="s">
        <v>48</v>
      </c>
      <c r="B77" s="7" t="s">
        <v>10</v>
      </c>
      <c r="C77" s="7" t="s">
        <v>49</v>
      </c>
      <c r="D77" s="7" t="s">
        <v>86</v>
      </c>
      <c r="E77" s="7" t="s">
        <v>51</v>
      </c>
      <c r="F77" s="7" t="s">
        <v>134</v>
      </c>
      <c r="G77" s="8" t="b">
        <f aca="false">TRUE()</f>
        <v>1</v>
      </c>
      <c r="H77" s="8" t="b">
        <f aca="false">TRUE()</f>
        <v>1</v>
      </c>
      <c r="I77" s="7" t="str">
        <f aca="false">IF(AND(G77,H77),"PASS_TO_PASS",IF(G77,"PASS_TO_FAIL",IF(H77,"FAIL_TO_PASS","FAIL_TO_FAIL")))</f>
        <v>PASS_TO_PASS</v>
      </c>
    </row>
    <row r="78" customFormat="false" ht="15" hidden="false" customHeight="false" outlineLevel="0" collapsed="false">
      <c r="A78" s="7" t="s">
        <v>48</v>
      </c>
      <c r="B78" s="7" t="s">
        <v>10</v>
      </c>
      <c r="C78" s="7" t="s">
        <v>49</v>
      </c>
      <c r="D78" s="7" t="s">
        <v>86</v>
      </c>
      <c r="E78" s="7" t="s">
        <v>51</v>
      </c>
      <c r="F78" s="7" t="s">
        <v>135</v>
      </c>
      <c r="G78" s="8" t="b">
        <f aca="false">TRUE()</f>
        <v>1</v>
      </c>
      <c r="H78" s="8" t="b">
        <f aca="false">TRUE()</f>
        <v>1</v>
      </c>
      <c r="I78" s="7" t="str">
        <f aca="false">IF(AND(G78,H78),"PASS_TO_PASS",IF(G78,"PASS_TO_FAIL",IF(H78,"FAIL_TO_PASS","FAIL_TO_FAIL")))</f>
        <v>PASS_TO_PASS</v>
      </c>
    </row>
    <row r="79" customFormat="false" ht="15" hidden="false" customHeight="false" outlineLevel="0" collapsed="false">
      <c r="A79" s="7" t="s">
        <v>48</v>
      </c>
      <c r="B79" s="7" t="s">
        <v>10</v>
      </c>
      <c r="C79" s="7" t="s">
        <v>49</v>
      </c>
      <c r="D79" s="7" t="s">
        <v>86</v>
      </c>
      <c r="E79" s="7" t="s">
        <v>51</v>
      </c>
      <c r="F79" s="7" t="s">
        <v>136</v>
      </c>
      <c r="G79" s="8" t="b">
        <f aca="false">TRUE()</f>
        <v>1</v>
      </c>
      <c r="H79" s="8" t="b">
        <f aca="false">TRUE()</f>
        <v>1</v>
      </c>
      <c r="I79" s="7" t="str">
        <f aca="false">IF(AND(G79,H79),"PASS_TO_PASS",IF(G79,"PASS_TO_FAIL",IF(H79,"FAIL_TO_PASS","FAIL_TO_FAIL")))</f>
        <v>PASS_TO_PASS</v>
      </c>
    </row>
    <row r="80" customFormat="false" ht="15" hidden="false" customHeight="false" outlineLevel="0" collapsed="false">
      <c r="A80" s="7" t="s">
        <v>48</v>
      </c>
      <c r="B80" s="7" t="s">
        <v>10</v>
      </c>
      <c r="C80" s="7" t="s">
        <v>49</v>
      </c>
      <c r="D80" s="7" t="s">
        <v>86</v>
      </c>
      <c r="E80" s="7" t="s">
        <v>51</v>
      </c>
      <c r="F80" s="7" t="s">
        <v>137</v>
      </c>
      <c r="G80" s="8" t="b">
        <f aca="false">TRUE()</f>
        <v>1</v>
      </c>
      <c r="H80" s="8" t="b">
        <f aca="false">TRUE()</f>
        <v>1</v>
      </c>
      <c r="I80" s="7" t="str">
        <f aca="false">IF(AND(G80,H80),"PASS_TO_PASS",IF(G80,"PASS_TO_FAIL",IF(H80,"FAIL_TO_PASS","FAIL_TO_FAIL")))</f>
        <v>PASS_TO_PASS</v>
      </c>
    </row>
    <row r="81" customFormat="false" ht="15" hidden="false" customHeight="false" outlineLevel="0" collapsed="false">
      <c r="A81" s="7" t="s">
        <v>48</v>
      </c>
      <c r="B81" s="7" t="s">
        <v>10</v>
      </c>
      <c r="C81" s="7" t="s">
        <v>49</v>
      </c>
      <c r="D81" s="7" t="s">
        <v>86</v>
      </c>
      <c r="E81" s="7" t="s">
        <v>51</v>
      </c>
      <c r="F81" s="7" t="s">
        <v>138</v>
      </c>
      <c r="G81" s="8" t="b">
        <f aca="false">FALSE()</f>
        <v>0</v>
      </c>
      <c r="H81" s="8" t="b">
        <f aca="false">FALSE()</f>
        <v>0</v>
      </c>
      <c r="I81" s="7" t="str">
        <f aca="false">IF(AND(G81,H81),"PASS_TO_PASS",IF(G81,"PASS_TO_FAIL",IF(H81,"FAIL_TO_PASS","FAIL_TO_FAIL")))</f>
        <v>FAIL_TO_FAIL</v>
      </c>
    </row>
    <row r="82" customFormat="false" ht="15" hidden="false" customHeight="false" outlineLevel="0" collapsed="false">
      <c r="A82" s="7" t="s">
        <v>48</v>
      </c>
      <c r="B82" s="7" t="s">
        <v>10</v>
      </c>
      <c r="C82" s="7" t="s">
        <v>49</v>
      </c>
      <c r="D82" s="7" t="s">
        <v>86</v>
      </c>
      <c r="E82" s="7" t="s">
        <v>51</v>
      </c>
      <c r="F82" s="7" t="s">
        <v>139</v>
      </c>
      <c r="G82" s="8" t="b">
        <f aca="false">TRUE()</f>
        <v>1</v>
      </c>
      <c r="H82" s="8" t="b">
        <f aca="false">TRUE()</f>
        <v>1</v>
      </c>
      <c r="I82" s="7" t="str">
        <f aca="false">IF(AND(G82,H82),"PASS_TO_PASS",IF(G82,"PASS_TO_FAIL",IF(H82,"FAIL_TO_PASS","FAIL_TO_FAIL")))</f>
        <v>PASS_TO_PASS</v>
      </c>
    </row>
    <row r="83" customFormat="false" ht="15" hidden="false" customHeight="false" outlineLevel="0" collapsed="false">
      <c r="A83" s="7" t="s">
        <v>48</v>
      </c>
      <c r="B83" s="7" t="s">
        <v>10</v>
      </c>
      <c r="C83" s="7" t="s">
        <v>49</v>
      </c>
      <c r="D83" s="7" t="s">
        <v>86</v>
      </c>
      <c r="E83" s="7" t="s">
        <v>51</v>
      </c>
      <c r="F83" s="7" t="s">
        <v>140</v>
      </c>
      <c r="G83" s="8" t="b">
        <f aca="false">TRUE()</f>
        <v>1</v>
      </c>
      <c r="H83" s="8" t="b">
        <f aca="false">TRUE()</f>
        <v>1</v>
      </c>
      <c r="I83" s="7" t="str">
        <f aca="false">IF(AND(G83,H83),"PASS_TO_PASS",IF(G83,"PASS_TO_FAIL",IF(H83,"FAIL_TO_PASS","FAIL_TO_FAIL")))</f>
        <v>PASS_TO_PASS</v>
      </c>
    </row>
    <row r="84" customFormat="false" ht="15" hidden="false" customHeight="false" outlineLevel="0" collapsed="false">
      <c r="A84" s="7" t="s">
        <v>48</v>
      </c>
      <c r="B84" s="7" t="s">
        <v>10</v>
      </c>
      <c r="C84" s="7" t="s">
        <v>49</v>
      </c>
      <c r="D84" s="7" t="s">
        <v>86</v>
      </c>
      <c r="E84" s="7" t="s">
        <v>51</v>
      </c>
      <c r="F84" s="7" t="s">
        <v>141</v>
      </c>
      <c r="G84" s="8" t="b">
        <f aca="false">TRUE()</f>
        <v>1</v>
      </c>
      <c r="H84" s="8" t="b">
        <f aca="false">TRUE()</f>
        <v>1</v>
      </c>
      <c r="I84" s="7" t="str">
        <f aca="false">IF(AND(G84,H84),"PASS_TO_PASS",IF(G84,"PASS_TO_FAIL",IF(H84,"FAIL_TO_PASS","FAIL_TO_FAIL")))</f>
        <v>PASS_TO_PASS</v>
      </c>
    </row>
    <row r="85" customFormat="false" ht="15" hidden="false" customHeight="false" outlineLevel="0" collapsed="false">
      <c r="A85" s="7" t="s">
        <v>48</v>
      </c>
      <c r="B85" s="7" t="s">
        <v>10</v>
      </c>
      <c r="C85" s="7" t="s">
        <v>49</v>
      </c>
      <c r="D85" s="7" t="s">
        <v>86</v>
      </c>
      <c r="E85" s="7" t="s">
        <v>51</v>
      </c>
      <c r="F85" s="7" t="s">
        <v>142</v>
      </c>
      <c r="G85" s="8" t="b">
        <f aca="false">TRUE()</f>
        <v>1</v>
      </c>
      <c r="H85" s="8" t="b">
        <f aca="false">TRUE()</f>
        <v>1</v>
      </c>
      <c r="I85" s="7" t="str">
        <f aca="false">IF(AND(G85,H85),"PASS_TO_PASS",IF(G85,"PASS_TO_FAIL",IF(H85,"FAIL_TO_PASS","FAIL_TO_FAIL")))</f>
        <v>PASS_TO_PASS</v>
      </c>
    </row>
    <row r="86" customFormat="false" ht="15" hidden="false" customHeight="false" outlineLevel="0" collapsed="false">
      <c r="A86" s="7" t="s">
        <v>48</v>
      </c>
      <c r="B86" s="7" t="s">
        <v>10</v>
      </c>
      <c r="C86" s="7" t="s">
        <v>49</v>
      </c>
      <c r="D86" s="7" t="s">
        <v>86</v>
      </c>
      <c r="E86" s="7" t="s">
        <v>51</v>
      </c>
      <c r="F86" s="7" t="s">
        <v>143</v>
      </c>
      <c r="G86" s="8" t="b">
        <f aca="false">TRUE()</f>
        <v>1</v>
      </c>
      <c r="H86" s="8" t="b">
        <f aca="false">TRUE()</f>
        <v>1</v>
      </c>
      <c r="I86" s="7" t="str">
        <f aca="false">IF(AND(G86,H86),"PASS_TO_PASS",IF(G86,"PASS_TO_FAIL",IF(H86,"FAIL_TO_PASS","FAIL_TO_FAIL")))</f>
        <v>PASS_TO_PASS</v>
      </c>
    </row>
    <row r="87" customFormat="false" ht="15" hidden="false" customHeight="false" outlineLevel="0" collapsed="false">
      <c r="A87" s="7" t="s">
        <v>48</v>
      </c>
      <c r="B87" s="7" t="s">
        <v>10</v>
      </c>
      <c r="C87" s="7" t="s">
        <v>49</v>
      </c>
      <c r="D87" s="7" t="s">
        <v>86</v>
      </c>
      <c r="E87" s="7" t="s">
        <v>51</v>
      </c>
      <c r="F87" s="7" t="s">
        <v>144</v>
      </c>
      <c r="G87" s="8" t="b">
        <f aca="false">TRUE()</f>
        <v>1</v>
      </c>
      <c r="H87" s="8" t="b">
        <f aca="false">TRUE()</f>
        <v>1</v>
      </c>
      <c r="I87" s="7" t="str">
        <f aca="false">IF(AND(G87,H87),"PASS_TO_PASS",IF(G87,"PASS_TO_FAIL",IF(H87,"FAIL_TO_PASS","FAIL_TO_FAIL")))</f>
        <v>PASS_TO_PASS</v>
      </c>
    </row>
    <row r="88" customFormat="false" ht="15" hidden="false" customHeight="false" outlineLevel="0" collapsed="false">
      <c r="A88" s="7" t="s">
        <v>48</v>
      </c>
      <c r="B88" s="7" t="s">
        <v>10</v>
      </c>
      <c r="C88" s="7" t="s">
        <v>49</v>
      </c>
      <c r="D88" s="7" t="s">
        <v>86</v>
      </c>
      <c r="E88" s="7" t="s">
        <v>51</v>
      </c>
      <c r="F88" s="7" t="s">
        <v>145</v>
      </c>
      <c r="G88" s="8" t="b">
        <f aca="false">TRUE()</f>
        <v>1</v>
      </c>
      <c r="H88" s="8" t="b">
        <f aca="false">TRUE()</f>
        <v>1</v>
      </c>
      <c r="I88" s="7" t="str">
        <f aca="false">IF(AND(G88,H88),"PASS_TO_PASS",IF(G88,"PASS_TO_FAIL",IF(H88,"FAIL_TO_PASS","FAIL_TO_FAIL")))</f>
        <v>PASS_TO_PASS</v>
      </c>
    </row>
    <row r="89" customFormat="false" ht="15" hidden="false" customHeight="false" outlineLevel="0" collapsed="false">
      <c r="A89" s="7" t="s">
        <v>82</v>
      </c>
      <c r="B89" s="7" t="s">
        <v>83</v>
      </c>
      <c r="C89" s="7" t="s">
        <v>49</v>
      </c>
      <c r="D89" s="7" t="s">
        <v>86</v>
      </c>
      <c r="E89" s="7" t="s">
        <v>51</v>
      </c>
      <c r="F89" s="7" t="s">
        <v>134</v>
      </c>
      <c r="G89" s="8" t="b">
        <f aca="false">TRUE()</f>
        <v>1</v>
      </c>
      <c r="H89" s="8" t="b">
        <f aca="false">TRUE()</f>
        <v>1</v>
      </c>
      <c r="I89" s="7" t="str">
        <f aca="false">IF(AND(G89,H89),"PASS_TO_PASS",IF(G89,"PASS_TO_FAIL",IF(H89,"FAIL_TO_PASS","FAIL_TO_FAIL")))</f>
        <v>PASS_TO_PASS</v>
      </c>
    </row>
    <row r="90" customFormat="false" ht="15" hidden="false" customHeight="false" outlineLevel="0" collapsed="false">
      <c r="A90" s="7" t="s">
        <v>82</v>
      </c>
      <c r="B90" s="7" t="s">
        <v>83</v>
      </c>
      <c r="C90" s="7" t="s">
        <v>49</v>
      </c>
      <c r="D90" s="7" t="s">
        <v>86</v>
      </c>
      <c r="E90" s="7" t="s">
        <v>51</v>
      </c>
      <c r="F90" s="7" t="s">
        <v>135</v>
      </c>
      <c r="G90" s="8" t="b">
        <f aca="false">TRUE()</f>
        <v>1</v>
      </c>
      <c r="H90" s="8" t="b">
        <f aca="false">TRUE()</f>
        <v>1</v>
      </c>
      <c r="I90" s="7" t="str">
        <f aca="false">IF(AND(G90,H90),"PASS_TO_PASS",IF(G90,"PASS_TO_FAIL",IF(H90,"FAIL_TO_PASS","FAIL_TO_FAIL")))</f>
        <v>PASS_TO_PASS</v>
      </c>
    </row>
    <row r="91" customFormat="false" ht="15" hidden="false" customHeight="false" outlineLevel="0" collapsed="false">
      <c r="A91" s="7" t="s">
        <v>82</v>
      </c>
      <c r="B91" s="7" t="s">
        <v>83</v>
      </c>
      <c r="C91" s="7" t="s">
        <v>49</v>
      </c>
      <c r="D91" s="7" t="s">
        <v>86</v>
      </c>
      <c r="E91" s="7" t="s">
        <v>51</v>
      </c>
      <c r="F91" s="7" t="s">
        <v>136</v>
      </c>
      <c r="G91" s="8" t="b">
        <f aca="false">TRUE()</f>
        <v>1</v>
      </c>
      <c r="H91" s="8" t="b">
        <f aca="false">TRUE()</f>
        <v>1</v>
      </c>
      <c r="I91" s="7" t="str">
        <f aca="false">IF(AND(G91,H91),"PASS_TO_PASS",IF(G91,"PASS_TO_FAIL",IF(H91,"FAIL_TO_PASS","FAIL_TO_FAIL")))</f>
        <v>PASS_TO_PASS</v>
      </c>
    </row>
    <row r="92" customFormat="false" ht="15" hidden="false" customHeight="false" outlineLevel="0" collapsed="false">
      <c r="A92" s="7" t="s">
        <v>82</v>
      </c>
      <c r="B92" s="7" t="s">
        <v>83</v>
      </c>
      <c r="C92" s="7" t="s">
        <v>49</v>
      </c>
      <c r="D92" s="7" t="s">
        <v>86</v>
      </c>
      <c r="E92" s="7" t="s">
        <v>51</v>
      </c>
      <c r="F92" s="7" t="s">
        <v>137</v>
      </c>
      <c r="G92" s="8" t="b">
        <f aca="false">TRUE()</f>
        <v>1</v>
      </c>
      <c r="H92" s="8" t="b">
        <f aca="false">TRUE()</f>
        <v>1</v>
      </c>
      <c r="I92" s="7" t="str">
        <f aca="false">IF(AND(G92,H92),"PASS_TO_PASS",IF(G92,"PASS_TO_FAIL",IF(H92,"FAIL_TO_PASS","FAIL_TO_FAIL")))</f>
        <v>PASS_TO_PASS</v>
      </c>
    </row>
    <row r="93" customFormat="false" ht="15" hidden="false" customHeight="false" outlineLevel="0" collapsed="false">
      <c r="A93" s="7" t="s">
        <v>82</v>
      </c>
      <c r="B93" s="7" t="s">
        <v>83</v>
      </c>
      <c r="C93" s="7" t="s">
        <v>49</v>
      </c>
      <c r="D93" s="7" t="s">
        <v>86</v>
      </c>
      <c r="E93" s="7" t="s">
        <v>51</v>
      </c>
      <c r="F93" s="7" t="s">
        <v>138</v>
      </c>
      <c r="G93" s="8" t="b">
        <f aca="false">TRUE()</f>
        <v>1</v>
      </c>
      <c r="H93" s="8" t="b">
        <f aca="false">FALSE()</f>
        <v>0</v>
      </c>
      <c r="I93" s="7" t="str">
        <f aca="false">IF(AND(G93,H93),"PASS_TO_PASS",IF(G93,"PASS_TO_FAIL",IF(H93,"FAIL_TO_PASS","FAIL_TO_FAIL")))</f>
        <v>PASS_TO_FAIL</v>
      </c>
    </row>
    <row r="94" customFormat="false" ht="15" hidden="false" customHeight="false" outlineLevel="0" collapsed="false">
      <c r="A94" s="7" t="s">
        <v>82</v>
      </c>
      <c r="B94" s="7" t="s">
        <v>83</v>
      </c>
      <c r="C94" s="7" t="s">
        <v>49</v>
      </c>
      <c r="D94" s="7" t="s">
        <v>86</v>
      </c>
      <c r="E94" s="7" t="s">
        <v>51</v>
      </c>
      <c r="F94" s="7" t="s">
        <v>139</v>
      </c>
      <c r="G94" s="8" t="b">
        <f aca="false">TRUE()</f>
        <v>1</v>
      </c>
      <c r="H94" s="8" t="b">
        <f aca="false">TRUE()</f>
        <v>1</v>
      </c>
      <c r="I94" s="7" t="str">
        <f aca="false">IF(AND(G94,H94),"PASS_TO_PASS",IF(G94,"PASS_TO_FAIL",IF(H94,"FAIL_TO_PASS","FAIL_TO_FAIL")))</f>
        <v>PASS_TO_PASS</v>
      </c>
    </row>
    <row r="95" customFormat="false" ht="15" hidden="false" customHeight="false" outlineLevel="0" collapsed="false">
      <c r="A95" s="7" t="s">
        <v>82</v>
      </c>
      <c r="B95" s="7" t="s">
        <v>83</v>
      </c>
      <c r="C95" s="7" t="s">
        <v>49</v>
      </c>
      <c r="D95" s="7" t="s">
        <v>86</v>
      </c>
      <c r="E95" s="7" t="s">
        <v>51</v>
      </c>
      <c r="F95" s="7" t="s">
        <v>140</v>
      </c>
      <c r="G95" s="8" t="b">
        <f aca="false">TRUE()</f>
        <v>1</v>
      </c>
      <c r="H95" s="8" t="b">
        <f aca="false">TRUE()</f>
        <v>1</v>
      </c>
      <c r="I95" s="7" t="str">
        <f aca="false">IF(AND(G95,H95),"PASS_TO_PASS",IF(G95,"PASS_TO_FAIL",IF(H95,"FAIL_TO_PASS","FAIL_TO_FAIL")))</f>
        <v>PASS_TO_PASS</v>
      </c>
    </row>
    <row r="96" customFormat="false" ht="15" hidden="false" customHeight="false" outlineLevel="0" collapsed="false">
      <c r="A96" s="7" t="s">
        <v>82</v>
      </c>
      <c r="B96" s="7" t="s">
        <v>83</v>
      </c>
      <c r="C96" s="7" t="s">
        <v>49</v>
      </c>
      <c r="D96" s="7" t="s">
        <v>86</v>
      </c>
      <c r="E96" s="7" t="s">
        <v>51</v>
      </c>
      <c r="F96" s="7" t="s">
        <v>141</v>
      </c>
      <c r="G96" s="8" t="b">
        <f aca="false">TRUE()</f>
        <v>1</v>
      </c>
      <c r="H96" s="8" t="b">
        <f aca="false">TRUE()</f>
        <v>1</v>
      </c>
      <c r="I96" s="7" t="str">
        <f aca="false">IF(AND(G96,H96),"PASS_TO_PASS",IF(G96,"PASS_TO_FAIL",IF(H96,"FAIL_TO_PASS","FAIL_TO_FAIL")))</f>
        <v>PASS_TO_PASS</v>
      </c>
    </row>
    <row r="97" customFormat="false" ht="15" hidden="false" customHeight="false" outlineLevel="0" collapsed="false">
      <c r="A97" s="7" t="s">
        <v>82</v>
      </c>
      <c r="B97" s="7" t="s">
        <v>83</v>
      </c>
      <c r="C97" s="7" t="s">
        <v>49</v>
      </c>
      <c r="D97" s="7" t="s">
        <v>86</v>
      </c>
      <c r="E97" s="7" t="s">
        <v>51</v>
      </c>
      <c r="F97" s="7" t="s">
        <v>142</v>
      </c>
      <c r="G97" s="8" t="b">
        <f aca="false">TRUE()</f>
        <v>1</v>
      </c>
      <c r="H97" s="8" t="b">
        <f aca="false">TRUE()</f>
        <v>1</v>
      </c>
      <c r="I97" s="7" t="str">
        <f aca="false">IF(AND(G97,H97),"PASS_TO_PASS",IF(G97,"PASS_TO_FAIL",IF(H97,"FAIL_TO_PASS","FAIL_TO_FAIL")))</f>
        <v>PASS_TO_PASS</v>
      </c>
    </row>
    <row r="98" customFormat="false" ht="15" hidden="false" customHeight="false" outlineLevel="0" collapsed="false">
      <c r="A98" s="7" t="s">
        <v>82</v>
      </c>
      <c r="B98" s="7" t="s">
        <v>83</v>
      </c>
      <c r="C98" s="7" t="s">
        <v>49</v>
      </c>
      <c r="D98" s="7" t="s">
        <v>86</v>
      </c>
      <c r="E98" s="7" t="s">
        <v>51</v>
      </c>
      <c r="F98" s="7" t="s">
        <v>143</v>
      </c>
      <c r="G98" s="8" t="b">
        <f aca="false">TRUE()</f>
        <v>1</v>
      </c>
      <c r="H98" s="8" t="b">
        <f aca="false">TRUE()</f>
        <v>1</v>
      </c>
      <c r="I98" s="7" t="str">
        <f aca="false">IF(AND(G98,H98),"PASS_TO_PASS",IF(G98,"PASS_TO_FAIL",IF(H98,"FAIL_TO_PASS","FAIL_TO_FAIL")))</f>
        <v>PASS_TO_PASS</v>
      </c>
    </row>
    <row r="99" customFormat="false" ht="15" hidden="false" customHeight="false" outlineLevel="0" collapsed="false">
      <c r="A99" s="7" t="s">
        <v>82</v>
      </c>
      <c r="B99" s="7" t="s">
        <v>83</v>
      </c>
      <c r="C99" s="7" t="s">
        <v>49</v>
      </c>
      <c r="D99" s="7" t="s">
        <v>86</v>
      </c>
      <c r="E99" s="7" t="s">
        <v>51</v>
      </c>
      <c r="F99" s="7" t="s">
        <v>144</v>
      </c>
      <c r="G99" s="8" t="b">
        <f aca="false">TRUE()</f>
        <v>1</v>
      </c>
      <c r="H99" s="8" t="b">
        <f aca="false">TRUE()</f>
        <v>1</v>
      </c>
      <c r="I99" s="7" t="str">
        <f aca="false">IF(AND(G99,H99),"PASS_TO_PASS",IF(G99,"PASS_TO_FAIL",IF(H99,"FAIL_TO_PASS","FAIL_TO_FAIL")))</f>
        <v>PASS_TO_PASS</v>
      </c>
    </row>
    <row r="100" customFormat="false" ht="15" hidden="false" customHeight="false" outlineLevel="0" collapsed="false">
      <c r="A100" s="7" t="s">
        <v>82</v>
      </c>
      <c r="B100" s="7" t="s">
        <v>83</v>
      </c>
      <c r="C100" s="7" t="s">
        <v>49</v>
      </c>
      <c r="D100" s="7" t="s">
        <v>86</v>
      </c>
      <c r="E100" s="7" t="s">
        <v>51</v>
      </c>
      <c r="F100" s="7" t="s">
        <v>145</v>
      </c>
      <c r="G100" s="8" t="b">
        <f aca="false">TRUE()</f>
        <v>1</v>
      </c>
      <c r="H100" s="8" t="b">
        <f aca="false">TRUE()</f>
        <v>1</v>
      </c>
      <c r="I100" s="7" t="str">
        <f aca="false">IF(AND(G100,H100),"PASS_TO_PASS",IF(G100,"PASS_TO_FAIL",IF(H100,"FAIL_TO_PASS","FAIL_TO_FAIL")))</f>
        <v>PASS_TO_PASS</v>
      </c>
    </row>
    <row r="101" customFormat="false" ht="15" hidden="false" customHeight="false" outlineLevel="0" collapsed="false">
      <c r="A101" s="7" t="s">
        <v>48</v>
      </c>
      <c r="B101" s="7" t="s">
        <v>10</v>
      </c>
      <c r="C101" s="7" t="s">
        <v>49</v>
      </c>
      <c r="D101" s="7" t="s">
        <v>87</v>
      </c>
      <c r="E101" s="7" t="s">
        <v>51</v>
      </c>
      <c r="F101" s="7" t="s">
        <v>134</v>
      </c>
      <c r="G101" s="8" t="b">
        <f aca="false">TRUE()</f>
        <v>1</v>
      </c>
      <c r="H101" s="8" t="b">
        <f aca="false">TRUE()</f>
        <v>1</v>
      </c>
      <c r="I101" s="7" t="str">
        <f aca="false">IF(AND(G101,H101),"PASS_TO_PASS",IF(G101,"PASS_TO_FAIL",IF(H101,"FAIL_TO_PASS","FAIL_TO_FAIL")))</f>
        <v>PASS_TO_PASS</v>
      </c>
    </row>
    <row r="102" customFormat="false" ht="15" hidden="false" customHeight="false" outlineLevel="0" collapsed="false">
      <c r="A102" s="7" t="s">
        <v>48</v>
      </c>
      <c r="B102" s="7" t="s">
        <v>10</v>
      </c>
      <c r="C102" s="7" t="s">
        <v>49</v>
      </c>
      <c r="D102" s="7" t="s">
        <v>87</v>
      </c>
      <c r="E102" s="7" t="s">
        <v>51</v>
      </c>
      <c r="F102" s="7" t="s">
        <v>135</v>
      </c>
      <c r="G102" s="8" t="b">
        <f aca="false">TRUE()</f>
        <v>1</v>
      </c>
      <c r="H102" s="8" t="b">
        <f aca="false">TRUE()</f>
        <v>1</v>
      </c>
      <c r="I102" s="7" t="str">
        <f aca="false">IF(AND(G102,H102),"PASS_TO_PASS",IF(G102,"PASS_TO_FAIL",IF(H102,"FAIL_TO_PASS","FAIL_TO_FAIL")))</f>
        <v>PASS_TO_PASS</v>
      </c>
    </row>
    <row r="103" customFormat="false" ht="15" hidden="false" customHeight="false" outlineLevel="0" collapsed="false">
      <c r="A103" s="7" t="s">
        <v>48</v>
      </c>
      <c r="B103" s="7" t="s">
        <v>10</v>
      </c>
      <c r="C103" s="7" t="s">
        <v>49</v>
      </c>
      <c r="D103" s="7" t="s">
        <v>87</v>
      </c>
      <c r="E103" s="7" t="s">
        <v>51</v>
      </c>
      <c r="F103" s="7" t="s">
        <v>136</v>
      </c>
      <c r="G103" s="8" t="b">
        <f aca="false">TRUE()</f>
        <v>1</v>
      </c>
      <c r="H103" s="8" t="b">
        <f aca="false">TRUE()</f>
        <v>1</v>
      </c>
      <c r="I103" s="7" t="str">
        <f aca="false">IF(AND(G103,H103),"PASS_TO_PASS",IF(G103,"PASS_TO_FAIL",IF(H103,"FAIL_TO_PASS","FAIL_TO_FAIL")))</f>
        <v>PASS_TO_PASS</v>
      </c>
    </row>
    <row r="104" customFormat="false" ht="15" hidden="false" customHeight="false" outlineLevel="0" collapsed="false">
      <c r="A104" s="7" t="s">
        <v>48</v>
      </c>
      <c r="B104" s="7" t="s">
        <v>10</v>
      </c>
      <c r="C104" s="7" t="s">
        <v>49</v>
      </c>
      <c r="D104" s="7" t="s">
        <v>87</v>
      </c>
      <c r="E104" s="7" t="s">
        <v>51</v>
      </c>
      <c r="F104" s="7" t="s">
        <v>137</v>
      </c>
      <c r="G104" s="8" t="b">
        <f aca="false">TRUE()</f>
        <v>1</v>
      </c>
      <c r="H104" s="8" t="b">
        <f aca="false">FALSE()</f>
        <v>0</v>
      </c>
      <c r="I104" s="7" t="str">
        <f aca="false">IF(AND(G104,H104),"PASS_TO_PASS",IF(G104,"PASS_TO_FAIL",IF(H104,"FAIL_TO_PASS","FAIL_TO_FAIL")))</f>
        <v>PASS_TO_FAIL</v>
      </c>
    </row>
    <row r="105" customFormat="false" ht="15" hidden="false" customHeight="false" outlineLevel="0" collapsed="false">
      <c r="A105" s="7" t="s">
        <v>48</v>
      </c>
      <c r="B105" s="7" t="s">
        <v>10</v>
      </c>
      <c r="C105" s="7" t="s">
        <v>49</v>
      </c>
      <c r="D105" s="7" t="s">
        <v>87</v>
      </c>
      <c r="E105" s="7" t="s">
        <v>51</v>
      </c>
      <c r="F105" s="7" t="s">
        <v>138</v>
      </c>
      <c r="G105" s="8" t="b">
        <f aca="false">TRUE()</f>
        <v>1</v>
      </c>
      <c r="H105" s="8" t="b">
        <f aca="false">TRUE()</f>
        <v>1</v>
      </c>
      <c r="I105" s="7" t="str">
        <f aca="false">IF(AND(G105,H105),"PASS_TO_PASS",IF(G105,"PASS_TO_FAIL",IF(H105,"FAIL_TO_PASS","FAIL_TO_FAIL")))</f>
        <v>PASS_TO_PASS</v>
      </c>
    </row>
    <row r="106" customFormat="false" ht="15" hidden="false" customHeight="false" outlineLevel="0" collapsed="false">
      <c r="A106" s="7" t="s">
        <v>48</v>
      </c>
      <c r="B106" s="7" t="s">
        <v>10</v>
      </c>
      <c r="C106" s="7" t="s">
        <v>49</v>
      </c>
      <c r="D106" s="7" t="s">
        <v>87</v>
      </c>
      <c r="E106" s="7" t="s">
        <v>51</v>
      </c>
      <c r="F106" s="7" t="s">
        <v>139</v>
      </c>
      <c r="G106" s="8" t="b">
        <f aca="false">TRUE()</f>
        <v>1</v>
      </c>
      <c r="H106" s="8" t="b">
        <f aca="false">TRUE()</f>
        <v>1</v>
      </c>
      <c r="I106" s="7" t="str">
        <f aca="false">IF(AND(G106,H106),"PASS_TO_PASS",IF(G106,"PASS_TO_FAIL",IF(H106,"FAIL_TO_PASS","FAIL_TO_FAIL")))</f>
        <v>PASS_TO_PASS</v>
      </c>
    </row>
    <row r="107" customFormat="false" ht="15" hidden="false" customHeight="false" outlineLevel="0" collapsed="false">
      <c r="A107" s="7" t="s">
        <v>48</v>
      </c>
      <c r="B107" s="7" t="s">
        <v>10</v>
      </c>
      <c r="C107" s="7" t="s">
        <v>49</v>
      </c>
      <c r="D107" s="7" t="s">
        <v>87</v>
      </c>
      <c r="E107" s="7" t="s">
        <v>51</v>
      </c>
      <c r="F107" s="7" t="s">
        <v>140</v>
      </c>
      <c r="G107" s="8" t="b">
        <f aca="false">TRUE()</f>
        <v>1</v>
      </c>
      <c r="H107" s="8" t="b">
        <f aca="false">TRUE()</f>
        <v>1</v>
      </c>
      <c r="I107" s="7" t="str">
        <f aca="false">IF(AND(G107,H107),"PASS_TO_PASS",IF(G107,"PASS_TO_FAIL",IF(H107,"FAIL_TO_PASS","FAIL_TO_FAIL")))</f>
        <v>PASS_TO_PASS</v>
      </c>
    </row>
    <row r="108" customFormat="false" ht="15" hidden="false" customHeight="false" outlineLevel="0" collapsed="false">
      <c r="A108" s="7" t="s">
        <v>48</v>
      </c>
      <c r="B108" s="7" t="s">
        <v>10</v>
      </c>
      <c r="C108" s="7" t="s">
        <v>49</v>
      </c>
      <c r="D108" s="7" t="s">
        <v>87</v>
      </c>
      <c r="E108" s="7" t="s">
        <v>51</v>
      </c>
      <c r="F108" s="7" t="s">
        <v>141</v>
      </c>
      <c r="G108" s="8" t="b">
        <f aca="false">TRUE()</f>
        <v>1</v>
      </c>
      <c r="H108" s="8" t="b">
        <f aca="false">TRUE()</f>
        <v>1</v>
      </c>
      <c r="I108" s="7" t="str">
        <f aca="false">IF(AND(G108,H108),"PASS_TO_PASS",IF(G108,"PASS_TO_FAIL",IF(H108,"FAIL_TO_PASS","FAIL_TO_FAIL")))</f>
        <v>PASS_TO_PASS</v>
      </c>
    </row>
    <row r="109" customFormat="false" ht="15" hidden="false" customHeight="false" outlineLevel="0" collapsed="false">
      <c r="A109" s="7" t="s">
        <v>48</v>
      </c>
      <c r="B109" s="7" t="s">
        <v>10</v>
      </c>
      <c r="C109" s="7" t="s">
        <v>49</v>
      </c>
      <c r="D109" s="7" t="s">
        <v>87</v>
      </c>
      <c r="E109" s="7" t="s">
        <v>51</v>
      </c>
      <c r="F109" s="7" t="s">
        <v>142</v>
      </c>
      <c r="G109" s="8" t="b">
        <f aca="false">TRUE()</f>
        <v>1</v>
      </c>
      <c r="H109" s="8" t="b">
        <f aca="false">TRUE()</f>
        <v>1</v>
      </c>
      <c r="I109" s="7" t="str">
        <f aca="false">IF(AND(G109,H109),"PASS_TO_PASS",IF(G109,"PASS_TO_FAIL",IF(H109,"FAIL_TO_PASS","FAIL_TO_FAIL")))</f>
        <v>PASS_TO_PASS</v>
      </c>
    </row>
    <row r="110" customFormat="false" ht="15" hidden="false" customHeight="false" outlineLevel="0" collapsed="false">
      <c r="A110" s="7" t="s">
        <v>48</v>
      </c>
      <c r="B110" s="7" t="s">
        <v>10</v>
      </c>
      <c r="C110" s="7" t="s">
        <v>49</v>
      </c>
      <c r="D110" s="7" t="s">
        <v>87</v>
      </c>
      <c r="E110" s="7" t="s">
        <v>51</v>
      </c>
      <c r="F110" s="7" t="s">
        <v>143</v>
      </c>
      <c r="G110" s="8" t="b">
        <f aca="false">TRUE()</f>
        <v>1</v>
      </c>
      <c r="H110" s="8" t="b">
        <f aca="false">TRUE()</f>
        <v>1</v>
      </c>
      <c r="I110" s="7" t="str">
        <f aca="false">IF(AND(G110,H110),"PASS_TO_PASS",IF(G110,"PASS_TO_FAIL",IF(H110,"FAIL_TO_PASS","FAIL_TO_FAIL")))</f>
        <v>PASS_TO_PASS</v>
      </c>
    </row>
    <row r="111" customFormat="false" ht="15" hidden="false" customHeight="false" outlineLevel="0" collapsed="false">
      <c r="A111" s="7" t="s">
        <v>48</v>
      </c>
      <c r="B111" s="7" t="s">
        <v>10</v>
      </c>
      <c r="C111" s="7" t="s">
        <v>49</v>
      </c>
      <c r="D111" s="7" t="s">
        <v>87</v>
      </c>
      <c r="E111" s="7" t="s">
        <v>51</v>
      </c>
      <c r="F111" s="7" t="s">
        <v>144</v>
      </c>
      <c r="G111" s="8" t="b">
        <f aca="false">TRUE()</f>
        <v>1</v>
      </c>
      <c r="H111" s="8" t="b">
        <f aca="false">TRUE()</f>
        <v>1</v>
      </c>
      <c r="I111" s="7" t="str">
        <f aca="false">IF(AND(G111,H111),"PASS_TO_PASS",IF(G111,"PASS_TO_FAIL",IF(H111,"FAIL_TO_PASS","FAIL_TO_FAIL")))</f>
        <v>PASS_TO_PASS</v>
      </c>
    </row>
    <row r="112" customFormat="false" ht="15" hidden="false" customHeight="false" outlineLevel="0" collapsed="false">
      <c r="A112" s="7" t="s">
        <v>48</v>
      </c>
      <c r="B112" s="7" t="s">
        <v>10</v>
      </c>
      <c r="C112" s="7" t="s">
        <v>49</v>
      </c>
      <c r="D112" s="7" t="s">
        <v>87</v>
      </c>
      <c r="E112" s="7" t="s">
        <v>51</v>
      </c>
      <c r="F112" s="7" t="s">
        <v>145</v>
      </c>
      <c r="G112" s="8" t="b">
        <f aca="false">TRUE()</f>
        <v>1</v>
      </c>
      <c r="H112" s="8" t="b">
        <f aca="false">TRUE()</f>
        <v>1</v>
      </c>
      <c r="I112" s="7" t="str">
        <f aca="false">IF(AND(G112,H112),"PASS_TO_PASS",IF(G112,"PASS_TO_FAIL",IF(H112,"FAIL_TO_PASS","FAIL_TO_FAIL")))</f>
        <v>PASS_TO_PASS</v>
      </c>
    </row>
    <row r="113" customFormat="false" ht="15" hidden="false" customHeight="false" outlineLevel="0" collapsed="false">
      <c r="A113" s="7" t="s">
        <v>82</v>
      </c>
      <c r="B113" s="7" t="s">
        <v>83</v>
      </c>
      <c r="C113" s="7" t="s">
        <v>49</v>
      </c>
      <c r="D113" s="7" t="s">
        <v>87</v>
      </c>
      <c r="E113" s="7" t="s">
        <v>51</v>
      </c>
      <c r="F113" s="7" t="s">
        <v>134</v>
      </c>
      <c r="G113" s="8" t="b">
        <f aca="false">TRUE()</f>
        <v>1</v>
      </c>
      <c r="H113" s="8" t="b">
        <f aca="false">TRUE()</f>
        <v>1</v>
      </c>
      <c r="I113" s="7" t="str">
        <f aca="false">IF(AND(G113,H113),"PASS_TO_PASS",IF(G113,"PASS_TO_FAIL",IF(H113,"FAIL_TO_PASS","FAIL_TO_FAIL")))</f>
        <v>PASS_TO_PASS</v>
      </c>
    </row>
    <row r="114" customFormat="false" ht="15" hidden="false" customHeight="false" outlineLevel="0" collapsed="false">
      <c r="A114" s="7" t="s">
        <v>82</v>
      </c>
      <c r="B114" s="7" t="s">
        <v>83</v>
      </c>
      <c r="C114" s="7" t="s">
        <v>49</v>
      </c>
      <c r="D114" s="7" t="s">
        <v>87</v>
      </c>
      <c r="E114" s="7" t="s">
        <v>51</v>
      </c>
      <c r="F114" s="7" t="s">
        <v>135</v>
      </c>
      <c r="G114" s="8" t="b">
        <f aca="false">TRUE()</f>
        <v>1</v>
      </c>
      <c r="H114" s="8" t="b">
        <f aca="false">TRUE()</f>
        <v>1</v>
      </c>
      <c r="I114" s="7" t="str">
        <f aca="false">IF(AND(G114,H114),"PASS_TO_PASS",IF(G114,"PASS_TO_FAIL",IF(H114,"FAIL_TO_PASS","FAIL_TO_FAIL")))</f>
        <v>PASS_TO_PASS</v>
      </c>
    </row>
    <row r="115" customFormat="false" ht="15" hidden="false" customHeight="false" outlineLevel="0" collapsed="false">
      <c r="A115" s="7" t="s">
        <v>82</v>
      </c>
      <c r="B115" s="7" t="s">
        <v>83</v>
      </c>
      <c r="C115" s="7" t="s">
        <v>49</v>
      </c>
      <c r="D115" s="7" t="s">
        <v>87</v>
      </c>
      <c r="E115" s="7" t="s">
        <v>51</v>
      </c>
      <c r="F115" s="7" t="s">
        <v>136</v>
      </c>
      <c r="G115" s="8" t="b">
        <f aca="false">TRUE()</f>
        <v>1</v>
      </c>
      <c r="H115" s="8" t="b">
        <f aca="false">TRUE()</f>
        <v>1</v>
      </c>
      <c r="I115" s="7" t="str">
        <f aca="false">IF(AND(G115,H115),"PASS_TO_PASS",IF(G115,"PASS_TO_FAIL",IF(H115,"FAIL_TO_PASS","FAIL_TO_FAIL")))</f>
        <v>PASS_TO_PASS</v>
      </c>
    </row>
    <row r="116" customFormat="false" ht="15" hidden="false" customHeight="false" outlineLevel="0" collapsed="false">
      <c r="A116" s="7" t="s">
        <v>82</v>
      </c>
      <c r="B116" s="7" t="s">
        <v>83</v>
      </c>
      <c r="C116" s="7" t="s">
        <v>49</v>
      </c>
      <c r="D116" s="7" t="s">
        <v>87</v>
      </c>
      <c r="E116" s="7" t="s">
        <v>51</v>
      </c>
      <c r="F116" s="7" t="s">
        <v>137</v>
      </c>
      <c r="G116" s="8" t="b">
        <f aca="false">TRUE()</f>
        <v>1</v>
      </c>
      <c r="H116" s="8" t="b">
        <f aca="false">FALSE()</f>
        <v>0</v>
      </c>
      <c r="I116" s="7" t="str">
        <f aca="false">IF(AND(G116,H116),"PASS_TO_PASS",IF(G116,"PASS_TO_FAIL",IF(H116,"FAIL_TO_PASS","FAIL_TO_FAIL")))</f>
        <v>PASS_TO_FAIL</v>
      </c>
    </row>
    <row r="117" customFormat="false" ht="15" hidden="false" customHeight="false" outlineLevel="0" collapsed="false">
      <c r="A117" s="7" t="s">
        <v>82</v>
      </c>
      <c r="B117" s="7" t="s">
        <v>83</v>
      </c>
      <c r="C117" s="7" t="s">
        <v>49</v>
      </c>
      <c r="D117" s="7" t="s">
        <v>87</v>
      </c>
      <c r="E117" s="7" t="s">
        <v>51</v>
      </c>
      <c r="F117" s="7" t="s">
        <v>138</v>
      </c>
      <c r="G117" s="8" t="b">
        <f aca="false">TRUE()</f>
        <v>1</v>
      </c>
      <c r="H117" s="8" t="b">
        <f aca="false">TRUE()</f>
        <v>1</v>
      </c>
      <c r="I117" s="7" t="str">
        <f aca="false">IF(AND(G117,H117),"PASS_TO_PASS",IF(G117,"PASS_TO_FAIL",IF(H117,"FAIL_TO_PASS","FAIL_TO_FAIL")))</f>
        <v>PASS_TO_PASS</v>
      </c>
    </row>
    <row r="118" customFormat="false" ht="15" hidden="false" customHeight="false" outlineLevel="0" collapsed="false">
      <c r="A118" s="7" t="s">
        <v>82</v>
      </c>
      <c r="B118" s="7" t="s">
        <v>83</v>
      </c>
      <c r="C118" s="7" t="s">
        <v>49</v>
      </c>
      <c r="D118" s="7" t="s">
        <v>87</v>
      </c>
      <c r="E118" s="7" t="s">
        <v>51</v>
      </c>
      <c r="F118" s="7" t="s">
        <v>139</v>
      </c>
      <c r="G118" s="8" t="b">
        <f aca="false">TRUE()</f>
        <v>1</v>
      </c>
      <c r="H118" s="8" t="b">
        <f aca="false">TRUE()</f>
        <v>1</v>
      </c>
      <c r="I118" s="7" t="str">
        <f aca="false">IF(AND(G118,H118),"PASS_TO_PASS",IF(G118,"PASS_TO_FAIL",IF(H118,"FAIL_TO_PASS","FAIL_TO_FAIL")))</f>
        <v>PASS_TO_PASS</v>
      </c>
    </row>
    <row r="119" customFormat="false" ht="15" hidden="false" customHeight="false" outlineLevel="0" collapsed="false">
      <c r="A119" s="7" t="s">
        <v>82</v>
      </c>
      <c r="B119" s="7" t="s">
        <v>83</v>
      </c>
      <c r="C119" s="7" t="s">
        <v>49</v>
      </c>
      <c r="D119" s="7" t="s">
        <v>87</v>
      </c>
      <c r="E119" s="7" t="s">
        <v>51</v>
      </c>
      <c r="F119" s="7" t="s">
        <v>140</v>
      </c>
      <c r="G119" s="8" t="b">
        <f aca="false">TRUE()</f>
        <v>1</v>
      </c>
      <c r="H119" s="8" t="b">
        <f aca="false">TRUE()</f>
        <v>1</v>
      </c>
      <c r="I119" s="7" t="str">
        <f aca="false">IF(AND(G119,H119),"PASS_TO_PASS",IF(G119,"PASS_TO_FAIL",IF(H119,"FAIL_TO_PASS","FAIL_TO_FAIL")))</f>
        <v>PASS_TO_PASS</v>
      </c>
    </row>
    <row r="120" customFormat="false" ht="15" hidden="false" customHeight="false" outlineLevel="0" collapsed="false">
      <c r="A120" s="7" t="s">
        <v>82</v>
      </c>
      <c r="B120" s="7" t="s">
        <v>83</v>
      </c>
      <c r="C120" s="7" t="s">
        <v>49</v>
      </c>
      <c r="D120" s="7" t="s">
        <v>87</v>
      </c>
      <c r="E120" s="7" t="s">
        <v>51</v>
      </c>
      <c r="F120" s="7" t="s">
        <v>141</v>
      </c>
      <c r="G120" s="8" t="b">
        <f aca="false">TRUE()</f>
        <v>1</v>
      </c>
      <c r="H120" s="8" t="b">
        <f aca="false">TRUE()</f>
        <v>1</v>
      </c>
      <c r="I120" s="7" t="str">
        <f aca="false">IF(AND(G120,H120),"PASS_TO_PASS",IF(G120,"PASS_TO_FAIL",IF(H120,"FAIL_TO_PASS","FAIL_TO_FAIL")))</f>
        <v>PASS_TO_PASS</v>
      </c>
    </row>
    <row r="121" customFormat="false" ht="15" hidden="false" customHeight="false" outlineLevel="0" collapsed="false">
      <c r="A121" s="7" t="s">
        <v>82</v>
      </c>
      <c r="B121" s="7" t="s">
        <v>83</v>
      </c>
      <c r="C121" s="7" t="s">
        <v>49</v>
      </c>
      <c r="D121" s="7" t="s">
        <v>87</v>
      </c>
      <c r="E121" s="7" t="s">
        <v>51</v>
      </c>
      <c r="F121" s="7" t="s">
        <v>142</v>
      </c>
      <c r="G121" s="8" t="b">
        <f aca="false">TRUE()</f>
        <v>1</v>
      </c>
      <c r="H121" s="8" t="b">
        <f aca="false">TRUE()</f>
        <v>1</v>
      </c>
      <c r="I121" s="7" t="str">
        <f aca="false">IF(AND(G121,H121),"PASS_TO_PASS",IF(G121,"PASS_TO_FAIL",IF(H121,"FAIL_TO_PASS","FAIL_TO_FAIL")))</f>
        <v>PASS_TO_PASS</v>
      </c>
    </row>
    <row r="122" customFormat="false" ht="15" hidden="false" customHeight="false" outlineLevel="0" collapsed="false">
      <c r="A122" s="7" t="s">
        <v>82</v>
      </c>
      <c r="B122" s="7" t="s">
        <v>83</v>
      </c>
      <c r="C122" s="7" t="s">
        <v>49</v>
      </c>
      <c r="D122" s="7" t="s">
        <v>87</v>
      </c>
      <c r="E122" s="7" t="s">
        <v>51</v>
      </c>
      <c r="F122" s="7" t="s">
        <v>143</v>
      </c>
      <c r="G122" s="8" t="b">
        <f aca="false">TRUE()</f>
        <v>1</v>
      </c>
      <c r="H122" s="8" t="b">
        <f aca="false">TRUE()</f>
        <v>1</v>
      </c>
      <c r="I122" s="7" t="str">
        <f aca="false">IF(AND(G122,H122),"PASS_TO_PASS",IF(G122,"PASS_TO_FAIL",IF(H122,"FAIL_TO_PASS","FAIL_TO_FAIL")))</f>
        <v>PASS_TO_PASS</v>
      </c>
    </row>
    <row r="123" customFormat="false" ht="15" hidden="false" customHeight="false" outlineLevel="0" collapsed="false">
      <c r="A123" s="7" t="s">
        <v>82</v>
      </c>
      <c r="B123" s="7" t="s">
        <v>83</v>
      </c>
      <c r="C123" s="7" t="s">
        <v>49</v>
      </c>
      <c r="D123" s="7" t="s">
        <v>87</v>
      </c>
      <c r="E123" s="7" t="s">
        <v>51</v>
      </c>
      <c r="F123" s="7" t="s">
        <v>144</v>
      </c>
      <c r="G123" s="8" t="b">
        <f aca="false">TRUE()</f>
        <v>1</v>
      </c>
      <c r="H123" s="8" t="b">
        <f aca="false">TRUE()</f>
        <v>1</v>
      </c>
      <c r="I123" s="7" t="str">
        <f aca="false">IF(AND(G123,H123),"PASS_TO_PASS",IF(G123,"PASS_TO_FAIL",IF(H123,"FAIL_TO_PASS","FAIL_TO_FAIL")))</f>
        <v>PASS_TO_PASS</v>
      </c>
    </row>
    <row r="124" customFormat="false" ht="15" hidden="false" customHeight="false" outlineLevel="0" collapsed="false">
      <c r="A124" s="7" t="s">
        <v>82</v>
      </c>
      <c r="B124" s="7" t="s">
        <v>83</v>
      </c>
      <c r="C124" s="7" t="s">
        <v>49</v>
      </c>
      <c r="D124" s="7" t="s">
        <v>87</v>
      </c>
      <c r="E124" s="7" t="s">
        <v>51</v>
      </c>
      <c r="F124" s="7" t="s">
        <v>145</v>
      </c>
      <c r="G124" s="8" t="b">
        <f aca="false">TRUE()</f>
        <v>1</v>
      </c>
      <c r="H124" s="8" t="b">
        <f aca="false">TRUE()</f>
        <v>1</v>
      </c>
      <c r="I124" s="7" t="str">
        <f aca="false">IF(AND(G124,H124),"PASS_TO_PASS",IF(G124,"PASS_TO_FAIL",IF(H124,"FAIL_TO_PASS","FAIL_TO_FAIL")))</f>
        <v>PASS_TO_PASS</v>
      </c>
    </row>
    <row r="125" customFormat="false" ht="15" hidden="false" customHeight="false" outlineLevel="0" collapsed="false">
      <c r="A125" s="7" t="s">
        <v>48</v>
      </c>
      <c r="B125" s="7" t="s">
        <v>10</v>
      </c>
      <c r="C125" s="7" t="s">
        <v>49</v>
      </c>
      <c r="D125" s="7" t="s">
        <v>88</v>
      </c>
      <c r="E125" s="7" t="s">
        <v>51</v>
      </c>
      <c r="F125" s="7" t="s">
        <v>134</v>
      </c>
      <c r="G125" s="8" t="b">
        <f aca="false">TRUE()</f>
        <v>1</v>
      </c>
      <c r="H125" s="8" t="b">
        <f aca="false">TRUE()</f>
        <v>1</v>
      </c>
      <c r="I125" s="7" t="str">
        <f aca="false">IF(AND(G125,H125),"PASS_TO_PASS",IF(G125,"PASS_TO_FAIL",IF(H125,"FAIL_TO_PASS","FAIL_TO_FAIL")))</f>
        <v>PASS_TO_PASS</v>
      </c>
    </row>
    <row r="126" customFormat="false" ht="15" hidden="false" customHeight="false" outlineLevel="0" collapsed="false">
      <c r="A126" s="7" t="s">
        <v>48</v>
      </c>
      <c r="B126" s="7" t="s">
        <v>10</v>
      </c>
      <c r="C126" s="7" t="s">
        <v>49</v>
      </c>
      <c r="D126" s="7" t="s">
        <v>88</v>
      </c>
      <c r="E126" s="7" t="s">
        <v>51</v>
      </c>
      <c r="F126" s="7" t="s">
        <v>135</v>
      </c>
      <c r="G126" s="8" t="b">
        <f aca="false">TRUE()</f>
        <v>1</v>
      </c>
      <c r="H126" s="8" t="b">
        <f aca="false">TRUE()</f>
        <v>1</v>
      </c>
      <c r="I126" s="7" t="str">
        <f aca="false">IF(AND(G126,H126),"PASS_TO_PASS",IF(G126,"PASS_TO_FAIL",IF(H126,"FAIL_TO_PASS","FAIL_TO_FAIL")))</f>
        <v>PASS_TO_PASS</v>
      </c>
    </row>
    <row r="127" customFormat="false" ht="15" hidden="false" customHeight="false" outlineLevel="0" collapsed="false">
      <c r="A127" s="7" t="s">
        <v>48</v>
      </c>
      <c r="B127" s="7" t="s">
        <v>10</v>
      </c>
      <c r="C127" s="7" t="s">
        <v>49</v>
      </c>
      <c r="D127" s="7" t="s">
        <v>88</v>
      </c>
      <c r="E127" s="7" t="s">
        <v>51</v>
      </c>
      <c r="F127" s="7" t="s">
        <v>136</v>
      </c>
      <c r="G127" s="8" t="b">
        <f aca="false">TRUE()</f>
        <v>1</v>
      </c>
      <c r="H127" s="8" t="b">
        <f aca="false">TRUE()</f>
        <v>1</v>
      </c>
      <c r="I127" s="7" t="str">
        <f aca="false">IF(AND(G127,H127),"PASS_TO_PASS",IF(G127,"PASS_TO_FAIL",IF(H127,"FAIL_TO_PASS","FAIL_TO_FAIL")))</f>
        <v>PASS_TO_PASS</v>
      </c>
    </row>
    <row r="128" customFormat="false" ht="15" hidden="false" customHeight="false" outlineLevel="0" collapsed="false">
      <c r="A128" s="7" t="s">
        <v>48</v>
      </c>
      <c r="B128" s="7" t="s">
        <v>10</v>
      </c>
      <c r="C128" s="7" t="s">
        <v>49</v>
      </c>
      <c r="D128" s="7" t="s">
        <v>88</v>
      </c>
      <c r="E128" s="7" t="s">
        <v>51</v>
      </c>
      <c r="F128" s="7" t="s">
        <v>137</v>
      </c>
      <c r="G128" s="8" t="b">
        <f aca="false">TRUE()</f>
        <v>1</v>
      </c>
      <c r="H128" s="8" t="b">
        <f aca="false">TRUE()</f>
        <v>1</v>
      </c>
      <c r="I128" s="7" t="str">
        <f aca="false">IF(AND(G128,H128),"PASS_TO_PASS",IF(G128,"PASS_TO_FAIL",IF(H128,"FAIL_TO_PASS","FAIL_TO_FAIL")))</f>
        <v>PASS_TO_PASS</v>
      </c>
    </row>
    <row r="129" customFormat="false" ht="15" hidden="false" customHeight="false" outlineLevel="0" collapsed="false">
      <c r="A129" s="7" t="s">
        <v>48</v>
      </c>
      <c r="B129" s="7" t="s">
        <v>10</v>
      </c>
      <c r="C129" s="7" t="s">
        <v>49</v>
      </c>
      <c r="D129" s="7" t="s">
        <v>88</v>
      </c>
      <c r="E129" s="7" t="s">
        <v>51</v>
      </c>
      <c r="F129" s="7" t="s">
        <v>138</v>
      </c>
      <c r="G129" s="8" t="b">
        <f aca="false">TRUE()</f>
        <v>1</v>
      </c>
      <c r="H129" s="8" t="b">
        <f aca="false">FALSE()</f>
        <v>0</v>
      </c>
      <c r="I129" s="7" t="str">
        <f aca="false">IF(AND(G129,H129),"PASS_TO_PASS",IF(G129,"PASS_TO_FAIL",IF(H129,"FAIL_TO_PASS","FAIL_TO_FAIL")))</f>
        <v>PASS_TO_FAIL</v>
      </c>
    </row>
    <row r="130" customFormat="false" ht="15" hidden="false" customHeight="false" outlineLevel="0" collapsed="false">
      <c r="A130" s="7" t="s">
        <v>48</v>
      </c>
      <c r="B130" s="7" t="s">
        <v>10</v>
      </c>
      <c r="C130" s="7" t="s">
        <v>49</v>
      </c>
      <c r="D130" s="7" t="s">
        <v>88</v>
      </c>
      <c r="E130" s="7" t="s">
        <v>51</v>
      </c>
      <c r="F130" s="7" t="s">
        <v>139</v>
      </c>
      <c r="G130" s="8" t="b">
        <f aca="false">TRUE()</f>
        <v>1</v>
      </c>
      <c r="H130" s="8" t="b">
        <f aca="false">TRUE()</f>
        <v>1</v>
      </c>
      <c r="I130" s="7" t="str">
        <f aca="false">IF(AND(G130,H130),"PASS_TO_PASS",IF(G130,"PASS_TO_FAIL",IF(H130,"FAIL_TO_PASS","FAIL_TO_FAIL")))</f>
        <v>PASS_TO_PASS</v>
      </c>
    </row>
    <row r="131" customFormat="false" ht="15" hidden="false" customHeight="false" outlineLevel="0" collapsed="false">
      <c r="A131" s="7" t="s">
        <v>48</v>
      </c>
      <c r="B131" s="7" t="s">
        <v>10</v>
      </c>
      <c r="C131" s="7" t="s">
        <v>49</v>
      </c>
      <c r="D131" s="7" t="s">
        <v>88</v>
      </c>
      <c r="E131" s="7" t="s">
        <v>51</v>
      </c>
      <c r="F131" s="7" t="s">
        <v>140</v>
      </c>
      <c r="G131" s="8" t="b">
        <f aca="false">TRUE()</f>
        <v>1</v>
      </c>
      <c r="H131" s="8" t="b">
        <f aca="false">TRUE()</f>
        <v>1</v>
      </c>
      <c r="I131" s="7" t="str">
        <f aca="false">IF(AND(G131,H131),"PASS_TO_PASS",IF(G131,"PASS_TO_FAIL",IF(H131,"FAIL_TO_PASS","FAIL_TO_FAIL")))</f>
        <v>PASS_TO_PASS</v>
      </c>
    </row>
    <row r="132" customFormat="false" ht="15" hidden="false" customHeight="false" outlineLevel="0" collapsed="false">
      <c r="A132" s="7" t="s">
        <v>48</v>
      </c>
      <c r="B132" s="7" t="s">
        <v>10</v>
      </c>
      <c r="C132" s="7" t="s">
        <v>49</v>
      </c>
      <c r="D132" s="7" t="s">
        <v>88</v>
      </c>
      <c r="E132" s="7" t="s">
        <v>51</v>
      </c>
      <c r="F132" s="7" t="s">
        <v>141</v>
      </c>
      <c r="G132" s="8" t="b">
        <f aca="false">TRUE()</f>
        <v>1</v>
      </c>
      <c r="H132" s="8" t="b">
        <f aca="false">TRUE()</f>
        <v>1</v>
      </c>
      <c r="I132" s="7" t="str">
        <f aca="false">IF(AND(G132,H132),"PASS_TO_PASS",IF(G132,"PASS_TO_FAIL",IF(H132,"FAIL_TO_PASS","FAIL_TO_FAIL")))</f>
        <v>PASS_TO_PASS</v>
      </c>
    </row>
    <row r="133" customFormat="false" ht="15" hidden="false" customHeight="false" outlineLevel="0" collapsed="false">
      <c r="A133" s="7" t="s">
        <v>48</v>
      </c>
      <c r="B133" s="7" t="s">
        <v>10</v>
      </c>
      <c r="C133" s="7" t="s">
        <v>49</v>
      </c>
      <c r="D133" s="7" t="s">
        <v>88</v>
      </c>
      <c r="E133" s="7" t="s">
        <v>51</v>
      </c>
      <c r="F133" s="7" t="s">
        <v>142</v>
      </c>
      <c r="G133" s="8" t="b">
        <f aca="false">TRUE()</f>
        <v>1</v>
      </c>
      <c r="H133" s="8" t="b">
        <f aca="false">TRUE()</f>
        <v>1</v>
      </c>
      <c r="I133" s="7" t="str">
        <f aca="false">IF(AND(G133,H133),"PASS_TO_PASS",IF(G133,"PASS_TO_FAIL",IF(H133,"FAIL_TO_PASS","FAIL_TO_FAIL")))</f>
        <v>PASS_TO_PASS</v>
      </c>
    </row>
    <row r="134" customFormat="false" ht="15" hidden="false" customHeight="false" outlineLevel="0" collapsed="false">
      <c r="A134" s="7" t="s">
        <v>48</v>
      </c>
      <c r="B134" s="7" t="s">
        <v>10</v>
      </c>
      <c r="C134" s="7" t="s">
        <v>49</v>
      </c>
      <c r="D134" s="7" t="s">
        <v>88</v>
      </c>
      <c r="E134" s="7" t="s">
        <v>51</v>
      </c>
      <c r="F134" s="7" t="s">
        <v>143</v>
      </c>
      <c r="G134" s="8" t="b">
        <f aca="false">TRUE()</f>
        <v>1</v>
      </c>
      <c r="H134" s="8" t="b">
        <f aca="false">FALSE()</f>
        <v>0</v>
      </c>
      <c r="I134" s="7" t="str">
        <f aca="false">IF(AND(G134,H134),"PASS_TO_PASS",IF(G134,"PASS_TO_FAIL",IF(H134,"FAIL_TO_PASS","FAIL_TO_FAIL")))</f>
        <v>PASS_TO_FAIL</v>
      </c>
    </row>
    <row r="135" customFormat="false" ht="15" hidden="false" customHeight="false" outlineLevel="0" collapsed="false">
      <c r="A135" s="7" t="s">
        <v>48</v>
      </c>
      <c r="B135" s="7" t="s">
        <v>10</v>
      </c>
      <c r="C135" s="7" t="s">
        <v>49</v>
      </c>
      <c r="D135" s="7" t="s">
        <v>88</v>
      </c>
      <c r="E135" s="7" t="s">
        <v>51</v>
      </c>
      <c r="F135" s="7" t="s">
        <v>144</v>
      </c>
      <c r="G135" s="8" t="b">
        <f aca="false">TRUE()</f>
        <v>1</v>
      </c>
      <c r="H135" s="8" t="b">
        <f aca="false">TRUE()</f>
        <v>1</v>
      </c>
      <c r="I135" s="7" t="str">
        <f aca="false">IF(AND(G135,H135),"PASS_TO_PASS",IF(G135,"PASS_TO_FAIL",IF(H135,"FAIL_TO_PASS","FAIL_TO_FAIL")))</f>
        <v>PASS_TO_PASS</v>
      </c>
    </row>
    <row r="136" customFormat="false" ht="15" hidden="false" customHeight="false" outlineLevel="0" collapsed="false">
      <c r="A136" s="7" t="s">
        <v>48</v>
      </c>
      <c r="B136" s="7" t="s">
        <v>10</v>
      </c>
      <c r="C136" s="7" t="s">
        <v>49</v>
      </c>
      <c r="D136" s="7" t="s">
        <v>88</v>
      </c>
      <c r="E136" s="7" t="s">
        <v>51</v>
      </c>
      <c r="F136" s="7" t="s">
        <v>145</v>
      </c>
      <c r="G136" s="8" t="b">
        <f aca="false">TRUE()</f>
        <v>1</v>
      </c>
      <c r="H136" s="8" t="b">
        <f aca="false">TRUE()</f>
        <v>1</v>
      </c>
      <c r="I136" s="7" t="str">
        <f aca="false">IF(AND(G136,H136),"PASS_TO_PASS",IF(G136,"PASS_TO_FAIL",IF(H136,"FAIL_TO_PASS","FAIL_TO_FAIL")))</f>
        <v>PASS_TO_PASS</v>
      </c>
    </row>
    <row r="137" customFormat="false" ht="15" hidden="false" customHeight="false" outlineLevel="0" collapsed="false">
      <c r="A137" s="7" t="s">
        <v>82</v>
      </c>
      <c r="B137" s="7" t="s">
        <v>83</v>
      </c>
      <c r="C137" s="7" t="s">
        <v>49</v>
      </c>
      <c r="D137" s="7" t="s">
        <v>88</v>
      </c>
      <c r="E137" s="7" t="s">
        <v>51</v>
      </c>
      <c r="F137" s="7" t="s">
        <v>134</v>
      </c>
      <c r="G137" s="8" t="b">
        <f aca="false">TRUE()</f>
        <v>1</v>
      </c>
      <c r="H137" s="8" t="b">
        <f aca="false">TRUE()</f>
        <v>1</v>
      </c>
      <c r="I137" s="7" t="str">
        <f aca="false">IF(AND(G137,H137),"PASS_TO_PASS",IF(G137,"PASS_TO_FAIL",IF(H137,"FAIL_TO_PASS","FAIL_TO_FAIL")))</f>
        <v>PASS_TO_PASS</v>
      </c>
    </row>
    <row r="138" customFormat="false" ht="15" hidden="false" customHeight="false" outlineLevel="0" collapsed="false">
      <c r="A138" s="7" t="s">
        <v>82</v>
      </c>
      <c r="B138" s="7" t="s">
        <v>83</v>
      </c>
      <c r="C138" s="7" t="s">
        <v>49</v>
      </c>
      <c r="D138" s="7" t="s">
        <v>88</v>
      </c>
      <c r="E138" s="7" t="s">
        <v>51</v>
      </c>
      <c r="F138" s="7" t="s">
        <v>135</v>
      </c>
      <c r="G138" s="8" t="b">
        <f aca="false">TRUE()</f>
        <v>1</v>
      </c>
      <c r="H138" s="8" t="b">
        <f aca="false">TRUE()</f>
        <v>1</v>
      </c>
      <c r="I138" s="7" t="str">
        <f aca="false">IF(AND(G138,H138),"PASS_TO_PASS",IF(G138,"PASS_TO_FAIL",IF(H138,"FAIL_TO_PASS","FAIL_TO_FAIL")))</f>
        <v>PASS_TO_PASS</v>
      </c>
    </row>
    <row r="139" customFormat="false" ht="15" hidden="false" customHeight="false" outlineLevel="0" collapsed="false">
      <c r="A139" s="7" t="s">
        <v>82</v>
      </c>
      <c r="B139" s="7" t="s">
        <v>83</v>
      </c>
      <c r="C139" s="7" t="s">
        <v>49</v>
      </c>
      <c r="D139" s="7" t="s">
        <v>88</v>
      </c>
      <c r="E139" s="7" t="s">
        <v>51</v>
      </c>
      <c r="F139" s="7" t="s">
        <v>136</v>
      </c>
      <c r="G139" s="8" t="b">
        <f aca="false">TRUE()</f>
        <v>1</v>
      </c>
      <c r="H139" s="8" t="b">
        <f aca="false">TRUE()</f>
        <v>1</v>
      </c>
      <c r="I139" s="7" t="str">
        <f aca="false">IF(AND(G139,H139),"PASS_TO_PASS",IF(G139,"PASS_TO_FAIL",IF(H139,"FAIL_TO_PASS","FAIL_TO_FAIL")))</f>
        <v>PASS_TO_PASS</v>
      </c>
    </row>
    <row r="140" customFormat="false" ht="15" hidden="false" customHeight="false" outlineLevel="0" collapsed="false">
      <c r="A140" s="7" t="s">
        <v>82</v>
      </c>
      <c r="B140" s="7" t="s">
        <v>83</v>
      </c>
      <c r="C140" s="7" t="s">
        <v>49</v>
      </c>
      <c r="D140" s="7" t="s">
        <v>88</v>
      </c>
      <c r="E140" s="7" t="s">
        <v>51</v>
      </c>
      <c r="F140" s="7" t="s">
        <v>137</v>
      </c>
      <c r="G140" s="8" t="b">
        <f aca="false">FALSE()</f>
        <v>0</v>
      </c>
      <c r="H140" s="8" t="b">
        <f aca="false">TRUE()</f>
        <v>1</v>
      </c>
      <c r="I140" s="7" t="str">
        <f aca="false">IF(AND(G140,H140),"PASS_TO_PASS",IF(G140,"PASS_TO_FAIL",IF(H140,"FAIL_TO_PASS","FAIL_TO_FAIL")))</f>
        <v>FAIL_TO_PASS</v>
      </c>
    </row>
    <row r="141" customFormat="false" ht="15" hidden="false" customHeight="false" outlineLevel="0" collapsed="false">
      <c r="A141" s="7" t="s">
        <v>82</v>
      </c>
      <c r="B141" s="7" t="s">
        <v>83</v>
      </c>
      <c r="C141" s="7" t="s">
        <v>49</v>
      </c>
      <c r="D141" s="7" t="s">
        <v>88</v>
      </c>
      <c r="E141" s="7" t="s">
        <v>51</v>
      </c>
      <c r="F141" s="7" t="s">
        <v>138</v>
      </c>
      <c r="G141" s="8" t="b">
        <f aca="false">TRUE()</f>
        <v>1</v>
      </c>
      <c r="H141" s="8" t="b">
        <f aca="false">FALSE()</f>
        <v>0</v>
      </c>
      <c r="I141" s="7" t="str">
        <f aca="false">IF(AND(G141,H141),"PASS_TO_PASS",IF(G141,"PASS_TO_FAIL",IF(H141,"FAIL_TO_PASS","FAIL_TO_FAIL")))</f>
        <v>PASS_TO_FAIL</v>
      </c>
    </row>
    <row r="142" customFormat="false" ht="15" hidden="false" customHeight="false" outlineLevel="0" collapsed="false">
      <c r="A142" s="7" t="s">
        <v>82</v>
      </c>
      <c r="B142" s="7" t="s">
        <v>83</v>
      </c>
      <c r="C142" s="7" t="s">
        <v>49</v>
      </c>
      <c r="D142" s="7" t="s">
        <v>88</v>
      </c>
      <c r="E142" s="7" t="s">
        <v>51</v>
      </c>
      <c r="F142" s="7" t="s">
        <v>139</v>
      </c>
      <c r="G142" s="8" t="b">
        <f aca="false">TRUE()</f>
        <v>1</v>
      </c>
      <c r="H142" s="8" t="b">
        <f aca="false">TRUE()</f>
        <v>1</v>
      </c>
      <c r="I142" s="7" t="str">
        <f aca="false">IF(AND(G142,H142),"PASS_TO_PASS",IF(G142,"PASS_TO_FAIL",IF(H142,"FAIL_TO_PASS","FAIL_TO_FAIL")))</f>
        <v>PASS_TO_PASS</v>
      </c>
    </row>
    <row r="143" customFormat="false" ht="15" hidden="false" customHeight="false" outlineLevel="0" collapsed="false">
      <c r="A143" s="7" t="s">
        <v>82</v>
      </c>
      <c r="B143" s="7" t="s">
        <v>83</v>
      </c>
      <c r="C143" s="7" t="s">
        <v>49</v>
      </c>
      <c r="D143" s="7" t="s">
        <v>88</v>
      </c>
      <c r="E143" s="7" t="s">
        <v>51</v>
      </c>
      <c r="F143" s="7" t="s">
        <v>140</v>
      </c>
      <c r="G143" s="8" t="b">
        <f aca="false">FALSE()</f>
        <v>0</v>
      </c>
      <c r="H143" s="8" t="b">
        <f aca="false">TRUE()</f>
        <v>1</v>
      </c>
      <c r="I143" s="7" t="str">
        <f aca="false">IF(AND(G143,H143),"PASS_TO_PASS",IF(G143,"PASS_TO_FAIL",IF(H143,"FAIL_TO_PASS","FAIL_TO_FAIL")))</f>
        <v>FAIL_TO_PASS</v>
      </c>
    </row>
    <row r="144" customFormat="false" ht="15" hidden="false" customHeight="false" outlineLevel="0" collapsed="false">
      <c r="A144" s="7" t="s">
        <v>82</v>
      </c>
      <c r="B144" s="7" t="s">
        <v>83</v>
      </c>
      <c r="C144" s="7" t="s">
        <v>49</v>
      </c>
      <c r="D144" s="7" t="s">
        <v>88</v>
      </c>
      <c r="E144" s="7" t="s">
        <v>51</v>
      </c>
      <c r="F144" s="7" t="s">
        <v>141</v>
      </c>
      <c r="G144" s="8" t="b">
        <f aca="false">TRUE()</f>
        <v>1</v>
      </c>
      <c r="H144" s="8" t="b">
        <f aca="false">TRUE()</f>
        <v>1</v>
      </c>
      <c r="I144" s="7" t="str">
        <f aca="false">IF(AND(G144,H144),"PASS_TO_PASS",IF(G144,"PASS_TO_FAIL",IF(H144,"FAIL_TO_PASS","FAIL_TO_FAIL")))</f>
        <v>PASS_TO_PASS</v>
      </c>
    </row>
    <row r="145" customFormat="false" ht="15" hidden="false" customHeight="false" outlineLevel="0" collapsed="false">
      <c r="A145" s="7" t="s">
        <v>82</v>
      </c>
      <c r="B145" s="7" t="s">
        <v>83</v>
      </c>
      <c r="C145" s="7" t="s">
        <v>49</v>
      </c>
      <c r="D145" s="7" t="s">
        <v>88</v>
      </c>
      <c r="E145" s="7" t="s">
        <v>51</v>
      </c>
      <c r="F145" s="7" t="s">
        <v>142</v>
      </c>
      <c r="G145" s="8" t="b">
        <f aca="false">FALSE()</f>
        <v>0</v>
      </c>
      <c r="H145" s="8" t="b">
        <f aca="false">TRUE()</f>
        <v>1</v>
      </c>
      <c r="I145" s="7" t="str">
        <f aca="false">IF(AND(G145,H145),"PASS_TO_PASS",IF(G145,"PASS_TO_FAIL",IF(H145,"FAIL_TO_PASS","FAIL_TO_FAIL")))</f>
        <v>FAIL_TO_PASS</v>
      </c>
    </row>
    <row r="146" customFormat="false" ht="15" hidden="false" customHeight="false" outlineLevel="0" collapsed="false">
      <c r="A146" s="7" t="s">
        <v>82</v>
      </c>
      <c r="B146" s="7" t="s">
        <v>83</v>
      </c>
      <c r="C146" s="7" t="s">
        <v>49</v>
      </c>
      <c r="D146" s="7" t="s">
        <v>88</v>
      </c>
      <c r="E146" s="7" t="s">
        <v>51</v>
      </c>
      <c r="F146" s="7" t="s">
        <v>143</v>
      </c>
      <c r="G146" s="8" t="b">
        <f aca="false">FALSE()</f>
        <v>0</v>
      </c>
      <c r="H146" s="8" t="b">
        <f aca="false">FALSE()</f>
        <v>0</v>
      </c>
      <c r="I146" s="7" t="str">
        <f aca="false">IF(AND(G146,H146),"PASS_TO_PASS",IF(G146,"PASS_TO_FAIL",IF(H146,"FAIL_TO_PASS","FAIL_TO_FAIL")))</f>
        <v>FAIL_TO_FAIL</v>
      </c>
    </row>
    <row r="147" customFormat="false" ht="15" hidden="false" customHeight="false" outlineLevel="0" collapsed="false">
      <c r="A147" s="7" t="s">
        <v>82</v>
      </c>
      <c r="B147" s="7" t="s">
        <v>83</v>
      </c>
      <c r="C147" s="7" t="s">
        <v>49</v>
      </c>
      <c r="D147" s="7" t="s">
        <v>88</v>
      </c>
      <c r="E147" s="7" t="s">
        <v>51</v>
      </c>
      <c r="F147" s="7" t="s">
        <v>144</v>
      </c>
      <c r="G147" s="8" t="b">
        <f aca="false">TRUE()</f>
        <v>1</v>
      </c>
      <c r="H147" s="8" t="b">
        <f aca="false">TRUE()</f>
        <v>1</v>
      </c>
      <c r="I147" s="7" t="str">
        <f aca="false">IF(AND(G147,H147),"PASS_TO_PASS",IF(G147,"PASS_TO_FAIL",IF(H147,"FAIL_TO_PASS","FAIL_TO_FAIL")))</f>
        <v>PASS_TO_PASS</v>
      </c>
    </row>
    <row r="148" customFormat="false" ht="15" hidden="false" customHeight="false" outlineLevel="0" collapsed="false">
      <c r="A148" s="7" t="s">
        <v>82</v>
      </c>
      <c r="B148" s="7" t="s">
        <v>83</v>
      </c>
      <c r="C148" s="7" t="s">
        <v>49</v>
      </c>
      <c r="D148" s="7" t="s">
        <v>88</v>
      </c>
      <c r="E148" s="7" t="s">
        <v>51</v>
      </c>
      <c r="F148" s="7" t="s">
        <v>145</v>
      </c>
      <c r="G148" s="8" t="b">
        <f aca="false">TRUE()</f>
        <v>1</v>
      </c>
      <c r="H148" s="8" t="b">
        <f aca="false">TRUE()</f>
        <v>1</v>
      </c>
      <c r="I148" s="7" t="str">
        <f aca="false">IF(AND(G148,H148),"PASS_TO_PASS",IF(G148,"PASS_TO_FAIL",IF(H148,"FAIL_TO_PASS","FAIL_TO_FAIL")))</f>
        <v>PASS_TO_PASS</v>
      </c>
    </row>
    <row r="149" customFormat="false" ht="15" hidden="false" customHeight="false" outlineLevel="0" collapsed="false">
      <c r="A149" s="7" t="s">
        <v>48</v>
      </c>
      <c r="B149" s="7" t="s">
        <v>10</v>
      </c>
      <c r="C149" s="7" t="s">
        <v>49</v>
      </c>
      <c r="D149" s="7" t="s">
        <v>89</v>
      </c>
      <c r="E149" s="7" t="s">
        <v>51</v>
      </c>
      <c r="F149" s="7" t="s">
        <v>134</v>
      </c>
      <c r="G149" s="8" t="b">
        <f aca="false">TRUE()</f>
        <v>1</v>
      </c>
      <c r="H149" s="8" t="b">
        <f aca="false">TRUE()</f>
        <v>1</v>
      </c>
      <c r="I149" s="7" t="str">
        <f aca="false">IF(AND(G149,H149),"PASS_TO_PASS",IF(G149,"PASS_TO_FAIL",IF(H149,"FAIL_TO_PASS","FAIL_TO_FAIL")))</f>
        <v>PASS_TO_PASS</v>
      </c>
    </row>
    <row r="150" customFormat="false" ht="15" hidden="false" customHeight="false" outlineLevel="0" collapsed="false">
      <c r="A150" s="7" t="s">
        <v>48</v>
      </c>
      <c r="B150" s="7" t="s">
        <v>10</v>
      </c>
      <c r="C150" s="7" t="s">
        <v>49</v>
      </c>
      <c r="D150" s="7" t="s">
        <v>89</v>
      </c>
      <c r="E150" s="7" t="s">
        <v>51</v>
      </c>
      <c r="F150" s="7" t="s">
        <v>135</v>
      </c>
      <c r="G150" s="8" t="b">
        <f aca="false">TRUE()</f>
        <v>1</v>
      </c>
      <c r="H150" s="8" t="b">
        <f aca="false">TRUE()</f>
        <v>1</v>
      </c>
      <c r="I150" s="7" t="str">
        <f aca="false">IF(AND(G150,H150),"PASS_TO_PASS",IF(G150,"PASS_TO_FAIL",IF(H150,"FAIL_TO_PASS","FAIL_TO_FAIL")))</f>
        <v>PASS_TO_PASS</v>
      </c>
    </row>
    <row r="151" customFormat="false" ht="15" hidden="false" customHeight="false" outlineLevel="0" collapsed="false">
      <c r="A151" s="7" t="s">
        <v>48</v>
      </c>
      <c r="B151" s="7" t="s">
        <v>10</v>
      </c>
      <c r="C151" s="7" t="s">
        <v>49</v>
      </c>
      <c r="D151" s="7" t="s">
        <v>89</v>
      </c>
      <c r="E151" s="7" t="s">
        <v>51</v>
      </c>
      <c r="F151" s="7" t="s">
        <v>136</v>
      </c>
      <c r="G151" s="8" t="b">
        <f aca="false">TRUE()</f>
        <v>1</v>
      </c>
      <c r="H151" s="8" t="b">
        <f aca="false">TRUE()</f>
        <v>1</v>
      </c>
      <c r="I151" s="7" t="str">
        <f aca="false">IF(AND(G151,H151),"PASS_TO_PASS",IF(G151,"PASS_TO_FAIL",IF(H151,"FAIL_TO_PASS","FAIL_TO_FAIL")))</f>
        <v>PASS_TO_PASS</v>
      </c>
    </row>
    <row r="152" customFormat="false" ht="15" hidden="false" customHeight="false" outlineLevel="0" collapsed="false">
      <c r="A152" s="7" t="s">
        <v>48</v>
      </c>
      <c r="B152" s="7" t="s">
        <v>10</v>
      </c>
      <c r="C152" s="7" t="s">
        <v>49</v>
      </c>
      <c r="D152" s="7" t="s">
        <v>89</v>
      </c>
      <c r="E152" s="7" t="s">
        <v>51</v>
      </c>
      <c r="F152" s="7" t="s">
        <v>137</v>
      </c>
      <c r="G152" s="8" t="b">
        <f aca="false">FALSE()</f>
        <v>0</v>
      </c>
      <c r="H152" s="8" t="b">
        <f aca="false">FALSE()</f>
        <v>0</v>
      </c>
      <c r="I152" s="7" t="str">
        <f aca="false">IF(AND(G152,H152),"PASS_TO_PASS",IF(G152,"PASS_TO_FAIL",IF(H152,"FAIL_TO_PASS","FAIL_TO_FAIL")))</f>
        <v>FAIL_TO_FAIL</v>
      </c>
    </row>
    <row r="153" customFormat="false" ht="15" hidden="false" customHeight="false" outlineLevel="0" collapsed="false">
      <c r="A153" s="7" t="s">
        <v>48</v>
      </c>
      <c r="B153" s="7" t="s">
        <v>10</v>
      </c>
      <c r="C153" s="7" t="s">
        <v>49</v>
      </c>
      <c r="D153" s="7" t="s">
        <v>89</v>
      </c>
      <c r="E153" s="7" t="s">
        <v>51</v>
      </c>
      <c r="F153" s="7" t="s">
        <v>138</v>
      </c>
      <c r="G153" s="8" t="b">
        <f aca="false">TRUE()</f>
        <v>1</v>
      </c>
      <c r="H153" s="8" t="b">
        <f aca="false">TRUE()</f>
        <v>1</v>
      </c>
      <c r="I153" s="7" t="str">
        <f aca="false">IF(AND(G153,H153),"PASS_TO_PASS",IF(G153,"PASS_TO_FAIL",IF(H153,"FAIL_TO_PASS","FAIL_TO_FAIL")))</f>
        <v>PASS_TO_PASS</v>
      </c>
    </row>
    <row r="154" customFormat="false" ht="15" hidden="false" customHeight="false" outlineLevel="0" collapsed="false">
      <c r="A154" s="7" t="s">
        <v>48</v>
      </c>
      <c r="B154" s="7" t="s">
        <v>10</v>
      </c>
      <c r="C154" s="7" t="s">
        <v>49</v>
      </c>
      <c r="D154" s="7" t="s">
        <v>89</v>
      </c>
      <c r="E154" s="7" t="s">
        <v>51</v>
      </c>
      <c r="F154" s="7" t="s">
        <v>139</v>
      </c>
      <c r="G154" s="8" t="b">
        <f aca="false">TRUE()</f>
        <v>1</v>
      </c>
      <c r="H154" s="8" t="b">
        <f aca="false">TRUE()</f>
        <v>1</v>
      </c>
      <c r="I154" s="7" t="str">
        <f aca="false">IF(AND(G154,H154),"PASS_TO_PASS",IF(G154,"PASS_TO_FAIL",IF(H154,"FAIL_TO_PASS","FAIL_TO_FAIL")))</f>
        <v>PASS_TO_PASS</v>
      </c>
    </row>
    <row r="155" customFormat="false" ht="15" hidden="false" customHeight="false" outlineLevel="0" collapsed="false">
      <c r="A155" s="7" t="s">
        <v>48</v>
      </c>
      <c r="B155" s="7" t="s">
        <v>10</v>
      </c>
      <c r="C155" s="7" t="s">
        <v>49</v>
      </c>
      <c r="D155" s="7" t="s">
        <v>89</v>
      </c>
      <c r="E155" s="7" t="s">
        <v>51</v>
      </c>
      <c r="F155" s="7" t="s">
        <v>140</v>
      </c>
      <c r="G155" s="8" t="b">
        <f aca="false">TRUE()</f>
        <v>1</v>
      </c>
      <c r="H155" s="8" t="b">
        <f aca="false">TRUE()</f>
        <v>1</v>
      </c>
      <c r="I155" s="7" t="str">
        <f aca="false">IF(AND(G155,H155),"PASS_TO_PASS",IF(G155,"PASS_TO_FAIL",IF(H155,"FAIL_TO_PASS","FAIL_TO_FAIL")))</f>
        <v>PASS_TO_PASS</v>
      </c>
    </row>
    <row r="156" customFormat="false" ht="15" hidden="false" customHeight="false" outlineLevel="0" collapsed="false">
      <c r="A156" s="7" t="s">
        <v>48</v>
      </c>
      <c r="B156" s="7" t="s">
        <v>10</v>
      </c>
      <c r="C156" s="7" t="s">
        <v>49</v>
      </c>
      <c r="D156" s="7" t="s">
        <v>89</v>
      </c>
      <c r="E156" s="7" t="s">
        <v>51</v>
      </c>
      <c r="F156" s="7" t="s">
        <v>141</v>
      </c>
      <c r="G156" s="8" t="b">
        <f aca="false">TRUE()</f>
        <v>1</v>
      </c>
      <c r="H156" s="8" t="b">
        <f aca="false">TRUE()</f>
        <v>1</v>
      </c>
      <c r="I156" s="7" t="str">
        <f aca="false">IF(AND(G156,H156),"PASS_TO_PASS",IF(G156,"PASS_TO_FAIL",IF(H156,"FAIL_TO_PASS","FAIL_TO_FAIL")))</f>
        <v>PASS_TO_PASS</v>
      </c>
    </row>
    <row r="157" customFormat="false" ht="15" hidden="false" customHeight="false" outlineLevel="0" collapsed="false">
      <c r="A157" s="7" t="s">
        <v>48</v>
      </c>
      <c r="B157" s="7" t="s">
        <v>10</v>
      </c>
      <c r="C157" s="7" t="s">
        <v>49</v>
      </c>
      <c r="D157" s="7" t="s">
        <v>89</v>
      </c>
      <c r="E157" s="7" t="s">
        <v>51</v>
      </c>
      <c r="F157" s="7" t="s">
        <v>142</v>
      </c>
      <c r="G157" s="8" t="b">
        <f aca="false">TRUE()</f>
        <v>1</v>
      </c>
      <c r="H157" s="8" t="b">
        <f aca="false">TRUE()</f>
        <v>1</v>
      </c>
      <c r="I157" s="7" t="str">
        <f aca="false">IF(AND(G157,H157),"PASS_TO_PASS",IF(G157,"PASS_TO_FAIL",IF(H157,"FAIL_TO_PASS","FAIL_TO_FAIL")))</f>
        <v>PASS_TO_PASS</v>
      </c>
    </row>
    <row r="158" customFormat="false" ht="15" hidden="false" customHeight="false" outlineLevel="0" collapsed="false">
      <c r="A158" s="7" t="s">
        <v>48</v>
      </c>
      <c r="B158" s="7" t="s">
        <v>10</v>
      </c>
      <c r="C158" s="7" t="s">
        <v>49</v>
      </c>
      <c r="D158" s="7" t="s">
        <v>89</v>
      </c>
      <c r="E158" s="7" t="s">
        <v>51</v>
      </c>
      <c r="F158" s="7" t="s">
        <v>143</v>
      </c>
      <c r="G158" s="8" t="b">
        <f aca="false">TRUE()</f>
        <v>1</v>
      </c>
      <c r="H158" s="8" t="b">
        <f aca="false">TRUE()</f>
        <v>1</v>
      </c>
      <c r="I158" s="7" t="str">
        <f aca="false">IF(AND(G158,H158),"PASS_TO_PASS",IF(G158,"PASS_TO_FAIL",IF(H158,"FAIL_TO_PASS","FAIL_TO_FAIL")))</f>
        <v>PASS_TO_PASS</v>
      </c>
    </row>
    <row r="159" customFormat="false" ht="15" hidden="false" customHeight="false" outlineLevel="0" collapsed="false">
      <c r="A159" s="7" t="s">
        <v>48</v>
      </c>
      <c r="B159" s="7" t="s">
        <v>10</v>
      </c>
      <c r="C159" s="7" t="s">
        <v>49</v>
      </c>
      <c r="D159" s="7" t="s">
        <v>89</v>
      </c>
      <c r="E159" s="7" t="s">
        <v>51</v>
      </c>
      <c r="F159" s="7" t="s">
        <v>144</v>
      </c>
      <c r="G159" s="8" t="b">
        <f aca="false">TRUE()</f>
        <v>1</v>
      </c>
      <c r="H159" s="8" t="b">
        <f aca="false">TRUE()</f>
        <v>1</v>
      </c>
      <c r="I159" s="7" t="str">
        <f aca="false">IF(AND(G159,H159),"PASS_TO_PASS",IF(G159,"PASS_TO_FAIL",IF(H159,"FAIL_TO_PASS","FAIL_TO_FAIL")))</f>
        <v>PASS_TO_PASS</v>
      </c>
    </row>
    <row r="160" customFormat="false" ht="15" hidden="false" customHeight="false" outlineLevel="0" collapsed="false">
      <c r="A160" s="7" t="s">
        <v>48</v>
      </c>
      <c r="B160" s="7" t="s">
        <v>10</v>
      </c>
      <c r="C160" s="7" t="s">
        <v>49</v>
      </c>
      <c r="D160" s="7" t="s">
        <v>89</v>
      </c>
      <c r="E160" s="7" t="s">
        <v>51</v>
      </c>
      <c r="F160" s="7" t="s">
        <v>145</v>
      </c>
      <c r="G160" s="8" t="b">
        <f aca="false">TRUE()</f>
        <v>1</v>
      </c>
      <c r="H160" s="8" t="b">
        <f aca="false">TRUE()</f>
        <v>1</v>
      </c>
      <c r="I160" s="7" t="str">
        <f aca="false">IF(AND(G160,H160),"PASS_TO_PASS",IF(G160,"PASS_TO_FAIL",IF(H160,"FAIL_TO_PASS","FAIL_TO_FAIL")))</f>
        <v>PASS_TO_PASS</v>
      </c>
    </row>
    <row r="161" customFormat="false" ht="15" hidden="false" customHeight="false" outlineLevel="0" collapsed="false">
      <c r="A161" s="7" t="s">
        <v>82</v>
      </c>
      <c r="B161" s="7" t="s">
        <v>83</v>
      </c>
      <c r="C161" s="7" t="s">
        <v>49</v>
      </c>
      <c r="D161" s="7" t="s">
        <v>89</v>
      </c>
      <c r="E161" s="7" t="s">
        <v>51</v>
      </c>
      <c r="F161" s="7" t="s">
        <v>134</v>
      </c>
      <c r="G161" s="8" t="b">
        <f aca="false">TRUE()</f>
        <v>1</v>
      </c>
      <c r="H161" s="8" t="b">
        <f aca="false">TRUE()</f>
        <v>1</v>
      </c>
      <c r="I161" s="7" t="str">
        <f aca="false">IF(AND(G161,H161),"PASS_TO_PASS",IF(G161,"PASS_TO_FAIL",IF(H161,"FAIL_TO_PASS","FAIL_TO_FAIL")))</f>
        <v>PASS_TO_PASS</v>
      </c>
    </row>
    <row r="162" customFormat="false" ht="15" hidden="false" customHeight="false" outlineLevel="0" collapsed="false">
      <c r="A162" s="7" t="s">
        <v>82</v>
      </c>
      <c r="B162" s="7" t="s">
        <v>83</v>
      </c>
      <c r="C162" s="7" t="s">
        <v>49</v>
      </c>
      <c r="D162" s="7" t="s">
        <v>89</v>
      </c>
      <c r="E162" s="7" t="s">
        <v>51</v>
      </c>
      <c r="F162" s="7" t="s">
        <v>135</v>
      </c>
      <c r="G162" s="8" t="b">
        <f aca="false">TRUE()</f>
        <v>1</v>
      </c>
      <c r="H162" s="8" t="b">
        <f aca="false">TRUE()</f>
        <v>1</v>
      </c>
      <c r="I162" s="7" t="str">
        <f aca="false">IF(AND(G162,H162),"PASS_TO_PASS",IF(G162,"PASS_TO_FAIL",IF(H162,"FAIL_TO_PASS","FAIL_TO_FAIL")))</f>
        <v>PASS_TO_PASS</v>
      </c>
    </row>
    <row r="163" customFormat="false" ht="15" hidden="false" customHeight="false" outlineLevel="0" collapsed="false">
      <c r="A163" s="7" t="s">
        <v>82</v>
      </c>
      <c r="B163" s="7" t="s">
        <v>83</v>
      </c>
      <c r="C163" s="7" t="s">
        <v>49</v>
      </c>
      <c r="D163" s="7" t="s">
        <v>89</v>
      </c>
      <c r="E163" s="7" t="s">
        <v>51</v>
      </c>
      <c r="F163" s="7" t="s">
        <v>136</v>
      </c>
      <c r="G163" s="8" t="b">
        <f aca="false">TRUE()</f>
        <v>1</v>
      </c>
      <c r="H163" s="8" t="b">
        <f aca="false">TRUE()</f>
        <v>1</v>
      </c>
      <c r="I163" s="7" t="str">
        <f aca="false">IF(AND(G163,H163),"PASS_TO_PASS",IF(G163,"PASS_TO_FAIL",IF(H163,"FAIL_TO_PASS","FAIL_TO_FAIL")))</f>
        <v>PASS_TO_PASS</v>
      </c>
    </row>
    <row r="164" customFormat="false" ht="15" hidden="false" customHeight="false" outlineLevel="0" collapsed="false">
      <c r="A164" s="7" t="s">
        <v>82</v>
      </c>
      <c r="B164" s="7" t="s">
        <v>83</v>
      </c>
      <c r="C164" s="7" t="s">
        <v>49</v>
      </c>
      <c r="D164" s="7" t="s">
        <v>89</v>
      </c>
      <c r="E164" s="7" t="s">
        <v>51</v>
      </c>
      <c r="F164" s="7" t="s">
        <v>137</v>
      </c>
      <c r="G164" s="8" t="b">
        <f aca="false">FALSE()</f>
        <v>0</v>
      </c>
      <c r="H164" s="8" t="b">
        <f aca="false">FALSE()</f>
        <v>0</v>
      </c>
      <c r="I164" s="7" t="str">
        <f aca="false">IF(AND(G164,H164),"PASS_TO_PASS",IF(G164,"PASS_TO_FAIL",IF(H164,"FAIL_TO_PASS","FAIL_TO_FAIL")))</f>
        <v>FAIL_TO_FAIL</v>
      </c>
    </row>
    <row r="165" customFormat="false" ht="15" hidden="false" customHeight="false" outlineLevel="0" collapsed="false">
      <c r="A165" s="7" t="s">
        <v>82</v>
      </c>
      <c r="B165" s="7" t="s">
        <v>83</v>
      </c>
      <c r="C165" s="7" t="s">
        <v>49</v>
      </c>
      <c r="D165" s="7" t="s">
        <v>89</v>
      </c>
      <c r="E165" s="7" t="s">
        <v>51</v>
      </c>
      <c r="F165" s="7" t="s">
        <v>138</v>
      </c>
      <c r="G165" s="8" t="b">
        <f aca="false">TRUE()</f>
        <v>1</v>
      </c>
      <c r="H165" s="8" t="b">
        <f aca="false">TRUE()</f>
        <v>1</v>
      </c>
      <c r="I165" s="7" t="str">
        <f aca="false">IF(AND(G165,H165),"PASS_TO_PASS",IF(G165,"PASS_TO_FAIL",IF(H165,"FAIL_TO_PASS","FAIL_TO_FAIL")))</f>
        <v>PASS_TO_PASS</v>
      </c>
    </row>
    <row r="166" customFormat="false" ht="15" hidden="false" customHeight="false" outlineLevel="0" collapsed="false">
      <c r="A166" s="7" t="s">
        <v>82</v>
      </c>
      <c r="B166" s="7" t="s">
        <v>83</v>
      </c>
      <c r="C166" s="7" t="s">
        <v>49</v>
      </c>
      <c r="D166" s="7" t="s">
        <v>89</v>
      </c>
      <c r="E166" s="7" t="s">
        <v>51</v>
      </c>
      <c r="F166" s="7" t="s">
        <v>139</v>
      </c>
      <c r="G166" s="8" t="b">
        <f aca="false">TRUE()</f>
        <v>1</v>
      </c>
      <c r="H166" s="8" t="b">
        <f aca="false">TRUE()</f>
        <v>1</v>
      </c>
      <c r="I166" s="7" t="str">
        <f aca="false">IF(AND(G166,H166),"PASS_TO_PASS",IF(G166,"PASS_TO_FAIL",IF(H166,"FAIL_TO_PASS","FAIL_TO_FAIL")))</f>
        <v>PASS_TO_PASS</v>
      </c>
    </row>
    <row r="167" customFormat="false" ht="15" hidden="false" customHeight="false" outlineLevel="0" collapsed="false">
      <c r="A167" s="7" t="s">
        <v>82</v>
      </c>
      <c r="B167" s="7" t="s">
        <v>83</v>
      </c>
      <c r="C167" s="7" t="s">
        <v>49</v>
      </c>
      <c r="D167" s="7" t="s">
        <v>89</v>
      </c>
      <c r="E167" s="7" t="s">
        <v>51</v>
      </c>
      <c r="F167" s="7" t="s">
        <v>140</v>
      </c>
      <c r="G167" s="8" t="b">
        <f aca="false">TRUE()</f>
        <v>1</v>
      </c>
      <c r="H167" s="8" t="b">
        <f aca="false">TRUE()</f>
        <v>1</v>
      </c>
      <c r="I167" s="7" t="str">
        <f aca="false">IF(AND(G167,H167),"PASS_TO_PASS",IF(G167,"PASS_TO_FAIL",IF(H167,"FAIL_TO_PASS","FAIL_TO_FAIL")))</f>
        <v>PASS_TO_PASS</v>
      </c>
    </row>
    <row r="168" customFormat="false" ht="15" hidden="false" customHeight="false" outlineLevel="0" collapsed="false">
      <c r="A168" s="7" t="s">
        <v>82</v>
      </c>
      <c r="B168" s="7" t="s">
        <v>83</v>
      </c>
      <c r="C168" s="7" t="s">
        <v>49</v>
      </c>
      <c r="D168" s="7" t="s">
        <v>89</v>
      </c>
      <c r="E168" s="7" t="s">
        <v>51</v>
      </c>
      <c r="F168" s="7" t="s">
        <v>141</v>
      </c>
      <c r="G168" s="8" t="b">
        <f aca="false">TRUE()</f>
        <v>1</v>
      </c>
      <c r="H168" s="8" t="b">
        <f aca="false">TRUE()</f>
        <v>1</v>
      </c>
      <c r="I168" s="7" t="str">
        <f aca="false">IF(AND(G168,H168),"PASS_TO_PASS",IF(G168,"PASS_TO_FAIL",IF(H168,"FAIL_TO_PASS","FAIL_TO_FAIL")))</f>
        <v>PASS_TO_PASS</v>
      </c>
    </row>
    <row r="169" customFormat="false" ht="15" hidden="false" customHeight="false" outlineLevel="0" collapsed="false">
      <c r="A169" s="7" t="s">
        <v>82</v>
      </c>
      <c r="B169" s="7" t="s">
        <v>83</v>
      </c>
      <c r="C169" s="7" t="s">
        <v>49</v>
      </c>
      <c r="D169" s="7" t="s">
        <v>89</v>
      </c>
      <c r="E169" s="7" t="s">
        <v>51</v>
      </c>
      <c r="F169" s="7" t="s">
        <v>142</v>
      </c>
      <c r="G169" s="8" t="b">
        <f aca="false">TRUE()</f>
        <v>1</v>
      </c>
      <c r="H169" s="8" t="b">
        <f aca="false">TRUE()</f>
        <v>1</v>
      </c>
      <c r="I169" s="7" t="str">
        <f aca="false">IF(AND(G169,H169),"PASS_TO_PASS",IF(G169,"PASS_TO_FAIL",IF(H169,"FAIL_TO_PASS","FAIL_TO_FAIL")))</f>
        <v>PASS_TO_PASS</v>
      </c>
    </row>
    <row r="170" customFormat="false" ht="15" hidden="false" customHeight="false" outlineLevel="0" collapsed="false">
      <c r="A170" s="7" t="s">
        <v>82</v>
      </c>
      <c r="B170" s="7" t="s">
        <v>83</v>
      </c>
      <c r="C170" s="7" t="s">
        <v>49</v>
      </c>
      <c r="D170" s="7" t="s">
        <v>89</v>
      </c>
      <c r="E170" s="7" t="s">
        <v>51</v>
      </c>
      <c r="F170" s="7" t="s">
        <v>143</v>
      </c>
      <c r="G170" s="8" t="b">
        <f aca="false">TRUE()</f>
        <v>1</v>
      </c>
      <c r="H170" s="8" t="b">
        <f aca="false">TRUE()</f>
        <v>1</v>
      </c>
      <c r="I170" s="7" t="str">
        <f aca="false">IF(AND(G170,H170),"PASS_TO_PASS",IF(G170,"PASS_TO_FAIL",IF(H170,"FAIL_TO_PASS","FAIL_TO_FAIL")))</f>
        <v>PASS_TO_PASS</v>
      </c>
    </row>
    <row r="171" customFormat="false" ht="15" hidden="false" customHeight="false" outlineLevel="0" collapsed="false">
      <c r="A171" s="7" t="s">
        <v>82</v>
      </c>
      <c r="B171" s="7" t="s">
        <v>83</v>
      </c>
      <c r="C171" s="7" t="s">
        <v>49</v>
      </c>
      <c r="D171" s="7" t="s">
        <v>89</v>
      </c>
      <c r="E171" s="7" t="s">
        <v>51</v>
      </c>
      <c r="F171" s="7" t="s">
        <v>144</v>
      </c>
      <c r="G171" s="8" t="b">
        <f aca="false">TRUE()</f>
        <v>1</v>
      </c>
      <c r="H171" s="8" t="b">
        <f aca="false">TRUE()</f>
        <v>1</v>
      </c>
      <c r="I171" s="7" t="str">
        <f aca="false">IF(AND(G171,H171),"PASS_TO_PASS",IF(G171,"PASS_TO_FAIL",IF(H171,"FAIL_TO_PASS","FAIL_TO_FAIL")))</f>
        <v>PASS_TO_PASS</v>
      </c>
    </row>
    <row r="172" customFormat="false" ht="15" hidden="false" customHeight="false" outlineLevel="0" collapsed="false">
      <c r="A172" s="7" t="s">
        <v>82</v>
      </c>
      <c r="B172" s="7" t="s">
        <v>83</v>
      </c>
      <c r="C172" s="7" t="s">
        <v>49</v>
      </c>
      <c r="D172" s="7" t="s">
        <v>89</v>
      </c>
      <c r="E172" s="7" t="s">
        <v>51</v>
      </c>
      <c r="F172" s="7" t="s">
        <v>145</v>
      </c>
      <c r="G172" s="8" t="b">
        <f aca="false">TRUE()</f>
        <v>1</v>
      </c>
      <c r="H172" s="8" t="b">
        <f aca="false">TRUE()</f>
        <v>1</v>
      </c>
      <c r="I172" s="7" t="str">
        <f aca="false">IF(AND(G172,H172),"PASS_TO_PASS",IF(G172,"PASS_TO_FAIL",IF(H172,"FAIL_TO_PASS","FAIL_TO_FAIL")))</f>
        <v>PASS_TO_PASS</v>
      </c>
    </row>
    <row r="173" customFormat="false" ht="15" hidden="false" customHeight="false" outlineLevel="0" collapsed="false">
      <c r="A173" s="7" t="s">
        <v>48</v>
      </c>
      <c r="B173" s="7" t="s">
        <v>10</v>
      </c>
      <c r="C173" s="7" t="s">
        <v>49</v>
      </c>
      <c r="D173" s="7" t="s">
        <v>90</v>
      </c>
      <c r="E173" s="7" t="s">
        <v>91</v>
      </c>
      <c r="F173" s="7" t="s">
        <v>134</v>
      </c>
      <c r="G173" s="8" t="b">
        <f aca="false">TRUE()</f>
        <v>1</v>
      </c>
      <c r="H173" s="8" t="b">
        <f aca="false">TRUE()</f>
        <v>1</v>
      </c>
      <c r="I173" s="7" t="str">
        <f aca="false">IF(AND(G173,H173),"PASS_TO_PASS",IF(G173,"PASS_TO_FAIL",IF(H173,"FAIL_TO_PASS","FAIL_TO_FAIL")))</f>
        <v>PASS_TO_PASS</v>
      </c>
    </row>
    <row r="174" customFormat="false" ht="15" hidden="false" customHeight="false" outlineLevel="0" collapsed="false">
      <c r="A174" s="7" t="s">
        <v>48</v>
      </c>
      <c r="B174" s="7" t="s">
        <v>10</v>
      </c>
      <c r="C174" s="7" t="s">
        <v>49</v>
      </c>
      <c r="D174" s="7" t="s">
        <v>90</v>
      </c>
      <c r="E174" s="7" t="s">
        <v>91</v>
      </c>
      <c r="F174" s="7" t="s">
        <v>135</v>
      </c>
      <c r="G174" s="8" t="b">
        <f aca="false">TRUE()</f>
        <v>1</v>
      </c>
      <c r="H174" s="8" t="b">
        <f aca="false">TRUE()</f>
        <v>1</v>
      </c>
      <c r="I174" s="7" t="str">
        <f aca="false">IF(AND(G174,H174),"PASS_TO_PASS",IF(G174,"PASS_TO_FAIL",IF(H174,"FAIL_TO_PASS","FAIL_TO_FAIL")))</f>
        <v>PASS_TO_PASS</v>
      </c>
    </row>
    <row r="175" customFormat="false" ht="15" hidden="false" customHeight="false" outlineLevel="0" collapsed="false">
      <c r="A175" s="7" t="s">
        <v>48</v>
      </c>
      <c r="B175" s="7" t="s">
        <v>10</v>
      </c>
      <c r="C175" s="7" t="s">
        <v>49</v>
      </c>
      <c r="D175" s="7" t="s">
        <v>90</v>
      </c>
      <c r="E175" s="7" t="s">
        <v>91</v>
      </c>
      <c r="F175" s="7" t="s">
        <v>136</v>
      </c>
      <c r="G175" s="8" t="b">
        <f aca="false">TRUE()</f>
        <v>1</v>
      </c>
      <c r="H175" s="8" t="b">
        <f aca="false">TRUE()</f>
        <v>1</v>
      </c>
      <c r="I175" s="7" t="str">
        <f aca="false">IF(AND(G175,H175),"PASS_TO_PASS",IF(G175,"PASS_TO_FAIL",IF(H175,"FAIL_TO_PASS","FAIL_TO_FAIL")))</f>
        <v>PASS_TO_PASS</v>
      </c>
    </row>
    <row r="176" customFormat="false" ht="15" hidden="false" customHeight="false" outlineLevel="0" collapsed="false">
      <c r="A176" s="7" t="s">
        <v>48</v>
      </c>
      <c r="B176" s="7" t="s">
        <v>10</v>
      </c>
      <c r="C176" s="7" t="s">
        <v>49</v>
      </c>
      <c r="D176" s="7" t="s">
        <v>90</v>
      </c>
      <c r="E176" s="7" t="s">
        <v>91</v>
      </c>
      <c r="F176" s="7" t="s">
        <v>137</v>
      </c>
      <c r="G176" s="8" t="b">
        <f aca="false">TRUE()</f>
        <v>1</v>
      </c>
      <c r="H176" s="8" t="b">
        <f aca="false">TRUE()</f>
        <v>1</v>
      </c>
      <c r="I176" s="7" t="str">
        <f aca="false">IF(AND(G176,H176),"PASS_TO_PASS",IF(G176,"PASS_TO_FAIL",IF(H176,"FAIL_TO_PASS","FAIL_TO_FAIL")))</f>
        <v>PASS_TO_PASS</v>
      </c>
    </row>
    <row r="177" customFormat="false" ht="15" hidden="false" customHeight="false" outlineLevel="0" collapsed="false">
      <c r="A177" s="7" t="s">
        <v>48</v>
      </c>
      <c r="B177" s="7" t="s">
        <v>10</v>
      </c>
      <c r="C177" s="7" t="s">
        <v>49</v>
      </c>
      <c r="D177" s="7" t="s">
        <v>90</v>
      </c>
      <c r="E177" s="7" t="s">
        <v>91</v>
      </c>
      <c r="F177" s="7" t="s">
        <v>138</v>
      </c>
      <c r="G177" s="8" t="b">
        <f aca="false">TRUE()</f>
        <v>1</v>
      </c>
      <c r="H177" s="8" t="b">
        <f aca="false">TRUE()</f>
        <v>1</v>
      </c>
      <c r="I177" s="7" t="str">
        <f aca="false">IF(AND(G177,H177),"PASS_TO_PASS",IF(G177,"PASS_TO_FAIL",IF(H177,"FAIL_TO_PASS","FAIL_TO_FAIL")))</f>
        <v>PASS_TO_PASS</v>
      </c>
    </row>
    <row r="178" customFormat="false" ht="15" hidden="false" customHeight="false" outlineLevel="0" collapsed="false">
      <c r="A178" s="7" t="s">
        <v>48</v>
      </c>
      <c r="B178" s="7" t="s">
        <v>10</v>
      </c>
      <c r="C178" s="7" t="s">
        <v>49</v>
      </c>
      <c r="D178" s="7" t="s">
        <v>90</v>
      </c>
      <c r="E178" s="7" t="s">
        <v>91</v>
      </c>
      <c r="F178" s="7" t="s">
        <v>139</v>
      </c>
      <c r="G178" s="8" t="b">
        <f aca="false">TRUE()</f>
        <v>1</v>
      </c>
      <c r="H178" s="8" t="b">
        <f aca="false">TRUE()</f>
        <v>1</v>
      </c>
      <c r="I178" s="7" t="str">
        <f aca="false">IF(AND(G178,H178),"PASS_TO_PASS",IF(G178,"PASS_TO_FAIL",IF(H178,"FAIL_TO_PASS","FAIL_TO_FAIL")))</f>
        <v>PASS_TO_PASS</v>
      </c>
    </row>
    <row r="179" customFormat="false" ht="15" hidden="false" customHeight="false" outlineLevel="0" collapsed="false">
      <c r="A179" s="7" t="s">
        <v>48</v>
      </c>
      <c r="B179" s="7" t="s">
        <v>10</v>
      </c>
      <c r="C179" s="7" t="s">
        <v>49</v>
      </c>
      <c r="D179" s="7" t="s">
        <v>90</v>
      </c>
      <c r="E179" s="7" t="s">
        <v>91</v>
      </c>
      <c r="F179" s="7" t="s">
        <v>140</v>
      </c>
      <c r="G179" s="8" t="b">
        <f aca="false">TRUE()</f>
        <v>1</v>
      </c>
      <c r="H179" s="8" t="b">
        <f aca="false">TRUE()</f>
        <v>1</v>
      </c>
      <c r="I179" s="7" t="str">
        <f aca="false">IF(AND(G179,H179),"PASS_TO_PASS",IF(G179,"PASS_TO_FAIL",IF(H179,"FAIL_TO_PASS","FAIL_TO_FAIL")))</f>
        <v>PASS_TO_PASS</v>
      </c>
    </row>
    <row r="180" customFormat="false" ht="15" hidden="false" customHeight="false" outlineLevel="0" collapsed="false">
      <c r="A180" s="7" t="s">
        <v>48</v>
      </c>
      <c r="B180" s="7" t="s">
        <v>10</v>
      </c>
      <c r="C180" s="7" t="s">
        <v>49</v>
      </c>
      <c r="D180" s="7" t="s">
        <v>90</v>
      </c>
      <c r="E180" s="7" t="s">
        <v>91</v>
      </c>
      <c r="F180" s="7" t="s">
        <v>141</v>
      </c>
      <c r="G180" s="8" t="b">
        <f aca="false">TRUE()</f>
        <v>1</v>
      </c>
      <c r="H180" s="8" t="b">
        <f aca="false">TRUE()</f>
        <v>1</v>
      </c>
      <c r="I180" s="7" t="str">
        <f aca="false">IF(AND(G180,H180),"PASS_TO_PASS",IF(G180,"PASS_TO_FAIL",IF(H180,"FAIL_TO_PASS","FAIL_TO_FAIL")))</f>
        <v>PASS_TO_PASS</v>
      </c>
    </row>
    <row r="181" customFormat="false" ht="15" hidden="false" customHeight="false" outlineLevel="0" collapsed="false">
      <c r="A181" s="7" t="s">
        <v>48</v>
      </c>
      <c r="B181" s="7" t="s">
        <v>10</v>
      </c>
      <c r="C181" s="7" t="s">
        <v>49</v>
      </c>
      <c r="D181" s="7" t="s">
        <v>90</v>
      </c>
      <c r="E181" s="7" t="s">
        <v>91</v>
      </c>
      <c r="F181" s="7" t="s">
        <v>142</v>
      </c>
      <c r="G181" s="8" t="b">
        <f aca="false">TRUE()</f>
        <v>1</v>
      </c>
      <c r="H181" s="8" t="b">
        <f aca="false">TRUE()</f>
        <v>1</v>
      </c>
      <c r="I181" s="7" t="str">
        <f aca="false">IF(AND(G181,H181),"PASS_TO_PASS",IF(G181,"PASS_TO_FAIL",IF(H181,"FAIL_TO_PASS","FAIL_TO_FAIL")))</f>
        <v>PASS_TO_PASS</v>
      </c>
    </row>
    <row r="182" customFormat="false" ht="15" hidden="false" customHeight="false" outlineLevel="0" collapsed="false">
      <c r="A182" s="7" t="s">
        <v>48</v>
      </c>
      <c r="B182" s="7" t="s">
        <v>10</v>
      </c>
      <c r="C182" s="7" t="s">
        <v>49</v>
      </c>
      <c r="D182" s="7" t="s">
        <v>90</v>
      </c>
      <c r="E182" s="7" t="s">
        <v>91</v>
      </c>
      <c r="F182" s="7" t="s">
        <v>143</v>
      </c>
      <c r="G182" s="8" t="b">
        <f aca="false">TRUE()</f>
        <v>1</v>
      </c>
      <c r="H182" s="8" t="b">
        <f aca="false">TRUE()</f>
        <v>1</v>
      </c>
      <c r="I182" s="7" t="str">
        <f aca="false">IF(AND(G182,H182),"PASS_TO_PASS",IF(G182,"PASS_TO_FAIL",IF(H182,"FAIL_TO_PASS","FAIL_TO_FAIL")))</f>
        <v>PASS_TO_PASS</v>
      </c>
    </row>
    <row r="183" customFormat="false" ht="15" hidden="false" customHeight="false" outlineLevel="0" collapsed="false">
      <c r="A183" s="7" t="s">
        <v>48</v>
      </c>
      <c r="B183" s="7" t="s">
        <v>10</v>
      </c>
      <c r="C183" s="7" t="s">
        <v>49</v>
      </c>
      <c r="D183" s="7" t="s">
        <v>90</v>
      </c>
      <c r="E183" s="7" t="s">
        <v>91</v>
      </c>
      <c r="F183" s="7" t="s">
        <v>144</v>
      </c>
      <c r="G183" s="8" t="b">
        <f aca="false">TRUE()</f>
        <v>1</v>
      </c>
      <c r="H183" s="8" t="b">
        <f aca="false">TRUE()</f>
        <v>1</v>
      </c>
      <c r="I183" s="7" t="str">
        <f aca="false">IF(AND(G183,H183),"PASS_TO_PASS",IF(G183,"PASS_TO_FAIL",IF(H183,"FAIL_TO_PASS","FAIL_TO_FAIL")))</f>
        <v>PASS_TO_PASS</v>
      </c>
    </row>
    <row r="184" customFormat="false" ht="15" hidden="false" customHeight="false" outlineLevel="0" collapsed="false">
      <c r="A184" s="7" t="s">
        <v>48</v>
      </c>
      <c r="B184" s="7" t="s">
        <v>10</v>
      </c>
      <c r="C184" s="7" t="s">
        <v>49</v>
      </c>
      <c r="D184" s="7" t="s">
        <v>90</v>
      </c>
      <c r="E184" s="7" t="s">
        <v>91</v>
      </c>
      <c r="F184" s="7" t="s">
        <v>145</v>
      </c>
      <c r="G184" s="8" t="b">
        <f aca="false">TRUE()</f>
        <v>1</v>
      </c>
      <c r="H184" s="8" t="b">
        <f aca="false">TRUE()</f>
        <v>1</v>
      </c>
      <c r="I184" s="7" t="str">
        <f aca="false">IF(AND(G184,H184),"PASS_TO_PASS",IF(G184,"PASS_TO_FAIL",IF(H184,"FAIL_TO_PASS","FAIL_TO_FAIL")))</f>
        <v>PASS_TO_PASS</v>
      </c>
    </row>
    <row r="185" customFormat="false" ht="15" hidden="false" customHeight="false" outlineLevel="0" collapsed="false">
      <c r="A185" s="7" t="s">
        <v>82</v>
      </c>
      <c r="B185" s="7" t="s">
        <v>83</v>
      </c>
      <c r="C185" s="7" t="s">
        <v>49</v>
      </c>
      <c r="D185" s="7" t="s">
        <v>90</v>
      </c>
      <c r="E185" s="7" t="s">
        <v>91</v>
      </c>
      <c r="F185" s="7" t="s">
        <v>134</v>
      </c>
      <c r="G185" s="8" t="b">
        <f aca="false">TRUE()</f>
        <v>1</v>
      </c>
      <c r="H185" s="8" t="b">
        <f aca="false">TRUE()</f>
        <v>1</v>
      </c>
      <c r="I185" s="7" t="str">
        <f aca="false">IF(AND(G185,H185),"PASS_TO_PASS",IF(G185,"PASS_TO_FAIL",IF(H185,"FAIL_TO_PASS","FAIL_TO_FAIL")))</f>
        <v>PASS_TO_PASS</v>
      </c>
    </row>
    <row r="186" customFormat="false" ht="15" hidden="false" customHeight="false" outlineLevel="0" collapsed="false">
      <c r="A186" s="7" t="s">
        <v>82</v>
      </c>
      <c r="B186" s="7" t="s">
        <v>83</v>
      </c>
      <c r="C186" s="7" t="s">
        <v>49</v>
      </c>
      <c r="D186" s="7" t="s">
        <v>90</v>
      </c>
      <c r="E186" s="7" t="s">
        <v>91</v>
      </c>
      <c r="F186" s="7" t="s">
        <v>135</v>
      </c>
      <c r="G186" s="8" t="b">
        <f aca="false">TRUE()</f>
        <v>1</v>
      </c>
      <c r="H186" s="8" t="b">
        <f aca="false">TRUE()</f>
        <v>1</v>
      </c>
      <c r="I186" s="7" t="str">
        <f aca="false">IF(AND(G186,H186),"PASS_TO_PASS",IF(G186,"PASS_TO_FAIL",IF(H186,"FAIL_TO_PASS","FAIL_TO_FAIL")))</f>
        <v>PASS_TO_PASS</v>
      </c>
    </row>
    <row r="187" customFormat="false" ht="15" hidden="false" customHeight="false" outlineLevel="0" collapsed="false">
      <c r="A187" s="7" t="s">
        <v>82</v>
      </c>
      <c r="B187" s="7" t="s">
        <v>83</v>
      </c>
      <c r="C187" s="7" t="s">
        <v>49</v>
      </c>
      <c r="D187" s="7" t="s">
        <v>90</v>
      </c>
      <c r="E187" s="7" t="s">
        <v>91</v>
      </c>
      <c r="F187" s="7" t="s">
        <v>136</v>
      </c>
      <c r="G187" s="8" t="b">
        <f aca="false">TRUE()</f>
        <v>1</v>
      </c>
      <c r="H187" s="8" t="b">
        <f aca="false">TRUE()</f>
        <v>1</v>
      </c>
      <c r="I187" s="7" t="str">
        <f aca="false">IF(AND(G187,H187),"PASS_TO_PASS",IF(G187,"PASS_TO_FAIL",IF(H187,"FAIL_TO_PASS","FAIL_TO_FAIL")))</f>
        <v>PASS_TO_PASS</v>
      </c>
    </row>
    <row r="188" customFormat="false" ht="15" hidden="false" customHeight="false" outlineLevel="0" collapsed="false">
      <c r="A188" s="7" t="s">
        <v>82</v>
      </c>
      <c r="B188" s="7" t="s">
        <v>83</v>
      </c>
      <c r="C188" s="7" t="s">
        <v>49</v>
      </c>
      <c r="D188" s="7" t="s">
        <v>90</v>
      </c>
      <c r="E188" s="7" t="s">
        <v>91</v>
      </c>
      <c r="F188" s="7" t="s">
        <v>137</v>
      </c>
      <c r="G188" s="8" t="b">
        <f aca="false">TRUE()</f>
        <v>1</v>
      </c>
      <c r="H188" s="8" t="b">
        <f aca="false">TRUE()</f>
        <v>1</v>
      </c>
      <c r="I188" s="7" t="str">
        <f aca="false">IF(AND(G188,H188),"PASS_TO_PASS",IF(G188,"PASS_TO_FAIL",IF(H188,"FAIL_TO_PASS","FAIL_TO_FAIL")))</f>
        <v>PASS_TO_PASS</v>
      </c>
    </row>
    <row r="189" customFormat="false" ht="15" hidden="false" customHeight="false" outlineLevel="0" collapsed="false">
      <c r="A189" s="7" t="s">
        <v>82</v>
      </c>
      <c r="B189" s="7" t="s">
        <v>83</v>
      </c>
      <c r="C189" s="7" t="s">
        <v>49</v>
      </c>
      <c r="D189" s="7" t="s">
        <v>90</v>
      </c>
      <c r="E189" s="7" t="s">
        <v>91</v>
      </c>
      <c r="F189" s="7" t="s">
        <v>138</v>
      </c>
      <c r="G189" s="8" t="b">
        <f aca="false">FALSE()</f>
        <v>0</v>
      </c>
      <c r="H189" s="8" t="b">
        <f aca="false">TRUE()</f>
        <v>1</v>
      </c>
      <c r="I189" s="7" t="str">
        <f aca="false">IF(AND(G189,H189),"PASS_TO_PASS",IF(G189,"PASS_TO_FAIL",IF(H189,"FAIL_TO_PASS","FAIL_TO_FAIL")))</f>
        <v>FAIL_TO_PASS</v>
      </c>
    </row>
    <row r="190" customFormat="false" ht="15" hidden="false" customHeight="false" outlineLevel="0" collapsed="false">
      <c r="A190" s="7" t="s">
        <v>82</v>
      </c>
      <c r="B190" s="7" t="s">
        <v>83</v>
      </c>
      <c r="C190" s="7" t="s">
        <v>49</v>
      </c>
      <c r="D190" s="7" t="s">
        <v>90</v>
      </c>
      <c r="E190" s="7" t="s">
        <v>91</v>
      </c>
      <c r="F190" s="7" t="s">
        <v>139</v>
      </c>
      <c r="G190" s="8" t="b">
        <f aca="false">TRUE()</f>
        <v>1</v>
      </c>
      <c r="H190" s="8" t="b">
        <f aca="false">TRUE()</f>
        <v>1</v>
      </c>
      <c r="I190" s="7" t="str">
        <f aca="false">IF(AND(G190,H190),"PASS_TO_PASS",IF(G190,"PASS_TO_FAIL",IF(H190,"FAIL_TO_PASS","FAIL_TO_FAIL")))</f>
        <v>PASS_TO_PASS</v>
      </c>
    </row>
    <row r="191" customFormat="false" ht="15" hidden="false" customHeight="false" outlineLevel="0" collapsed="false">
      <c r="A191" s="7" t="s">
        <v>82</v>
      </c>
      <c r="B191" s="7" t="s">
        <v>83</v>
      </c>
      <c r="C191" s="7" t="s">
        <v>49</v>
      </c>
      <c r="D191" s="7" t="s">
        <v>90</v>
      </c>
      <c r="E191" s="7" t="s">
        <v>91</v>
      </c>
      <c r="F191" s="7" t="s">
        <v>140</v>
      </c>
      <c r="G191" s="8" t="b">
        <f aca="false">TRUE()</f>
        <v>1</v>
      </c>
      <c r="H191" s="8" t="b">
        <f aca="false">TRUE()</f>
        <v>1</v>
      </c>
      <c r="I191" s="7" t="str">
        <f aca="false">IF(AND(G191,H191),"PASS_TO_PASS",IF(G191,"PASS_TO_FAIL",IF(H191,"FAIL_TO_PASS","FAIL_TO_FAIL")))</f>
        <v>PASS_TO_PASS</v>
      </c>
    </row>
    <row r="192" customFormat="false" ht="15" hidden="false" customHeight="false" outlineLevel="0" collapsed="false">
      <c r="A192" s="7" t="s">
        <v>82</v>
      </c>
      <c r="B192" s="7" t="s">
        <v>83</v>
      </c>
      <c r="C192" s="7" t="s">
        <v>49</v>
      </c>
      <c r="D192" s="7" t="s">
        <v>90</v>
      </c>
      <c r="E192" s="7" t="s">
        <v>91</v>
      </c>
      <c r="F192" s="7" t="s">
        <v>141</v>
      </c>
      <c r="G192" s="8" t="b">
        <f aca="false">TRUE()</f>
        <v>1</v>
      </c>
      <c r="H192" s="8" t="b">
        <f aca="false">TRUE()</f>
        <v>1</v>
      </c>
      <c r="I192" s="7" t="str">
        <f aca="false">IF(AND(G192,H192),"PASS_TO_PASS",IF(G192,"PASS_TO_FAIL",IF(H192,"FAIL_TO_PASS","FAIL_TO_FAIL")))</f>
        <v>PASS_TO_PASS</v>
      </c>
    </row>
    <row r="193" customFormat="false" ht="15" hidden="false" customHeight="false" outlineLevel="0" collapsed="false">
      <c r="A193" s="7" t="s">
        <v>82</v>
      </c>
      <c r="B193" s="7" t="s">
        <v>83</v>
      </c>
      <c r="C193" s="7" t="s">
        <v>49</v>
      </c>
      <c r="D193" s="7" t="s">
        <v>90</v>
      </c>
      <c r="E193" s="7" t="s">
        <v>91</v>
      </c>
      <c r="F193" s="7" t="s">
        <v>142</v>
      </c>
      <c r="G193" s="8" t="b">
        <f aca="false">TRUE()</f>
        <v>1</v>
      </c>
      <c r="H193" s="8" t="b">
        <f aca="false">TRUE()</f>
        <v>1</v>
      </c>
      <c r="I193" s="7" t="str">
        <f aca="false">IF(AND(G193,H193),"PASS_TO_PASS",IF(G193,"PASS_TO_FAIL",IF(H193,"FAIL_TO_PASS","FAIL_TO_FAIL")))</f>
        <v>PASS_TO_PASS</v>
      </c>
    </row>
    <row r="194" customFormat="false" ht="15" hidden="false" customHeight="false" outlineLevel="0" collapsed="false">
      <c r="A194" s="7" t="s">
        <v>82</v>
      </c>
      <c r="B194" s="7" t="s">
        <v>83</v>
      </c>
      <c r="C194" s="7" t="s">
        <v>49</v>
      </c>
      <c r="D194" s="7" t="s">
        <v>90</v>
      </c>
      <c r="E194" s="7" t="s">
        <v>91</v>
      </c>
      <c r="F194" s="7" t="s">
        <v>143</v>
      </c>
      <c r="G194" s="8" t="b">
        <f aca="false">TRUE()</f>
        <v>1</v>
      </c>
      <c r="H194" s="8" t="b">
        <f aca="false">TRUE()</f>
        <v>1</v>
      </c>
      <c r="I194" s="7" t="str">
        <f aca="false">IF(AND(G194,H194),"PASS_TO_PASS",IF(G194,"PASS_TO_FAIL",IF(H194,"FAIL_TO_PASS","FAIL_TO_FAIL")))</f>
        <v>PASS_TO_PASS</v>
      </c>
    </row>
    <row r="195" customFormat="false" ht="15" hidden="false" customHeight="false" outlineLevel="0" collapsed="false">
      <c r="A195" s="7" t="s">
        <v>82</v>
      </c>
      <c r="B195" s="7" t="s">
        <v>83</v>
      </c>
      <c r="C195" s="7" t="s">
        <v>49</v>
      </c>
      <c r="D195" s="7" t="s">
        <v>90</v>
      </c>
      <c r="E195" s="7" t="s">
        <v>91</v>
      </c>
      <c r="F195" s="7" t="s">
        <v>144</v>
      </c>
      <c r="G195" s="8" t="b">
        <f aca="false">TRUE()</f>
        <v>1</v>
      </c>
      <c r="H195" s="8" t="b">
        <f aca="false">TRUE()</f>
        <v>1</v>
      </c>
      <c r="I195" s="7" t="str">
        <f aca="false">IF(AND(G195,H195),"PASS_TO_PASS",IF(G195,"PASS_TO_FAIL",IF(H195,"FAIL_TO_PASS","FAIL_TO_FAIL")))</f>
        <v>PASS_TO_PASS</v>
      </c>
    </row>
    <row r="196" customFormat="false" ht="15" hidden="false" customHeight="false" outlineLevel="0" collapsed="false">
      <c r="A196" s="7" t="s">
        <v>82</v>
      </c>
      <c r="B196" s="7" t="s">
        <v>83</v>
      </c>
      <c r="C196" s="7" t="s">
        <v>49</v>
      </c>
      <c r="D196" s="7" t="s">
        <v>90</v>
      </c>
      <c r="E196" s="7" t="s">
        <v>91</v>
      </c>
      <c r="F196" s="7" t="s">
        <v>145</v>
      </c>
      <c r="G196" s="8" t="b">
        <f aca="false">TRUE()</f>
        <v>1</v>
      </c>
      <c r="H196" s="8" t="b">
        <f aca="false">TRUE()</f>
        <v>1</v>
      </c>
      <c r="I196" s="7" t="str">
        <f aca="false">IF(AND(G196,H196),"PASS_TO_PASS",IF(G196,"PASS_TO_FAIL",IF(H196,"FAIL_TO_PASS","FAIL_TO_FAIL")))</f>
        <v>PASS_TO_PASS</v>
      </c>
    </row>
    <row r="197" customFormat="false" ht="15" hidden="false" customHeight="false" outlineLevel="0" collapsed="false">
      <c r="A197" s="7" t="s">
        <v>48</v>
      </c>
      <c r="B197" s="7" t="s">
        <v>10</v>
      </c>
      <c r="C197" s="7" t="s">
        <v>49</v>
      </c>
      <c r="D197" s="7" t="s">
        <v>92</v>
      </c>
      <c r="E197" s="7" t="s">
        <v>91</v>
      </c>
      <c r="F197" s="7" t="s">
        <v>134</v>
      </c>
      <c r="G197" s="8" t="b">
        <f aca="false">TRUE()</f>
        <v>1</v>
      </c>
      <c r="H197" s="8" t="b">
        <f aca="false">TRUE()</f>
        <v>1</v>
      </c>
      <c r="I197" s="7" t="str">
        <f aca="false">IF(AND(G197,H197),"PASS_TO_PASS",IF(G197,"PASS_TO_FAIL",IF(H197,"FAIL_TO_PASS","FAIL_TO_FAIL")))</f>
        <v>PASS_TO_PASS</v>
      </c>
    </row>
    <row r="198" customFormat="false" ht="15" hidden="false" customHeight="false" outlineLevel="0" collapsed="false">
      <c r="A198" s="7" t="s">
        <v>48</v>
      </c>
      <c r="B198" s="7" t="s">
        <v>10</v>
      </c>
      <c r="C198" s="7" t="s">
        <v>49</v>
      </c>
      <c r="D198" s="7" t="s">
        <v>92</v>
      </c>
      <c r="E198" s="7" t="s">
        <v>91</v>
      </c>
      <c r="F198" s="7" t="s">
        <v>135</v>
      </c>
      <c r="G198" s="8" t="b">
        <f aca="false">TRUE()</f>
        <v>1</v>
      </c>
      <c r="H198" s="8" t="b">
        <f aca="false">TRUE()</f>
        <v>1</v>
      </c>
      <c r="I198" s="7" t="str">
        <f aca="false">IF(AND(G198,H198),"PASS_TO_PASS",IF(G198,"PASS_TO_FAIL",IF(H198,"FAIL_TO_PASS","FAIL_TO_FAIL")))</f>
        <v>PASS_TO_PASS</v>
      </c>
    </row>
    <row r="199" customFormat="false" ht="15" hidden="false" customHeight="false" outlineLevel="0" collapsed="false">
      <c r="A199" s="7" t="s">
        <v>48</v>
      </c>
      <c r="B199" s="7" t="s">
        <v>10</v>
      </c>
      <c r="C199" s="7" t="s">
        <v>49</v>
      </c>
      <c r="D199" s="7" t="s">
        <v>92</v>
      </c>
      <c r="E199" s="7" t="s">
        <v>91</v>
      </c>
      <c r="F199" s="7" t="s">
        <v>136</v>
      </c>
      <c r="G199" s="8" t="b">
        <f aca="false">TRUE()</f>
        <v>1</v>
      </c>
      <c r="H199" s="8" t="b">
        <f aca="false">TRUE()</f>
        <v>1</v>
      </c>
      <c r="I199" s="7" t="str">
        <f aca="false">IF(AND(G199,H199),"PASS_TO_PASS",IF(G199,"PASS_TO_FAIL",IF(H199,"FAIL_TO_PASS","FAIL_TO_FAIL")))</f>
        <v>PASS_TO_PASS</v>
      </c>
    </row>
    <row r="200" customFormat="false" ht="15" hidden="false" customHeight="false" outlineLevel="0" collapsed="false">
      <c r="A200" s="7" t="s">
        <v>48</v>
      </c>
      <c r="B200" s="7" t="s">
        <v>10</v>
      </c>
      <c r="C200" s="7" t="s">
        <v>49</v>
      </c>
      <c r="D200" s="7" t="s">
        <v>92</v>
      </c>
      <c r="E200" s="7" t="s">
        <v>91</v>
      </c>
      <c r="F200" s="7" t="s">
        <v>137</v>
      </c>
      <c r="G200" s="8" t="b">
        <f aca="false">TRUE()</f>
        <v>1</v>
      </c>
      <c r="H200" s="8" t="b">
        <f aca="false">TRUE()</f>
        <v>1</v>
      </c>
      <c r="I200" s="7" t="str">
        <f aca="false">IF(AND(G200,H200),"PASS_TO_PASS",IF(G200,"PASS_TO_FAIL",IF(H200,"FAIL_TO_PASS","FAIL_TO_FAIL")))</f>
        <v>PASS_TO_PASS</v>
      </c>
    </row>
    <row r="201" customFormat="false" ht="15" hidden="false" customHeight="false" outlineLevel="0" collapsed="false">
      <c r="A201" s="7" t="s">
        <v>48</v>
      </c>
      <c r="B201" s="7" t="s">
        <v>10</v>
      </c>
      <c r="C201" s="7" t="s">
        <v>49</v>
      </c>
      <c r="D201" s="7" t="s">
        <v>92</v>
      </c>
      <c r="E201" s="7" t="s">
        <v>91</v>
      </c>
      <c r="F201" s="7" t="s">
        <v>138</v>
      </c>
      <c r="G201" s="8" t="b">
        <f aca="false">TRUE()</f>
        <v>1</v>
      </c>
      <c r="H201" s="8" t="b">
        <f aca="false">TRUE()</f>
        <v>1</v>
      </c>
      <c r="I201" s="7" t="str">
        <f aca="false">IF(AND(G201,H201),"PASS_TO_PASS",IF(G201,"PASS_TO_FAIL",IF(H201,"FAIL_TO_PASS","FAIL_TO_FAIL")))</f>
        <v>PASS_TO_PASS</v>
      </c>
    </row>
    <row r="202" customFormat="false" ht="15" hidden="false" customHeight="false" outlineLevel="0" collapsed="false">
      <c r="A202" s="7" t="s">
        <v>48</v>
      </c>
      <c r="B202" s="7" t="s">
        <v>10</v>
      </c>
      <c r="C202" s="7" t="s">
        <v>49</v>
      </c>
      <c r="D202" s="7" t="s">
        <v>92</v>
      </c>
      <c r="E202" s="7" t="s">
        <v>91</v>
      </c>
      <c r="F202" s="7" t="s">
        <v>139</v>
      </c>
      <c r="G202" s="8" t="b">
        <f aca="false">TRUE()</f>
        <v>1</v>
      </c>
      <c r="H202" s="8" t="b">
        <f aca="false">TRUE()</f>
        <v>1</v>
      </c>
      <c r="I202" s="7" t="str">
        <f aca="false">IF(AND(G202,H202),"PASS_TO_PASS",IF(G202,"PASS_TO_FAIL",IF(H202,"FAIL_TO_PASS","FAIL_TO_FAIL")))</f>
        <v>PASS_TO_PASS</v>
      </c>
    </row>
    <row r="203" customFormat="false" ht="15" hidden="false" customHeight="false" outlineLevel="0" collapsed="false">
      <c r="A203" s="7" t="s">
        <v>48</v>
      </c>
      <c r="B203" s="7" t="s">
        <v>10</v>
      </c>
      <c r="C203" s="7" t="s">
        <v>49</v>
      </c>
      <c r="D203" s="7" t="s">
        <v>92</v>
      </c>
      <c r="E203" s="7" t="s">
        <v>91</v>
      </c>
      <c r="F203" s="7" t="s">
        <v>140</v>
      </c>
      <c r="G203" s="8" t="b">
        <f aca="false">TRUE()</f>
        <v>1</v>
      </c>
      <c r="H203" s="8" t="b">
        <f aca="false">TRUE()</f>
        <v>1</v>
      </c>
      <c r="I203" s="7" t="str">
        <f aca="false">IF(AND(G203,H203),"PASS_TO_PASS",IF(G203,"PASS_TO_FAIL",IF(H203,"FAIL_TO_PASS","FAIL_TO_FAIL")))</f>
        <v>PASS_TO_PASS</v>
      </c>
    </row>
    <row r="204" customFormat="false" ht="15" hidden="false" customHeight="false" outlineLevel="0" collapsed="false">
      <c r="A204" s="7" t="s">
        <v>48</v>
      </c>
      <c r="B204" s="7" t="s">
        <v>10</v>
      </c>
      <c r="C204" s="7" t="s">
        <v>49</v>
      </c>
      <c r="D204" s="7" t="s">
        <v>92</v>
      </c>
      <c r="E204" s="7" t="s">
        <v>91</v>
      </c>
      <c r="F204" s="7" t="s">
        <v>141</v>
      </c>
      <c r="G204" s="8" t="b">
        <f aca="false">TRUE()</f>
        <v>1</v>
      </c>
      <c r="H204" s="8" t="b">
        <f aca="false">TRUE()</f>
        <v>1</v>
      </c>
      <c r="I204" s="7" t="str">
        <f aca="false">IF(AND(G204,H204),"PASS_TO_PASS",IF(G204,"PASS_TO_FAIL",IF(H204,"FAIL_TO_PASS","FAIL_TO_FAIL")))</f>
        <v>PASS_TO_PASS</v>
      </c>
    </row>
    <row r="205" customFormat="false" ht="15" hidden="false" customHeight="false" outlineLevel="0" collapsed="false">
      <c r="A205" s="7" t="s">
        <v>48</v>
      </c>
      <c r="B205" s="7" t="s">
        <v>10</v>
      </c>
      <c r="C205" s="7" t="s">
        <v>49</v>
      </c>
      <c r="D205" s="7" t="s">
        <v>92</v>
      </c>
      <c r="E205" s="7" t="s">
        <v>91</v>
      </c>
      <c r="F205" s="7" t="s">
        <v>142</v>
      </c>
      <c r="G205" s="8" t="b">
        <f aca="false">TRUE()</f>
        <v>1</v>
      </c>
      <c r="H205" s="8" t="b">
        <f aca="false">TRUE()</f>
        <v>1</v>
      </c>
      <c r="I205" s="7" t="str">
        <f aca="false">IF(AND(G205,H205),"PASS_TO_PASS",IF(G205,"PASS_TO_FAIL",IF(H205,"FAIL_TO_PASS","FAIL_TO_FAIL")))</f>
        <v>PASS_TO_PASS</v>
      </c>
    </row>
    <row r="206" customFormat="false" ht="15" hidden="false" customHeight="false" outlineLevel="0" collapsed="false">
      <c r="A206" s="7" t="s">
        <v>48</v>
      </c>
      <c r="B206" s="7" t="s">
        <v>10</v>
      </c>
      <c r="C206" s="7" t="s">
        <v>49</v>
      </c>
      <c r="D206" s="7" t="s">
        <v>92</v>
      </c>
      <c r="E206" s="7" t="s">
        <v>91</v>
      </c>
      <c r="F206" s="7" t="s">
        <v>143</v>
      </c>
      <c r="G206" s="8" t="b">
        <f aca="false">FALSE()</f>
        <v>0</v>
      </c>
      <c r="H206" s="8" t="b">
        <f aca="false">TRUE()</f>
        <v>1</v>
      </c>
      <c r="I206" s="7" t="str">
        <f aca="false">IF(AND(G206,H206),"PASS_TO_PASS",IF(G206,"PASS_TO_FAIL",IF(H206,"FAIL_TO_PASS","FAIL_TO_FAIL")))</f>
        <v>FAIL_TO_PASS</v>
      </c>
    </row>
    <row r="207" customFormat="false" ht="15" hidden="false" customHeight="false" outlineLevel="0" collapsed="false">
      <c r="A207" s="7" t="s">
        <v>48</v>
      </c>
      <c r="B207" s="7" t="s">
        <v>10</v>
      </c>
      <c r="C207" s="7" t="s">
        <v>49</v>
      </c>
      <c r="D207" s="7" t="s">
        <v>92</v>
      </c>
      <c r="E207" s="7" t="s">
        <v>91</v>
      </c>
      <c r="F207" s="7" t="s">
        <v>144</v>
      </c>
      <c r="G207" s="8" t="b">
        <f aca="false">TRUE()</f>
        <v>1</v>
      </c>
      <c r="H207" s="8" t="b">
        <f aca="false">TRUE()</f>
        <v>1</v>
      </c>
      <c r="I207" s="7" t="str">
        <f aca="false">IF(AND(G207,H207),"PASS_TO_PASS",IF(G207,"PASS_TO_FAIL",IF(H207,"FAIL_TO_PASS","FAIL_TO_FAIL")))</f>
        <v>PASS_TO_PASS</v>
      </c>
    </row>
    <row r="208" customFormat="false" ht="15" hidden="false" customHeight="false" outlineLevel="0" collapsed="false">
      <c r="A208" s="7" t="s">
        <v>48</v>
      </c>
      <c r="B208" s="7" t="s">
        <v>10</v>
      </c>
      <c r="C208" s="7" t="s">
        <v>49</v>
      </c>
      <c r="D208" s="7" t="s">
        <v>92</v>
      </c>
      <c r="E208" s="7" t="s">
        <v>91</v>
      </c>
      <c r="F208" s="7" t="s">
        <v>145</v>
      </c>
      <c r="G208" s="8" t="b">
        <f aca="false">TRUE()</f>
        <v>1</v>
      </c>
      <c r="H208" s="8" t="b">
        <f aca="false">TRUE()</f>
        <v>1</v>
      </c>
      <c r="I208" s="7" t="str">
        <f aca="false">IF(AND(G208,H208),"PASS_TO_PASS",IF(G208,"PASS_TO_FAIL",IF(H208,"FAIL_TO_PASS","FAIL_TO_FAIL")))</f>
        <v>PASS_TO_PASS</v>
      </c>
    </row>
    <row r="209" customFormat="false" ht="15" hidden="false" customHeight="false" outlineLevel="0" collapsed="false">
      <c r="A209" s="7" t="s">
        <v>82</v>
      </c>
      <c r="B209" s="7" t="s">
        <v>83</v>
      </c>
      <c r="C209" s="7" t="s">
        <v>49</v>
      </c>
      <c r="D209" s="7" t="s">
        <v>92</v>
      </c>
      <c r="E209" s="7" t="s">
        <v>91</v>
      </c>
      <c r="F209" s="7" t="s">
        <v>134</v>
      </c>
      <c r="G209" s="8" t="b">
        <f aca="false">TRUE()</f>
        <v>1</v>
      </c>
      <c r="H209" s="8" t="b">
        <f aca="false">TRUE()</f>
        <v>1</v>
      </c>
      <c r="I209" s="7" t="str">
        <f aca="false">IF(AND(G209,H209),"PASS_TO_PASS",IF(G209,"PASS_TO_FAIL",IF(H209,"FAIL_TO_PASS","FAIL_TO_FAIL")))</f>
        <v>PASS_TO_PASS</v>
      </c>
    </row>
    <row r="210" customFormat="false" ht="15" hidden="false" customHeight="false" outlineLevel="0" collapsed="false">
      <c r="A210" s="7" t="s">
        <v>82</v>
      </c>
      <c r="B210" s="7" t="s">
        <v>83</v>
      </c>
      <c r="C210" s="7" t="s">
        <v>49</v>
      </c>
      <c r="D210" s="7" t="s">
        <v>92</v>
      </c>
      <c r="E210" s="7" t="s">
        <v>91</v>
      </c>
      <c r="F210" s="7" t="s">
        <v>135</v>
      </c>
      <c r="G210" s="8" t="b">
        <f aca="false">TRUE()</f>
        <v>1</v>
      </c>
      <c r="H210" s="8" t="b">
        <f aca="false">TRUE()</f>
        <v>1</v>
      </c>
      <c r="I210" s="7" t="str">
        <f aca="false">IF(AND(G210,H210),"PASS_TO_PASS",IF(G210,"PASS_TO_FAIL",IF(H210,"FAIL_TO_PASS","FAIL_TO_FAIL")))</f>
        <v>PASS_TO_PASS</v>
      </c>
    </row>
    <row r="211" customFormat="false" ht="15" hidden="false" customHeight="false" outlineLevel="0" collapsed="false">
      <c r="A211" s="7" t="s">
        <v>82</v>
      </c>
      <c r="B211" s="7" t="s">
        <v>83</v>
      </c>
      <c r="C211" s="7" t="s">
        <v>49</v>
      </c>
      <c r="D211" s="7" t="s">
        <v>92</v>
      </c>
      <c r="E211" s="7" t="s">
        <v>91</v>
      </c>
      <c r="F211" s="7" t="s">
        <v>136</v>
      </c>
      <c r="G211" s="8" t="b">
        <f aca="false">TRUE()</f>
        <v>1</v>
      </c>
      <c r="H211" s="8" t="b">
        <f aca="false">TRUE()</f>
        <v>1</v>
      </c>
      <c r="I211" s="7" t="str">
        <f aca="false">IF(AND(G211,H211),"PASS_TO_PASS",IF(G211,"PASS_TO_FAIL",IF(H211,"FAIL_TO_PASS","FAIL_TO_FAIL")))</f>
        <v>PASS_TO_PASS</v>
      </c>
    </row>
    <row r="212" customFormat="false" ht="15" hidden="false" customHeight="false" outlineLevel="0" collapsed="false">
      <c r="A212" s="7" t="s">
        <v>82</v>
      </c>
      <c r="B212" s="7" t="s">
        <v>83</v>
      </c>
      <c r="C212" s="7" t="s">
        <v>49</v>
      </c>
      <c r="D212" s="7" t="s">
        <v>92</v>
      </c>
      <c r="E212" s="7" t="s">
        <v>91</v>
      </c>
      <c r="F212" s="7" t="s">
        <v>137</v>
      </c>
      <c r="G212" s="8" t="b">
        <f aca="false">TRUE()</f>
        <v>1</v>
      </c>
      <c r="H212" s="8" t="b">
        <f aca="false">TRUE()</f>
        <v>1</v>
      </c>
      <c r="I212" s="7" t="str">
        <f aca="false">IF(AND(G212,H212),"PASS_TO_PASS",IF(G212,"PASS_TO_FAIL",IF(H212,"FAIL_TO_PASS","FAIL_TO_FAIL")))</f>
        <v>PASS_TO_PASS</v>
      </c>
    </row>
    <row r="213" customFormat="false" ht="15" hidden="false" customHeight="false" outlineLevel="0" collapsed="false">
      <c r="A213" s="7" t="s">
        <v>82</v>
      </c>
      <c r="B213" s="7" t="s">
        <v>83</v>
      </c>
      <c r="C213" s="7" t="s">
        <v>49</v>
      </c>
      <c r="D213" s="7" t="s">
        <v>92</v>
      </c>
      <c r="E213" s="7" t="s">
        <v>91</v>
      </c>
      <c r="F213" s="7" t="s">
        <v>138</v>
      </c>
      <c r="G213" s="8" t="b">
        <f aca="false">TRUE()</f>
        <v>1</v>
      </c>
      <c r="H213" s="8" t="b">
        <f aca="false">TRUE()</f>
        <v>1</v>
      </c>
      <c r="I213" s="7" t="str">
        <f aca="false">IF(AND(G213,H213),"PASS_TO_PASS",IF(G213,"PASS_TO_FAIL",IF(H213,"FAIL_TO_PASS","FAIL_TO_FAIL")))</f>
        <v>PASS_TO_PASS</v>
      </c>
    </row>
    <row r="214" customFormat="false" ht="15" hidden="false" customHeight="false" outlineLevel="0" collapsed="false">
      <c r="A214" s="7" t="s">
        <v>82</v>
      </c>
      <c r="B214" s="7" t="s">
        <v>83</v>
      </c>
      <c r="C214" s="7" t="s">
        <v>49</v>
      </c>
      <c r="D214" s="7" t="s">
        <v>92</v>
      </c>
      <c r="E214" s="7" t="s">
        <v>91</v>
      </c>
      <c r="F214" s="7" t="s">
        <v>139</v>
      </c>
      <c r="G214" s="8" t="b">
        <f aca="false">TRUE()</f>
        <v>1</v>
      </c>
      <c r="H214" s="8" t="b">
        <f aca="false">TRUE()</f>
        <v>1</v>
      </c>
      <c r="I214" s="7" t="str">
        <f aca="false">IF(AND(G214,H214),"PASS_TO_PASS",IF(G214,"PASS_TO_FAIL",IF(H214,"FAIL_TO_PASS","FAIL_TO_FAIL")))</f>
        <v>PASS_TO_PASS</v>
      </c>
    </row>
    <row r="215" customFormat="false" ht="15" hidden="false" customHeight="false" outlineLevel="0" collapsed="false">
      <c r="A215" s="7" t="s">
        <v>82</v>
      </c>
      <c r="B215" s="7" t="s">
        <v>83</v>
      </c>
      <c r="C215" s="7" t="s">
        <v>49</v>
      </c>
      <c r="D215" s="7" t="s">
        <v>92</v>
      </c>
      <c r="E215" s="7" t="s">
        <v>91</v>
      </c>
      <c r="F215" s="7" t="s">
        <v>140</v>
      </c>
      <c r="G215" s="8" t="b">
        <f aca="false">TRUE()</f>
        <v>1</v>
      </c>
      <c r="H215" s="8" t="b">
        <f aca="false">TRUE()</f>
        <v>1</v>
      </c>
      <c r="I215" s="7" t="str">
        <f aca="false">IF(AND(G215,H215),"PASS_TO_PASS",IF(G215,"PASS_TO_FAIL",IF(H215,"FAIL_TO_PASS","FAIL_TO_FAIL")))</f>
        <v>PASS_TO_PASS</v>
      </c>
    </row>
    <row r="216" customFormat="false" ht="15" hidden="false" customHeight="false" outlineLevel="0" collapsed="false">
      <c r="A216" s="7" t="s">
        <v>82</v>
      </c>
      <c r="B216" s="7" t="s">
        <v>83</v>
      </c>
      <c r="C216" s="7" t="s">
        <v>49</v>
      </c>
      <c r="D216" s="7" t="s">
        <v>92</v>
      </c>
      <c r="E216" s="7" t="s">
        <v>91</v>
      </c>
      <c r="F216" s="7" t="s">
        <v>141</v>
      </c>
      <c r="G216" s="8" t="b">
        <f aca="false">TRUE()</f>
        <v>1</v>
      </c>
      <c r="H216" s="8" t="b">
        <f aca="false">TRUE()</f>
        <v>1</v>
      </c>
      <c r="I216" s="7" t="str">
        <f aca="false">IF(AND(G216,H216),"PASS_TO_PASS",IF(G216,"PASS_TO_FAIL",IF(H216,"FAIL_TO_PASS","FAIL_TO_FAIL")))</f>
        <v>PASS_TO_PASS</v>
      </c>
    </row>
    <row r="217" customFormat="false" ht="15" hidden="false" customHeight="false" outlineLevel="0" collapsed="false">
      <c r="A217" s="7" t="s">
        <v>82</v>
      </c>
      <c r="B217" s="7" t="s">
        <v>83</v>
      </c>
      <c r="C217" s="7" t="s">
        <v>49</v>
      </c>
      <c r="D217" s="7" t="s">
        <v>92</v>
      </c>
      <c r="E217" s="7" t="s">
        <v>91</v>
      </c>
      <c r="F217" s="7" t="s">
        <v>142</v>
      </c>
      <c r="G217" s="8" t="b">
        <f aca="false">TRUE()</f>
        <v>1</v>
      </c>
      <c r="H217" s="8" t="b">
        <f aca="false">TRUE()</f>
        <v>1</v>
      </c>
      <c r="I217" s="7" t="str">
        <f aca="false">IF(AND(G217,H217),"PASS_TO_PASS",IF(G217,"PASS_TO_FAIL",IF(H217,"FAIL_TO_PASS","FAIL_TO_FAIL")))</f>
        <v>PASS_TO_PASS</v>
      </c>
    </row>
    <row r="218" customFormat="false" ht="15" hidden="false" customHeight="false" outlineLevel="0" collapsed="false">
      <c r="A218" s="7" t="s">
        <v>82</v>
      </c>
      <c r="B218" s="7" t="s">
        <v>83</v>
      </c>
      <c r="C218" s="7" t="s">
        <v>49</v>
      </c>
      <c r="D218" s="7" t="s">
        <v>92</v>
      </c>
      <c r="E218" s="7" t="s">
        <v>91</v>
      </c>
      <c r="F218" s="7" t="s">
        <v>143</v>
      </c>
      <c r="G218" s="8" t="b">
        <f aca="false">TRUE()</f>
        <v>1</v>
      </c>
      <c r="H218" s="8" t="b">
        <f aca="false">TRUE()</f>
        <v>1</v>
      </c>
      <c r="I218" s="7" t="str">
        <f aca="false">IF(AND(G218,H218),"PASS_TO_PASS",IF(G218,"PASS_TO_FAIL",IF(H218,"FAIL_TO_PASS","FAIL_TO_FAIL")))</f>
        <v>PASS_TO_PASS</v>
      </c>
    </row>
    <row r="219" customFormat="false" ht="15" hidden="false" customHeight="false" outlineLevel="0" collapsed="false">
      <c r="A219" s="7" t="s">
        <v>82</v>
      </c>
      <c r="B219" s="7" t="s">
        <v>83</v>
      </c>
      <c r="C219" s="7" t="s">
        <v>49</v>
      </c>
      <c r="D219" s="7" t="s">
        <v>92</v>
      </c>
      <c r="E219" s="7" t="s">
        <v>91</v>
      </c>
      <c r="F219" s="7" t="s">
        <v>144</v>
      </c>
      <c r="G219" s="8" t="b">
        <f aca="false">TRUE()</f>
        <v>1</v>
      </c>
      <c r="H219" s="8" t="b">
        <f aca="false">TRUE()</f>
        <v>1</v>
      </c>
      <c r="I219" s="7" t="str">
        <f aca="false">IF(AND(G219,H219),"PASS_TO_PASS",IF(G219,"PASS_TO_FAIL",IF(H219,"FAIL_TO_PASS","FAIL_TO_FAIL")))</f>
        <v>PASS_TO_PASS</v>
      </c>
    </row>
    <row r="220" customFormat="false" ht="15" hidden="false" customHeight="false" outlineLevel="0" collapsed="false">
      <c r="A220" s="7" t="s">
        <v>82</v>
      </c>
      <c r="B220" s="7" t="s">
        <v>83</v>
      </c>
      <c r="C220" s="7" t="s">
        <v>49</v>
      </c>
      <c r="D220" s="7" t="s">
        <v>92</v>
      </c>
      <c r="E220" s="7" t="s">
        <v>91</v>
      </c>
      <c r="F220" s="7" t="s">
        <v>145</v>
      </c>
      <c r="G220" s="8" t="b">
        <f aca="false">TRUE()</f>
        <v>1</v>
      </c>
      <c r="H220" s="8" t="b">
        <f aca="false">TRUE()</f>
        <v>1</v>
      </c>
      <c r="I220" s="7" t="str">
        <f aca="false">IF(AND(G220,H220),"PASS_TO_PASS",IF(G220,"PASS_TO_FAIL",IF(H220,"FAIL_TO_PASS","FAIL_TO_FAIL")))</f>
        <v>PASS_TO_PASS</v>
      </c>
    </row>
    <row r="221" customFormat="false" ht="15" hidden="false" customHeight="false" outlineLevel="0" collapsed="false">
      <c r="A221" s="7" t="s">
        <v>48</v>
      </c>
      <c r="B221" s="7" t="s">
        <v>10</v>
      </c>
      <c r="C221" s="7" t="s">
        <v>49</v>
      </c>
      <c r="D221" s="7" t="s">
        <v>93</v>
      </c>
      <c r="E221" s="7" t="s">
        <v>91</v>
      </c>
      <c r="F221" s="7" t="s">
        <v>134</v>
      </c>
      <c r="G221" s="8" t="b">
        <f aca="false">TRUE()</f>
        <v>1</v>
      </c>
      <c r="H221" s="8" t="b">
        <f aca="false">TRUE()</f>
        <v>1</v>
      </c>
      <c r="I221" s="7" t="str">
        <f aca="false">IF(AND(G221,H221),"PASS_TO_PASS",IF(G221,"PASS_TO_FAIL",IF(H221,"FAIL_TO_PASS","FAIL_TO_FAIL")))</f>
        <v>PASS_TO_PASS</v>
      </c>
    </row>
    <row r="222" customFormat="false" ht="15" hidden="false" customHeight="false" outlineLevel="0" collapsed="false">
      <c r="A222" s="7" t="s">
        <v>48</v>
      </c>
      <c r="B222" s="7" t="s">
        <v>10</v>
      </c>
      <c r="C222" s="7" t="s">
        <v>49</v>
      </c>
      <c r="D222" s="7" t="s">
        <v>93</v>
      </c>
      <c r="E222" s="7" t="s">
        <v>91</v>
      </c>
      <c r="F222" s="7" t="s">
        <v>135</v>
      </c>
      <c r="G222" s="8" t="b">
        <f aca="false">TRUE()</f>
        <v>1</v>
      </c>
      <c r="H222" s="8" t="b">
        <f aca="false">TRUE()</f>
        <v>1</v>
      </c>
      <c r="I222" s="7" t="str">
        <f aca="false">IF(AND(G222,H222),"PASS_TO_PASS",IF(G222,"PASS_TO_FAIL",IF(H222,"FAIL_TO_PASS","FAIL_TO_FAIL")))</f>
        <v>PASS_TO_PASS</v>
      </c>
    </row>
    <row r="223" customFormat="false" ht="15" hidden="false" customHeight="false" outlineLevel="0" collapsed="false">
      <c r="A223" s="7" t="s">
        <v>48</v>
      </c>
      <c r="B223" s="7" t="s">
        <v>10</v>
      </c>
      <c r="C223" s="7" t="s">
        <v>49</v>
      </c>
      <c r="D223" s="7" t="s">
        <v>93</v>
      </c>
      <c r="E223" s="7" t="s">
        <v>91</v>
      </c>
      <c r="F223" s="7" t="s">
        <v>136</v>
      </c>
      <c r="G223" s="8" t="b">
        <f aca="false">TRUE()</f>
        <v>1</v>
      </c>
      <c r="H223" s="8" t="b">
        <f aca="false">TRUE()</f>
        <v>1</v>
      </c>
      <c r="I223" s="7" t="str">
        <f aca="false">IF(AND(G223,H223),"PASS_TO_PASS",IF(G223,"PASS_TO_FAIL",IF(H223,"FAIL_TO_PASS","FAIL_TO_FAIL")))</f>
        <v>PASS_TO_PASS</v>
      </c>
    </row>
    <row r="224" customFormat="false" ht="15" hidden="false" customHeight="false" outlineLevel="0" collapsed="false">
      <c r="A224" s="7" t="s">
        <v>48</v>
      </c>
      <c r="B224" s="7" t="s">
        <v>10</v>
      </c>
      <c r="C224" s="7" t="s">
        <v>49</v>
      </c>
      <c r="D224" s="7" t="s">
        <v>93</v>
      </c>
      <c r="E224" s="7" t="s">
        <v>91</v>
      </c>
      <c r="F224" s="7" t="s">
        <v>137</v>
      </c>
      <c r="G224" s="8" t="b">
        <f aca="false">TRUE()</f>
        <v>1</v>
      </c>
      <c r="H224" s="8" t="b">
        <f aca="false">TRUE()</f>
        <v>1</v>
      </c>
      <c r="I224" s="7" t="str">
        <f aca="false">IF(AND(G224,H224),"PASS_TO_PASS",IF(G224,"PASS_TO_FAIL",IF(H224,"FAIL_TO_PASS","FAIL_TO_FAIL")))</f>
        <v>PASS_TO_PASS</v>
      </c>
    </row>
    <row r="225" customFormat="false" ht="15" hidden="false" customHeight="false" outlineLevel="0" collapsed="false">
      <c r="A225" s="7" t="s">
        <v>48</v>
      </c>
      <c r="B225" s="7" t="s">
        <v>10</v>
      </c>
      <c r="C225" s="7" t="s">
        <v>49</v>
      </c>
      <c r="D225" s="7" t="s">
        <v>93</v>
      </c>
      <c r="E225" s="7" t="s">
        <v>91</v>
      </c>
      <c r="F225" s="7" t="s">
        <v>138</v>
      </c>
      <c r="G225" s="8" t="b">
        <f aca="false">TRUE()</f>
        <v>1</v>
      </c>
      <c r="H225" s="8" t="b">
        <f aca="false">FALSE()</f>
        <v>0</v>
      </c>
      <c r="I225" s="7" t="str">
        <f aca="false">IF(AND(G225,H225),"PASS_TO_PASS",IF(G225,"PASS_TO_FAIL",IF(H225,"FAIL_TO_PASS","FAIL_TO_FAIL")))</f>
        <v>PASS_TO_FAIL</v>
      </c>
    </row>
    <row r="226" customFormat="false" ht="15" hidden="false" customHeight="false" outlineLevel="0" collapsed="false">
      <c r="A226" s="7" t="s">
        <v>48</v>
      </c>
      <c r="B226" s="7" t="s">
        <v>10</v>
      </c>
      <c r="C226" s="7" t="s">
        <v>49</v>
      </c>
      <c r="D226" s="7" t="s">
        <v>93</v>
      </c>
      <c r="E226" s="7" t="s">
        <v>91</v>
      </c>
      <c r="F226" s="7" t="s">
        <v>139</v>
      </c>
      <c r="G226" s="8" t="b">
        <f aca="false">TRUE()</f>
        <v>1</v>
      </c>
      <c r="H226" s="8" t="b">
        <f aca="false">TRUE()</f>
        <v>1</v>
      </c>
      <c r="I226" s="7" t="str">
        <f aca="false">IF(AND(G226,H226),"PASS_TO_PASS",IF(G226,"PASS_TO_FAIL",IF(H226,"FAIL_TO_PASS","FAIL_TO_FAIL")))</f>
        <v>PASS_TO_PASS</v>
      </c>
    </row>
    <row r="227" customFormat="false" ht="15" hidden="false" customHeight="false" outlineLevel="0" collapsed="false">
      <c r="A227" s="7" t="s">
        <v>48</v>
      </c>
      <c r="B227" s="7" t="s">
        <v>10</v>
      </c>
      <c r="C227" s="7" t="s">
        <v>49</v>
      </c>
      <c r="D227" s="7" t="s">
        <v>93</v>
      </c>
      <c r="E227" s="7" t="s">
        <v>91</v>
      </c>
      <c r="F227" s="7" t="s">
        <v>140</v>
      </c>
      <c r="G227" s="8" t="b">
        <f aca="false">FALSE()</f>
        <v>0</v>
      </c>
      <c r="H227" s="8" t="b">
        <f aca="false">FALSE()</f>
        <v>0</v>
      </c>
      <c r="I227" s="7" t="str">
        <f aca="false">IF(AND(G227,H227),"PASS_TO_PASS",IF(G227,"PASS_TO_FAIL",IF(H227,"FAIL_TO_PASS","FAIL_TO_FAIL")))</f>
        <v>FAIL_TO_FAIL</v>
      </c>
    </row>
    <row r="228" customFormat="false" ht="15" hidden="false" customHeight="false" outlineLevel="0" collapsed="false">
      <c r="A228" s="7" t="s">
        <v>48</v>
      </c>
      <c r="B228" s="7" t="s">
        <v>10</v>
      </c>
      <c r="C228" s="7" t="s">
        <v>49</v>
      </c>
      <c r="D228" s="7" t="s">
        <v>93</v>
      </c>
      <c r="E228" s="7" t="s">
        <v>91</v>
      </c>
      <c r="F228" s="7" t="s">
        <v>141</v>
      </c>
      <c r="G228" s="8" t="b">
        <f aca="false">TRUE()</f>
        <v>1</v>
      </c>
      <c r="H228" s="8" t="b">
        <f aca="false">TRUE()</f>
        <v>1</v>
      </c>
      <c r="I228" s="7" t="str">
        <f aca="false">IF(AND(G228,H228),"PASS_TO_PASS",IF(G228,"PASS_TO_FAIL",IF(H228,"FAIL_TO_PASS","FAIL_TO_FAIL")))</f>
        <v>PASS_TO_PASS</v>
      </c>
    </row>
    <row r="229" customFormat="false" ht="15" hidden="false" customHeight="false" outlineLevel="0" collapsed="false">
      <c r="A229" s="7" t="s">
        <v>48</v>
      </c>
      <c r="B229" s="7" t="s">
        <v>10</v>
      </c>
      <c r="C229" s="7" t="s">
        <v>49</v>
      </c>
      <c r="D229" s="7" t="s">
        <v>93</v>
      </c>
      <c r="E229" s="7" t="s">
        <v>91</v>
      </c>
      <c r="F229" s="7" t="s">
        <v>142</v>
      </c>
      <c r="G229" s="8" t="b">
        <f aca="false">FALSE()</f>
        <v>0</v>
      </c>
      <c r="H229" s="8" t="b">
        <f aca="false">FALSE()</f>
        <v>0</v>
      </c>
      <c r="I229" s="7" t="str">
        <f aca="false">IF(AND(G229,H229),"PASS_TO_PASS",IF(G229,"PASS_TO_FAIL",IF(H229,"FAIL_TO_PASS","FAIL_TO_FAIL")))</f>
        <v>FAIL_TO_FAIL</v>
      </c>
    </row>
    <row r="230" customFormat="false" ht="15" hidden="false" customHeight="false" outlineLevel="0" collapsed="false">
      <c r="A230" s="7" t="s">
        <v>48</v>
      </c>
      <c r="B230" s="7" t="s">
        <v>10</v>
      </c>
      <c r="C230" s="7" t="s">
        <v>49</v>
      </c>
      <c r="D230" s="7" t="s">
        <v>93</v>
      </c>
      <c r="E230" s="7" t="s">
        <v>91</v>
      </c>
      <c r="F230" s="7" t="s">
        <v>143</v>
      </c>
      <c r="G230" s="8" t="b">
        <f aca="false">FALSE()</f>
        <v>0</v>
      </c>
      <c r="H230" s="8" t="b">
        <f aca="false">FALSE()</f>
        <v>0</v>
      </c>
      <c r="I230" s="7" t="str">
        <f aca="false">IF(AND(G230,H230),"PASS_TO_PASS",IF(G230,"PASS_TO_FAIL",IF(H230,"FAIL_TO_PASS","FAIL_TO_FAIL")))</f>
        <v>FAIL_TO_FAIL</v>
      </c>
    </row>
    <row r="231" customFormat="false" ht="15" hidden="false" customHeight="false" outlineLevel="0" collapsed="false">
      <c r="A231" s="7" t="s">
        <v>48</v>
      </c>
      <c r="B231" s="7" t="s">
        <v>10</v>
      </c>
      <c r="C231" s="7" t="s">
        <v>49</v>
      </c>
      <c r="D231" s="7" t="s">
        <v>93</v>
      </c>
      <c r="E231" s="7" t="s">
        <v>91</v>
      </c>
      <c r="F231" s="7" t="s">
        <v>144</v>
      </c>
      <c r="G231" s="8" t="b">
        <f aca="false">TRUE()</f>
        <v>1</v>
      </c>
      <c r="H231" s="8" t="b">
        <f aca="false">TRUE()</f>
        <v>1</v>
      </c>
      <c r="I231" s="7" t="str">
        <f aca="false">IF(AND(G231,H231),"PASS_TO_PASS",IF(G231,"PASS_TO_FAIL",IF(H231,"FAIL_TO_PASS","FAIL_TO_FAIL")))</f>
        <v>PASS_TO_PASS</v>
      </c>
    </row>
    <row r="232" customFormat="false" ht="15" hidden="false" customHeight="false" outlineLevel="0" collapsed="false">
      <c r="A232" s="7" t="s">
        <v>48</v>
      </c>
      <c r="B232" s="7" t="s">
        <v>10</v>
      </c>
      <c r="C232" s="7" t="s">
        <v>49</v>
      </c>
      <c r="D232" s="7" t="s">
        <v>93</v>
      </c>
      <c r="E232" s="7" t="s">
        <v>91</v>
      </c>
      <c r="F232" s="7" t="s">
        <v>145</v>
      </c>
      <c r="G232" s="8" t="b">
        <f aca="false">TRUE()</f>
        <v>1</v>
      </c>
      <c r="H232" s="8" t="b">
        <f aca="false">TRUE()</f>
        <v>1</v>
      </c>
      <c r="I232" s="7" t="str">
        <f aca="false">IF(AND(G232,H232),"PASS_TO_PASS",IF(G232,"PASS_TO_FAIL",IF(H232,"FAIL_TO_PASS","FAIL_TO_FAIL")))</f>
        <v>PASS_TO_PASS</v>
      </c>
    </row>
    <row r="233" customFormat="false" ht="15" hidden="false" customHeight="false" outlineLevel="0" collapsed="false">
      <c r="A233" s="7" t="s">
        <v>82</v>
      </c>
      <c r="B233" s="7" t="s">
        <v>83</v>
      </c>
      <c r="C233" s="7" t="s">
        <v>49</v>
      </c>
      <c r="D233" s="7" t="s">
        <v>93</v>
      </c>
      <c r="E233" s="7" t="s">
        <v>91</v>
      </c>
      <c r="F233" s="7" t="s">
        <v>134</v>
      </c>
      <c r="G233" s="8" t="b">
        <f aca="false">TRUE()</f>
        <v>1</v>
      </c>
      <c r="H233" s="8" t="b">
        <f aca="false">TRUE()</f>
        <v>1</v>
      </c>
      <c r="I233" s="7" t="str">
        <f aca="false">IF(AND(G233,H233),"PASS_TO_PASS",IF(G233,"PASS_TO_FAIL",IF(H233,"FAIL_TO_PASS","FAIL_TO_FAIL")))</f>
        <v>PASS_TO_PASS</v>
      </c>
    </row>
    <row r="234" customFormat="false" ht="15" hidden="false" customHeight="false" outlineLevel="0" collapsed="false">
      <c r="A234" s="7" t="s">
        <v>82</v>
      </c>
      <c r="B234" s="7" t="s">
        <v>83</v>
      </c>
      <c r="C234" s="7" t="s">
        <v>49</v>
      </c>
      <c r="D234" s="7" t="s">
        <v>93</v>
      </c>
      <c r="E234" s="7" t="s">
        <v>91</v>
      </c>
      <c r="F234" s="7" t="s">
        <v>135</v>
      </c>
      <c r="G234" s="8" t="b">
        <f aca="false">TRUE()</f>
        <v>1</v>
      </c>
      <c r="H234" s="8" t="b">
        <f aca="false">TRUE()</f>
        <v>1</v>
      </c>
      <c r="I234" s="7" t="str">
        <f aca="false">IF(AND(G234,H234),"PASS_TO_PASS",IF(G234,"PASS_TO_FAIL",IF(H234,"FAIL_TO_PASS","FAIL_TO_FAIL")))</f>
        <v>PASS_TO_PASS</v>
      </c>
    </row>
    <row r="235" customFormat="false" ht="15" hidden="false" customHeight="false" outlineLevel="0" collapsed="false">
      <c r="A235" s="7" t="s">
        <v>82</v>
      </c>
      <c r="B235" s="7" t="s">
        <v>83</v>
      </c>
      <c r="C235" s="7" t="s">
        <v>49</v>
      </c>
      <c r="D235" s="7" t="s">
        <v>93</v>
      </c>
      <c r="E235" s="7" t="s">
        <v>91</v>
      </c>
      <c r="F235" s="7" t="s">
        <v>136</v>
      </c>
      <c r="G235" s="8" t="b">
        <f aca="false">TRUE()</f>
        <v>1</v>
      </c>
      <c r="H235" s="8" t="b">
        <f aca="false">TRUE()</f>
        <v>1</v>
      </c>
      <c r="I235" s="7" t="str">
        <f aca="false">IF(AND(G235,H235),"PASS_TO_PASS",IF(G235,"PASS_TO_FAIL",IF(H235,"FAIL_TO_PASS","FAIL_TO_FAIL")))</f>
        <v>PASS_TO_PASS</v>
      </c>
    </row>
    <row r="236" customFormat="false" ht="15" hidden="false" customHeight="false" outlineLevel="0" collapsed="false">
      <c r="A236" s="7" t="s">
        <v>82</v>
      </c>
      <c r="B236" s="7" t="s">
        <v>83</v>
      </c>
      <c r="C236" s="7" t="s">
        <v>49</v>
      </c>
      <c r="D236" s="7" t="s">
        <v>93</v>
      </c>
      <c r="E236" s="7" t="s">
        <v>91</v>
      </c>
      <c r="F236" s="7" t="s">
        <v>137</v>
      </c>
      <c r="G236" s="8" t="b">
        <f aca="false">TRUE()</f>
        <v>1</v>
      </c>
      <c r="H236" s="8" t="b">
        <f aca="false">TRUE()</f>
        <v>1</v>
      </c>
      <c r="I236" s="7" t="str">
        <f aca="false">IF(AND(G236,H236),"PASS_TO_PASS",IF(G236,"PASS_TO_FAIL",IF(H236,"FAIL_TO_PASS","FAIL_TO_FAIL")))</f>
        <v>PASS_TO_PASS</v>
      </c>
    </row>
    <row r="237" customFormat="false" ht="15" hidden="false" customHeight="false" outlineLevel="0" collapsed="false">
      <c r="A237" s="7" t="s">
        <v>82</v>
      </c>
      <c r="B237" s="7" t="s">
        <v>83</v>
      </c>
      <c r="C237" s="7" t="s">
        <v>49</v>
      </c>
      <c r="D237" s="7" t="s">
        <v>93</v>
      </c>
      <c r="E237" s="7" t="s">
        <v>91</v>
      </c>
      <c r="F237" s="7" t="s">
        <v>138</v>
      </c>
      <c r="G237" s="8" t="b">
        <f aca="false">TRUE()</f>
        <v>1</v>
      </c>
      <c r="H237" s="8" t="b">
        <f aca="false">FALSE()</f>
        <v>0</v>
      </c>
      <c r="I237" s="7" t="str">
        <f aca="false">IF(AND(G237,H237),"PASS_TO_PASS",IF(G237,"PASS_TO_FAIL",IF(H237,"FAIL_TO_PASS","FAIL_TO_FAIL")))</f>
        <v>PASS_TO_FAIL</v>
      </c>
    </row>
    <row r="238" customFormat="false" ht="15" hidden="false" customHeight="false" outlineLevel="0" collapsed="false">
      <c r="A238" s="7" t="s">
        <v>82</v>
      </c>
      <c r="B238" s="7" t="s">
        <v>83</v>
      </c>
      <c r="C238" s="7" t="s">
        <v>49</v>
      </c>
      <c r="D238" s="7" t="s">
        <v>93</v>
      </c>
      <c r="E238" s="7" t="s">
        <v>91</v>
      </c>
      <c r="F238" s="7" t="s">
        <v>139</v>
      </c>
      <c r="G238" s="8" t="b">
        <f aca="false">TRUE()</f>
        <v>1</v>
      </c>
      <c r="H238" s="8" t="b">
        <f aca="false">TRUE()</f>
        <v>1</v>
      </c>
      <c r="I238" s="7" t="str">
        <f aca="false">IF(AND(G238,H238),"PASS_TO_PASS",IF(G238,"PASS_TO_FAIL",IF(H238,"FAIL_TO_PASS","FAIL_TO_FAIL")))</f>
        <v>PASS_TO_PASS</v>
      </c>
    </row>
    <row r="239" customFormat="false" ht="15" hidden="false" customHeight="false" outlineLevel="0" collapsed="false">
      <c r="A239" s="7" t="s">
        <v>82</v>
      </c>
      <c r="B239" s="7" t="s">
        <v>83</v>
      </c>
      <c r="C239" s="7" t="s">
        <v>49</v>
      </c>
      <c r="D239" s="7" t="s">
        <v>93</v>
      </c>
      <c r="E239" s="7" t="s">
        <v>91</v>
      </c>
      <c r="F239" s="7" t="s">
        <v>140</v>
      </c>
      <c r="G239" s="8" t="b">
        <f aca="false">FALSE()</f>
        <v>0</v>
      </c>
      <c r="H239" s="8" t="b">
        <f aca="false">FALSE()</f>
        <v>0</v>
      </c>
      <c r="I239" s="7" t="str">
        <f aca="false">IF(AND(G239,H239),"PASS_TO_PASS",IF(G239,"PASS_TO_FAIL",IF(H239,"FAIL_TO_PASS","FAIL_TO_FAIL")))</f>
        <v>FAIL_TO_FAIL</v>
      </c>
    </row>
    <row r="240" customFormat="false" ht="15" hidden="false" customHeight="false" outlineLevel="0" collapsed="false">
      <c r="A240" s="7" t="s">
        <v>82</v>
      </c>
      <c r="B240" s="7" t="s">
        <v>83</v>
      </c>
      <c r="C240" s="7" t="s">
        <v>49</v>
      </c>
      <c r="D240" s="7" t="s">
        <v>93</v>
      </c>
      <c r="E240" s="7" t="s">
        <v>91</v>
      </c>
      <c r="F240" s="7" t="s">
        <v>141</v>
      </c>
      <c r="G240" s="8" t="b">
        <f aca="false">TRUE()</f>
        <v>1</v>
      </c>
      <c r="H240" s="8" t="b">
        <f aca="false">TRUE()</f>
        <v>1</v>
      </c>
      <c r="I240" s="7" t="str">
        <f aca="false">IF(AND(G240,H240),"PASS_TO_PASS",IF(G240,"PASS_TO_FAIL",IF(H240,"FAIL_TO_PASS","FAIL_TO_FAIL")))</f>
        <v>PASS_TO_PASS</v>
      </c>
    </row>
    <row r="241" customFormat="false" ht="15" hidden="false" customHeight="false" outlineLevel="0" collapsed="false">
      <c r="A241" s="7" t="s">
        <v>82</v>
      </c>
      <c r="B241" s="7" t="s">
        <v>83</v>
      </c>
      <c r="C241" s="7" t="s">
        <v>49</v>
      </c>
      <c r="D241" s="7" t="s">
        <v>93</v>
      </c>
      <c r="E241" s="7" t="s">
        <v>91</v>
      </c>
      <c r="F241" s="7" t="s">
        <v>142</v>
      </c>
      <c r="G241" s="8" t="b">
        <f aca="false">FALSE()</f>
        <v>0</v>
      </c>
      <c r="H241" s="8" t="b">
        <f aca="false">FALSE()</f>
        <v>0</v>
      </c>
      <c r="I241" s="7" t="str">
        <f aca="false">IF(AND(G241,H241),"PASS_TO_PASS",IF(G241,"PASS_TO_FAIL",IF(H241,"FAIL_TO_PASS","FAIL_TO_FAIL")))</f>
        <v>FAIL_TO_FAIL</v>
      </c>
    </row>
    <row r="242" customFormat="false" ht="15" hidden="false" customHeight="false" outlineLevel="0" collapsed="false">
      <c r="A242" s="7" t="s">
        <v>82</v>
      </c>
      <c r="B242" s="7" t="s">
        <v>83</v>
      </c>
      <c r="C242" s="7" t="s">
        <v>49</v>
      </c>
      <c r="D242" s="7" t="s">
        <v>93</v>
      </c>
      <c r="E242" s="7" t="s">
        <v>91</v>
      </c>
      <c r="F242" s="7" t="s">
        <v>143</v>
      </c>
      <c r="G242" s="8" t="b">
        <f aca="false">FALSE()</f>
        <v>0</v>
      </c>
      <c r="H242" s="8" t="b">
        <f aca="false">FALSE()</f>
        <v>0</v>
      </c>
      <c r="I242" s="7" t="str">
        <f aca="false">IF(AND(G242,H242),"PASS_TO_PASS",IF(G242,"PASS_TO_FAIL",IF(H242,"FAIL_TO_PASS","FAIL_TO_FAIL")))</f>
        <v>FAIL_TO_FAIL</v>
      </c>
    </row>
    <row r="243" customFormat="false" ht="15" hidden="false" customHeight="false" outlineLevel="0" collapsed="false">
      <c r="A243" s="7" t="s">
        <v>82</v>
      </c>
      <c r="B243" s="7" t="s">
        <v>83</v>
      </c>
      <c r="C243" s="7" t="s">
        <v>49</v>
      </c>
      <c r="D243" s="7" t="s">
        <v>93</v>
      </c>
      <c r="E243" s="7" t="s">
        <v>91</v>
      </c>
      <c r="F243" s="7" t="s">
        <v>144</v>
      </c>
      <c r="G243" s="8" t="b">
        <f aca="false">TRUE()</f>
        <v>1</v>
      </c>
      <c r="H243" s="8" t="b">
        <f aca="false">TRUE()</f>
        <v>1</v>
      </c>
      <c r="I243" s="7" t="str">
        <f aca="false">IF(AND(G243,H243),"PASS_TO_PASS",IF(G243,"PASS_TO_FAIL",IF(H243,"FAIL_TO_PASS","FAIL_TO_FAIL")))</f>
        <v>PASS_TO_PASS</v>
      </c>
    </row>
    <row r="244" customFormat="false" ht="15" hidden="false" customHeight="false" outlineLevel="0" collapsed="false">
      <c r="A244" s="7" t="s">
        <v>82</v>
      </c>
      <c r="B244" s="7" t="s">
        <v>83</v>
      </c>
      <c r="C244" s="7" t="s">
        <v>49</v>
      </c>
      <c r="D244" s="7" t="s">
        <v>93</v>
      </c>
      <c r="E244" s="7" t="s">
        <v>91</v>
      </c>
      <c r="F244" s="7" t="s">
        <v>145</v>
      </c>
      <c r="G244" s="8" t="b">
        <f aca="false">FALSE()</f>
        <v>0</v>
      </c>
      <c r="H244" s="8" t="b">
        <f aca="false">TRUE()</f>
        <v>1</v>
      </c>
      <c r="I244" s="7" t="str">
        <f aca="false">IF(AND(G244,H244),"PASS_TO_PASS",IF(G244,"PASS_TO_FAIL",IF(H244,"FAIL_TO_PASS","FAIL_TO_FAIL")))</f>
        <v>FAIL_TO_PASS</v>
      </c>
    </row>
    <row r="245" customFormat="false" ht="15" hidden="false" customHeight="false" outlineLevel="0" collapsed="false">
      <c r="A245" s="7" t="s">
        <v>48</v>
      </c>
      <c r="B245" s="7" t="s">
        <v>10</v>
      </c>
      <c r="C245" s="7" t="s">
        <v>49</v>
      </c>
      <c r="D245" s="7" t="s">
        <v>94</v>
      </c>
      <c r="E245" s="7" t="s">
        <v>51</v>
      </c>
      <c r="F245" s="7" t="s">
        <v>134</v>
      </c>
      <c r="G245" s="8" t="b">
        <f aca="false">TRUE()</f>
        <v>1</v>
      </c>
      <c r="H245" s="8" t="b">
        <f aca="false">TRUE()</f>
        <v>1</v>
      </c>
      <c r="I245" s="7" t="str">
        <f aca="false">IF(AND(G245,H245),"PASS_TO_PASS",IF(G245,"PASS_TO_FAIL",IF(H245,"FAIL_TO_PASS","FAIL_TO_FAIL")))</f>
        <v>PASS_TO_PASS</v>
      </c>
    </row>
    <row r="246" customFormat="false" ht="15" hidden="false" customHeight="false" outlineLevel="0" collapsed="false">
      <c r="A246" s="7" t="s">
        <v>48</v>
      </c>
      <c r="B246" s="7" t="s">
        <v>10</v>
      </c>
      <c r="C246" s="7" t="s">
        <v>49</v>
      </c>
      <c r="D246" s="7" t="s">
        <v>94</v>
      </c>
      <c r="E246" s="7" t="s">
        <v>51</v>
      </c>
      <c r="F246" s="7" t="s">
        <v>135</v>
      </c>
      <c r="G246" s="8" t="b">
        <f aca="false">TRUE()</f>
        <v>1</v>
      </c>
      <c r="H246" s="8" t="b">
        <f aca="false">TRUE()</f>
        <v>1</v>
      </c>
      <c r="I246" s="7" t="str">
        <f aca="false">IF(AND(G246,H246),"PASS_TO_PASS",IF(G246,"PASS_TO_FAIL",IF(H246,"FAIL_TO_PASS","FAIL_TO_FAIL")))</f>
        <v>PASS_TO_PASS</v>
      </c>
    </row>
    <row r="247" customFormat="false" ht="15" hidden="false" customHeight="false" outlineLevel="0" collapsed="false">
      <c r="A247" s="7" t="s">
        <v>48</v>
      </c>
      <c r="B247" s="7" t="s">
        <v>10</v>
      </c>
      <c r="C247" s="7" t="s">
        <v>49</v>
      </c>
      <c r="D247" s="7" t="s">
        <v>94</v>
      </c>
      <c r="E247" s="7" t="s">
        <v>51</v>
      </c>
      <c r="F247" s="7" t="s">
        <v>136</v>
      </c>
      <c r="G247" s="8" t="b">
        <f aca="false">TRUE()</f>
        <v>1</v>
      </c>
      <c r="H247" s="8" t="b">
        <f aca="false">TRUE()</f>
        <v>1</v>
      </c>
      <c r="I247" s="7" t="str">
        <f aca="false">IF(AND(G247,H247),"PASS_TO_PASS",IF(G247,"PASS_TO_FAIL",IF(H247,"FAIL_TO_PASS","FAIL_TO_FAIL")))</f>
        <v>PASS_TO_PASS</v>
      </c>
    </row>
    <row r="248" customFormat="false" ht="15" hidden="false" customHeight="false" outlineLevel="0" collapsed="false">
      <c r="A248" s="7" t="s">
        <v>48</v>
      </c>
      <c r="B248" s="7" t="s">
        <v>10</v>
      </c>
      <c r="C248" s="7" t="s">
        <v>49</v>
      </c>
      <c r="D248" s="7" t="s">
        <v>94</v>
      </c>
      <c r="E248" s="7" t="s">
        <v>51</v>
      </c>
      <c r="F248" s="7" t="s">
        <v>137</v>
      </c>
      <c r="G248" s="8" t="b">
        <f aca="false">TRUE()</f>
        <v>1</v>
      </c>
      <c r="H248" s="8" t="b">
        <f aca="false">TRUE()</f>
        <v>1</v>
      </c>
      <c r="I248" s="7" t="str">
        <f aca="false">IF(AND(G248,H248),"PASS_TO_PASS",IF(G248,"PASS_TO_FAIL",IF(H248,"FAIL_TO_PASS","FAIL_TO_FAIL")))</f>
        <v>PASS_TO_PASS</v>
      </c>
    </row>
    <row r="249" customFormat="false" ht="15" hidden="false" customHeight="false" outlineLevel="0" collapsed="false">
      <c r="A249" s="7" t="s">
        <v>48</v>
      </c>
      <c r="B249" s="7" t="s">
        <v>10</v>
      </c>
      <c r="C249" s="7" t="s">
        <v>49</v>
      </c>
      <c r="D249" s="7" t="s">
        <v>94</v>
      </c>
      <c r="E249" s="7" t="s">
        <v>51</v>
      </c>
      <c r="F249" s="7" t="s">
        <v>138</v>
      </c>
      <c r="G249" s="8" t="b">
        <f aca="false">TRUE()</f>
        <v>1</v>
      </c>
      <c r="H249" s="8" t="b">
        <f aca="false">TRUE()</f>
        <v>1</v>
      </c>
      <c r="I249" s="7" t="str">
        <f aca="false">IF(AND(G249,H249),"PASS_TO_PASS",IF(G249,"PASS_TO_FAIL",IF(H249,"FAIL_TO_PASS","FAIL_TO_FAIL")))</f>
        <v>PASS_TO_PASS</v>
      </c>
    </row>
    <row r="250" customFormat="false" ht="15" hidden="false" customHeight="false" outlineLevel="0" collapsed="false">
      <c r="A250" s="7" t="s">
        <v>48</v>
      </c>
      <c r="B250" s="7" t="s">
        <v>10</v>
      </c>
      <c r="C250" s="7" t="s">
        <v>49</v>
      </c>
      <c r="D250" s="7" t="s">
        <v>94</v>
      </c>
      <c r="E250" s="7" t="s">
        <v>51</v>
      </c>
      <c r="F250" s="7" t="s">
        <v>139</v>
      </c>
      <c r="G250" s="8" t="b">
        <f aca="false">FALSE()</f>
        <v>0</v>
      </c>
      <c r="H250" s="8" t="b">
        <f aca="false">FALSE()</f>
        <v>0</v>
      </c>
      <c r="I250" s="7" t="str">
        <f aca="false">IF(AND(G250,H250),"PASS_TO_PASS",IF(G250,"PASS_TO_FAIL",IF(H250,"FAIL_TO_PASS","FAIL_TO_FAIL")))</f>
        <v>FAIL_TO_FAIL</v>
      </c>
    </row>
    <row r="251" customFormat="false" ht="15" hidden="false" customHeight="false" outlineLevel="0" collapsed="false">
      <c r="A251" s="7" t="s">
        <v>48</v>
      </c>
      <c r="B251" s="7" t="s">
        <v>10</v>
      </c>
      <c r="C251" s="7" t="s">
        <v>49</v>
      </c>
      <c r="D251" s="7" t="s">
        <v>94</v>
      </c>
      <c r="E251" s="7" t="s">
        <v>51</v>
      </c>
      <c r="F251" s="7" t="s">
        <v>140</v>
      </c>
      <c r="G251" s="8" t="b">
        <f aca="false">TRUE()</f>
        <v>1</v>
      </c>
      <c r="H251" s="8" t="b">
        <f aca="false">TRUE()</f>
        <v>1</v>
      </c>
      <c r="I251" s="7" t="str">
        <f aca="false">IF(AND(G251,H251),"PASS_TO_PASS",IF(G251,"PASS_TO_FAIL",IF(H251,"FAIL_TO_PASS","FAIL_TO_FAIL")))</f>
        <v>PASS_TO_PASS</v>
      </c>
    </row>
    <row r="252" customFormat="false" ht="15" hidden="false" customHeight="false" outlineLevel="0" collapsed="false">
      <c r="A252" s="7" t="s">
        <v>48</v>
      </c>
      <c r="B252" s="7" t="s">
        <v>10</v>
      </c>
      <c r="C252" s="7" t="s">
        <v>49</v>
      </c>
      <c r="D252" s="7" t="s">
        <v>94</v>
      </c>
      <c r="E252" s="7" t="s">
        <v>51</v>
      </c>
      <c r="F252" s="7" t="s">
        <v>141</v>
      </c>
      <c r="G252" s="8" t="b">
        <f aca="false">TRUE()</f>
        <v>1</v>
      </c>
      <c r="H252" s="8" t="b">
        <f aca="false">TRUE()</f>
        <v>1</v>
      </c>
      <c r="I252" s="7" t="str">
        <f aca="false">IF(AND(G252,H252),"PASS_TO_PASS",IF(G252,"PASS_TO_FAIL",IF(H252,"FAIL_TO_PASS","FAIL_TO_FAIL")))</f>
        <v>PASS_TO_PASS</v>
      </c>
    </row>
    <row r="253" customFormat="false" ht="15" hidden="false" customHeight="false" outlineLevel="0" collapsed="false">
      <c r="A253" s="7" t="s">
        <v>48</v>
      </c>
      <c r="B253" s="7" t="s">
        <v>10</v>
      </c>
      <c r="C253" s="7" t="s">
        <v>49</v>
      </c>
      <c r="D253" s="7" t="s">
        <v>94</v>
      </c>
      <c r="E253" s="7" t="s">
        <v>51</v>
      </c>
      <c r="F253" s="7" t="s">
        <v>142</v>
      </c>
      <c r="G253" s="8" t="b">
        <f aca="false">TRUE()</f>
        <v>1</v>
      </c>
      <c r="H253" s="8" t="b">
        <f aca="false">TRUE()</f>
        <v>1</v>
      </c>
      <c r="I253" s="7" t="str">
        <f aca="false">IF(AND(G253,H253),"PASS_TO_PASS",IF(G253,"PASS_TO_FAIL",IF(H253,"FAIL_TO_PASS","FAIL_TO_FAIL")))</f>
        <v>PASS_TO_PASS</v>
      </c>
    </row>
    <row r="254" customFormat="false" ht="15" hidden="false" customHeight="false" outlineLevel="0" collapsed="false">
      <c r="A254" s="7" t="s">
        <v>48</v>
      </c>
      <c r="B254" s="7" t="s">
        <v>10</v>
      </c>
      <c r="C254" s="7" t="s">
        <v>49</v>
      </c>
      <c r="D254" s="7" t="s">
        <v>94</v>
      </c>
      <c r="E254" s="7" t="s">
        <v>51</v>
      </c>
      <c r="F254" s="7" t="s">
        <v>143</v>
      </c>
      <c r="G254" s="8" t="b">
        <f aca="false">FALSE()</f>
        <v>0</v>
      </c>
      <c r="H254" s="8" t="b">
        <f aca="false">TRUE()</f>
        <v>1</v>
      </c>
      <c r="I254" s="7" t="str">
        <f aca="false">IF(AND(G254,H254),"PASS_TO_PASS",IF(G254,"PASS_TO_FAIL",IF(H254,"FAIL_TO_PASS","FAIL_TO_FAIL")))</f>
        <v>FAIL_TO_PASS</v>
      </c>
    </row>
    <row r="255" customFormat="false" ht="15" hidden="false" customHeight="false" outlineLevel="0" collapsed="false">
      <c r="A255" s="7" t="s">
        <v>48</v>
      </c>
      <c r="B255" s="7" t="s">
        <v>10</v>
      </c>
      <c r="C255" s="7" t="s">
        <v>49</v>
      </c>
      <c r="D255" s="7" t="s">
        <v>94</v>
      </c>
      <c r="E255" s="7" t="s">
        <v>51</v>
      </c>
      <c r="F255" s="7" t="s">
        <v>144</v>
      </c>
      <c r="G255" s="8" t="b">
        <f aca="false">TRUE()</f>
        <v>1</v>
      </c>
      <c r="H255" s="8" t="b">
        <f aca="false">TRUE()</f>
        <v>1</v>
      </c>
      <c r="I255" s="7" t="str">
        <f aca="false">IF(AND(G255,H255),"PASS_TO_PASS",IF(G255,"PASS_TO_FAIL",IF(H255,"FAIL_TO_PASS","FAIL_TO_FAIL")))</f>
        <v>PASS_TO_PASS</v>
      </c>
    </row>
    <row r="256" customFormat="false" ht="15" hidden="false" customHeight="false" outlineLevel="0" collapsed="false">
      <c r="A256" s="7" t="s">
        <v>48</v>
      </c>
      <c r="B256" s="7" t="s">
        <v>10</v>
      </c>
      <c r="C256" s="7" t="s">
        <v>49</v>
      </c>
      <c r="D256" s="7" t="s">
        <v>94</v>
      </c>
      <c r="E256" s="7" t="s">
        <v>51</v>
      </c>
      <c r="F256" s="7" t="s">
        <v>145</v>
      </c>
      <c r="G256" s="8" t="b">
        <f aca="false">TRUE()</f>
        <v>1</v>
      </c>
      <c r="H256" s="8" t="b">
        <f aca="false">TRUE()</f>
        <v>1</v>
      </c>
      <c r="I256" s="7" t="str">
        <f aca="false">IF(AND(G256,H256),"PASS_TO_PASS",IF(G256,"PASS_TO_FAIL",IF(H256,"FAIL_TO_PASS","FAIL_TO_FAIL")))</f>
        <v>PASS_TO_PASS</v>
      </c>
    </row>
    <row r="257" customFormat="false" ht="15" hidden="false" customHeight="false" outlineLevel="0" collapsed="false">
      <c r="A257" s="7" t="s">
        <v>82</v>
      </c>
      <c r="B257" s="7" t="s">
        <v>83</v>
      </c>
      <c r="C257" s="7" t="s">
        <v>49</v>
      </c>
      <c r="D257" s="7" t="s">
        <v>94</v>
      </c>
      <c r="E257" s="7" t="s">
        <v>51</v>
      </c>
      <c r="F257" s="7" t="s">
        <v>134</v>
      </c>
      <c r="G257" s="8" t="b">
        <f aca="false">TRUE()</f>
        <v>1</v>
      </c>
      <c r="H257" s="8" t="b">
        <f aca="false">TRUE()</f>
        <v>1</v>
      </c>
      <c r="I257" s="7" t="str">
        <f aca="false">IF(AND(G257,H257),"PASS_TO_PASS",IF(G257,"PASS_TO_FAIL",IF(H257,"FAIL_TO_PASS","FAIL_TO_FAIL")))</f>
        <v>PASS_TO_PASS</v>
      </c>
    </row>
    <row r="258" customFormat="false" ht="15" hidden="false" customHeight="false" outlineLevel="0" collapsed="false">
      <c r="A258" s="7" t="s">
        <v>82</v>
      </c>
      <c r="B258" s="7" t="s">
        <v>83</v>
      </c>
      <c r="C258" s="7" t="s">
        <v>49</v>
      </c>
      <c r="D258" s="7" t="s">
        <v>94</v>
      </c>
      <c r="E258" s="7" t="s">
        <v>51</v>
      </c>
      <c r="F258" s="7" t="s">
        <v>135</v>
      </c>
      <c r="G258" s="8" t="b">
        <f aca="false">TRUE()</f>
        <v>1</v>
      </c>
      <c r="H258" s="8" t="b">
        <f aca="false">TRUE()</f>
        <v>1</v>
      </c>
      <c r="I258" s="7" t="str">
        <f aca="false">IF(AND(G258,H258),"PASS_TO_PASS",IF(G258,"PASS_TO_FAIL",IF(H258,"FAIL_TO_PASS","FAIL_TO_FAIL")))</f>
        <v>PASS_TO_PASS</v>
      </c>
    </row>
    <row r="259" customFormat="false" ht="15" hidden="false" customHeight="false" outlineLevel="0" collapsed="false">
      <c r="A259" s="7" t="s">
        <v>82</v>
      </c>
      <c r="B259" s="7" t="s">
        <v>83</v>
      </c>
      <c r="C259" s="7" t="s">
        <v>49</v>
      </c>
      <c r="D259" s="7" t="s">
        <v>94</v>
      </c>
      <c r="E259" s="7" t="s">
        <v>51</v>
      </c>
      <c r="F259" s="7" t="s">
        <v>136</v>
      </c>
      <c r="G259" s="8" t="b">
        <f aca="false">FALSE()</f>
        <v>0</v>
      </c>
      <c r="H259" s="8" t="b">
        <f aca="false">TRUE()</f>
        <v>1</v>
      </c>
      <c r="I259" s="7" t="str">
        <f aca="false">IF(AND(G259,H259),"PASS_TO_PASS",IF(G259,"PASS_TO_FAIL",IF(H259,"FAIL_TO_PASS","FAIL_TO_FAIL")))</f>
        <v>FAIL_TO_PASS</v>
      </c>
    </row>
    <row r="260" customFormat="false" ht="15" hidden="false" customHeight="false" outlineLevel="0" collapsed="false">
      <c r="A260" s="7" t="s">
        <v>82</v>
      </c>
      <c r="B260" s="7" t="s">
        <v>83</v>
      </c>
      <c r="C260" s="7" t="s">
        <v>49</v>
      </c>
      <c r="D260" s="7" t="s">
        <v>94</v>
      </c>
      <c r="E260" s="7" t="s">
        <v>51</v>
      </c>
      <c r="F260" s="7" t="s">
        <v>137</v>
      </c>
      <c r="G260" s="8" t="b">
        <f aca="false">TRUE()</f>
        <v>1</v>
      </c>
      <c r="H260" s="8" t="b">
        <f aca="false">TRUE()</f>
        <v>1</v>
      </c>
      <c r="I260" s="7" t="str">
        <f aca="false">IF(AND(G260,H260),"PASS_TO_PASS",IF(G260,"PASS_TO_FAIL",IF(H260,"FAIL_TO_PASS","FAIL_TO_FAIL")))</f>
        <v>PASS_TO_PASS</v>
      </c>
    </row>
    <row r="261" customFormat="false" ht="15" hidden="false" customHeight="false" outlineLevel="0" collapsed="false">
      <c r="A261" s="7" t="s">
        <v>82</v>
      </c>
      <c r="B261" s="7" t="s">
        <v>83</v>
      </c>
      <c r="C261" s="7" t="s">
        <v>49</v>
      </c>
      <c r="D261" s="7" t="s">
        <v>94</v>
      </c>
      <c r="E261" s="7" t="s">
        <v>51</v>
      </c>
      <c r="F261" s="7" t="s">
        <v>138</v>
      </c>
      <c r="G261" s="8" t="b">
        <f aca="false">TRUE()</f>
        <v>1</v>
      </c>
      <c r="H261" s="8" t="b">
        <f aca="false">TRUE()</f>
        <v>1</v>
      </c>
      <c r="I261" s="7" t="str">
        <f aca="false">IF(AND(G261,H261),"PASS_TO_PASS",IF(G261,"PASS_TO_FAIL",IF(H261,"FAIL_TO_PASS","FAIL_TO_FAIL")))</f>
        <v>PASS_TO_PASS</v>
      </c>
    </row>
    <row r="262" customFormat="false" ht="15" hidden="false" customHeight="false" outlineLevel="0" collapsed="false">
      <c r="A262" s="7" t="s">
        <v>82</v>
      </c>
      <c r="B262" s="7" t="s">
        <v>83</v>
      </c>
      <c r="C262" s="7" t="s">
        <v>49</v>
      </c>
      <c r="D262" s="7" t="s">
        <v>94</v>
      </c>
      <c r="E262" s="7" t="s">
        <v>51</v>
      </c>
      <c r="F262" s="7" t="s">
        <v>139</v>
      </c>
      <c r="G262" s="8" t="b">
        <f aca="false">TRUE()</f>
        <v>1</v>
      </c>
      <c r="H262" s="8" t="b">
        <f aca="false">FALSE()</f>
        <v>0</v>
      </c>
      <c r="I262" s="7" t="str">
        <f aca="false">IF(AND(G262,H262),"PASS_TO_PASS",IF(G262,"PASS_TO_FAIL",IF(H262,"FAIL_TO_PASS","FAIL_TO_FAIL")))</f>
        <v>PASS_TO_FAIL</v>
      </c>
    </row>
    <row r="263" customFormat="false" ht="15" hidden="false" customHeight="false" outlineLevel="0" collapsed="false">
      <c r="A263" s="7" t="s">
        <v>82</v>
      </c>
      <c r="B263" s="7" t="s">
        <v>83</v>
      </c>
      <c r="C263" s="7" t="s">
        <v>49</v>
      </c>
      <c r="D263" s="7" t="s">
        <v>94</v>
      </c>
      <c r="E263" s="7" t="s">
        <v>51</v>
      </c>
      <c r="F263" s="7" t="s">
        <v>140</v>
      </c>
      <c r="G263" s="8" t="b">
        <f aca="false">TRUE()</f>
        <v>1</v>
      </c>
      <c r="H263" s="8" t="b">
        <f aca="false">TRUE()</f>
        <v>1</v>
      </c>
      <c r="I263" s="7" t="str">
        <f aca="false">IF(AND(G263,H263),"PASS_TO_PASS",IF(G263,"PASS_TO_FAIL",IF(H263,"FAIL_TO_PASS","FAIL_TO_FAIL")))</f>
        <v>PASS_TO_PASS</v>
      </c>
    </row>
    <row r="264" customFormat="false" ht="15" hidden="false" customHeight="false" outlineLevel="0" collapsed="false">
      <c r="A264" s="7" t="s">
        <v>82</v>
      </c>
      <c r="B264" s="7" t="s">
        <v>83</v>
      </c>
      <c r="C264" s="7" t="s">
        <v>49</v>
      </c>
      <c r="D264" s="7" t="s">
        <v>94</v>
      </c>
      <c r="E264" s="7" t="s">
        <v>51</v>
      </c>
      <c r="F264" s="7" t="s">
        <v>141</v>
      </c>
      <c r="G264" s="8" t="b">
        <f aca="false">TRUE()</f>
        <v>1</v>
      </c>
      <c r="H264" s="8" t="b">
        <f aca="false">TRUE()</f>
        <v>1</v>
      </c>
      <c r="I264" s="7" t="str">
        <f aca="false">IF(AND(G264,H264),"PASS_TO_PASS",IF(G264,"PASS_TO_FAIL",IF(H264,"FAIL_TO_PASS","FAIL_TO_FAIL")))</f>
        <v>PASS_TO_PASS</v>
      </c>
    </row>
    <row r="265" customFormat="false" ht="15" hidden="false" customHeight="false" outlineLevel="0" collapsed="false">
      <c r="A265" s="7" t="s">
        <v>82</v>
      </c>
      <c r="B265" s="7" t="s">
        <v>83</v>
      </c>
      <c r="C265" s="7" t="s">
        <v>49</v>
      </c>
      <c r="D265" s="7" t="s">
        <v>94</v>
      </c>
      <c r="E265" s="7" t="s">
        <v>51</v>
      </c>
      <c r="F265" s="7" t="s">
        <v>142</v>
      </c>
      <c r="G265" s="8" t="b">
        <f aca="false">TRUE()</f>
        <v>1</v>
      </c>
      <c r="H265" s="8" t="b">
        <f aca="false">TRUE()</f>
        <v>1</v>
      </c>
      <c r="I265" s="7" t="str">
        <f aca="false">IF(AND(G265,H265),"PASS_TO_PASS",IF(G265,"PASS_TO_FAIL",IF(H265,"FAIL_TO_PASS","FAIL_TO_FAIL")))</f>
        <v>PASS_TO_PASS</v>
      </c>
    </row>
    <row r="266" customFormat="false" ht="15" hidden="false" customHeight="false" outlineLevel="0" collapsed="false">
      <c r="A266" s="7" t="s">
        <v>82</v>
      </c>
      <c r="B266" s="7" t="s">
        <v>83</v>
      </c>
      <c r="C266" s="7" t="s">
        <v>49</v>
      </c>
      <c r="D266" s="7" t="s">
        <v>94</v>
      </c>
      <c r="E266" s="7" t="s">
        <v>51</v>
      </c>
      <c r="F266" s="7" t="s">
        <v>143</v>
      </c>
      <c r="G266" s="8" t="b">
        <f aca="false">FALSE()</f>
        <v>0</v>
      </c>
      <c r="H266" s="8" t="b">
        <f aca="false">TRUE()</f>
        <v>1</v>
      </c>
      <c r="I266" s="7" t="str">
        <f aca="false">IF(AND(G266,H266),"PASS_TO_PASS",IF(G266,"PASS_TO_FAIL",IF(H266,"FAIL_TO_PASS","FAIL_TO_FAIL")))</f>
        <v>FAIL_TO_PASS</v>
      </c>
    </row>
    <row r="267" customFormat="false" ht="15" hidden="false" customHeight="false" outlineLevel="0" collapsed="false">
      <c r="A267" s="7" t="s">
        <v>82</v>
      </c>
      <c r="B267" s="7" t="s">
        <v>83</v>
      </c>
      <c r="C267" s="7" t="s">
        <v>49</v>
      </c>
      <c r="D267" s="7" t="s">
        <v>94</v>
      </c>
      <c r="E267" s="7" t="s">
        <v>51</v>
      </c>
      <c r="F267" s="7" t="s">
        <v>144</v>
      </c>
      <c r="G267" s="8" t="b">
        <f aca="false">TRUE()</f>
        <v>1</v>
      </c>
      <c r="H267" s="8" t="b">
        <f aca="false">TRUE()</f>
        <v>1</v>
      </c>
      <c r="I267" s="7" t="str">
        <f aca="false">IF(AND(G267,H267),"PASS_TO_PASS",IF(G267,"PASS_TO_FAIL",IF(H267,"FAIL_TO_PASS","FAIL_TO_FAIL")))</f>
        <v>PASS_TO_PASS</v>
      </c>
    </row>
    <row r="268" customFormat="false" ht="15" hidden="false" customHeight="false" outlineLevel="0" collapsed="false">
      <c r="A268" s="7" t="s">
        <v>82</v>
      </c>
      <c r="B268" s="7" t="s">
        <v>83</v>
      </c>
      <c r="C268" s="7" t="s">
        <v>49</v>
      </c>
      <c r="D268" s="7" t="s">
        <v>94</v>
      </c>
      <c r="E268" s="7" t="s">
        <v>51</v>
      </c>
      <c r="F268" s="7" t="s">
        <v>145</v>
      </c>
      <c r="G268" s="8" t="b">
        <f aca="false">FALSE()</f>
        <v>0</v>
      </c>
      <c r="H268" s="8" t="b">
        <f aca="false">TRUE()</f>
        <v>1</v>
      </c>
      <c r="I268" s="7" t="str">
        <f aca="false">IF(AND(G268,H268),"PASS_TO_PASS",IF(G268,"PASS_TO_FAIL",IF(H268,"FAIL_TO_PASS","FAIL_TO_FAIL")))</f>
        <v>FAIL_TO_PASS</v>
      </c>
    </row>
    <row r="269" customFormat="false" ht="15" hidden="false" customHeight="false" outlineLevel="0" collapsed="false">
      <c r="A269" s="7" t="s">
        <v>48</v>
      </c>
      <c r="B269" s="7" t="s">
        <v>10</v>
      </c>
      <c r="C269" s="7" t="s">
        <v>49</v>
      </c>
      <c r="D269" s="7" t="s">
        <v>95</v>
      </c>
      <c r="E269" s="7" t="s">
        <v>51</v>
      </c>
      <c r="F269" s="7" t="s">
        <v>134</v>
      </c>
      <c r="G269" s="8" t="b">
        <f aca="false">TRUE()</f>
        <v>1</v>
      </c>
      <c r="H269" s="8" t="b">
        <f aca="false">TRUE()</f>
        <v>1</v>
      </c>
      <c r="I269" s="7" t="str">
        <f aca="false">IF(AND(G269,H269),"PASS_TO_PASS",IF(G269,"PASS_TO_FAIL",IF(H269,"FAIL_TO_PASS","FAIL_TO_FAIL")))</f>
        <v>PASS_TO_PASS</v>
      </c>
    </row>
    <row r="270" customFormat="false" ht="15" hidden="false" customHeight="false" outlineLevel="0" collapsed="false">
      <c r="A270" s="7" t="s">
        <v>48</v>
      </c>
      <c r="B270" s="7" t="s">
        <v>10</v>
      </c>
      <c r="C270" s="7" t="s">
        <v>49</v>
      </c>
      <c r="D270" s="7" t="s">
        <v>95</v>
      </c>
      <c r="E270" s="7" t="s">
        <v>51</v>
      </c>
      <c r="F270" s="7" t="s">
        <v>135</v>
      </c>
      <c r="G270" s="8" t="b">
        <f aca="false">TRUE()</f>
        <v>1</v>
      </c>
      <c r="H270" s="8" t="b">
        <f aca="false">TRUE()</f>
        <v>1</v>
      </c>
      <c r="I270" s="7" t="str">
        <f aca="false">IF(AND(G270,H270),"PASS_TO_PASS",IF(G270,"PASS_TO_FAIL",IF(H270,"FAIL_TO_PASS","FAIL_TO_FAIL")))</f>
        <v>PASS_TO_PASS</v>
      </c>
    </row>
    <row r="271" customFormat="false" ht="15" hidden="false" customHeight="false" outlineLevel="0" collapsed="false">
      <c r="A271" s="7" t="s">
        <v>48</v>
      </c>
      <c r="B271" s="7" t="s">
        <v>10</v>
      </c>
      <c r="C271" s="7" t="s">
        <v>49</v>
      </c>
      <c r="D271" s="7" t="s">
        <v>95</v>
      </c>
      <c r="E271" s="7" t="s">
        <v>51</v>
      </c>
      <c r="F271" s="7" t="s">
        <v>136</v>
      </c>
      <c r="G271" s="8" t="b">
        <f aca="false">TRUE()</f>
        <v>1</v>
      </c>
      <c r="H271" s="8" t="b">
        <f aca="false">TRUE()</f>
        <v>1</v>
      </c>
      <c r="I271" s="7" t="str">
        <f aca="false">IF(AND(G271,H271),"PASS_TO_PASS",IF(G271,"PASS_TO_FAIL",IF(H271,"FAIL_TO_PASS","FAIL_TO_FAIL")))</f>
        <v>PASS_TO_PASS</v>
      </c>
    </row>
    <row r="272" customFormat="false" ht="15" hidden="false" customHeight="false" outlineLevel="0" collapsed="false">
      <c r="A272" s="7" t="s">
        <v>48</v>
      </c>
      <c r="B272" s="7" t="s">
        <v>10</v>
      </c>
      <c r="C272" s="7" t="s">
        <v>49</v>
      </c>
      <c r="D272" s="7" t="s">
        <v>95</v>
      </c>
      <c r="E272" s="7" t="s">
        <v>51</v>
      </c>
      <c r="F272" s="7" t="s">
        <v>137</v>
      </c>
      <c r="G272" s="8" t="b">
        <f aca="false">TRUE()</f>
        <v>1</v>
      </c>
      <c r="H272" s="8" t="b">
        <f aca="false">TRUE()</f>
        <v>1</v>
      </c>
      <c r="I272" s="7" t="str">
        <f aca="false">IF(AND(G272,H272),"PASS_TO_PASS",IF(G272,"PASS_TO_FAIL",IF(H272,"FAIL_TO_PASS","FAIL_TO_FAIL")))</f>
        <v>PASS_TO_PASS</v>
      </c>
    </row>
    <row r="273" customFormat="false" ht="15" hidden="false" customHeight="false" outlineLevel="0" collapsed="false">
      <c r="A273" s="7" t="s">
        <v>48</v>
      </c>
      <c r="B273" s="7" t="s">
        <v>10</v>
      </c>
      <c r="C273" s="7" t="s">
        <v>49</v>
      </c>
      <c r="D273" s="7" t="s">
        <v>95</v>
      </c>
      <c r="E273" s="7" t="s">
        <v>51</v>
      </c>
      <c r="F273" s="7" t="s">
        <v>138</v>
      </c>
      <c r="G273" s="8" t="b">
        <f aca="false">TRUE()</f>
        <v>1</v>
      </c>
      <c r="H273" s="8" t="b">
        <f aca="false">TRUE()</f>
        <v>1</v>
      </c>
      <c r="I273" s="7" t="str">
        <f aca="false">IF(AND(G273,H273),"PASS_TO_PASS",IF(G273,"PASS_TO_FAIL",IF(H273,"FAIL_TO_PASS","FAIL_TO_FAIL")))</f>
        <v>PASS_TO_PASS</v>
      </c>
    </row>
    <row r="274" customFormat="false" ht="15" hidden="false" customHeight="false" outlineLevel="0" collapsed="false">
      <c r="A274" s="7" t="s">
        <v>48</v>
      </c>
      <c r="B274" s="7" t="s">
        <v>10</v>
      </c>
      <c r="C274" s="7" t="s">
        <v>49</v>
      </c>
      <c r="D274" s="7" t="s">
        <v>95</v>
      </c>
      <c r="E274" s="7" t="s">
        <v>51</v>
      </c>
      <c r="F274" s="7" t="s">
        <v>139</v>
      </c>
      <c r="G274" s="8" t="b">
        <f aca="false">FALSE()</f>
        <v>0</v>
      </c>
      <c r="H274" s="8" t="b">
        <f aca="false">TRUE()</f>
        <v>1</v>
      </c>
      <c r="I274" s="7" t="str">
        <f aca="false">IF(AND(G274,H274),"PASS_TO_PASS",IF(G274,"PASS_TO_FAIL",IF(H274,"FAIL_TO_PASS","FAIL_TO_FAIL")))</f>
        <v>FAIL_TO_PASS</v>
      </c>
    </row>
    <row r="275" customFormat="false" ht="15" hidden="false" customHeight="false" outlineLevel="0" collapsed="false">
      <c r="A275" s="7" t="s">
        <v>48</v>
      </c>
      <c r="B275" s="7" t="s">
        <v>10</v>
      </c>
      <c r="C275" s="7" t="s">
        <v>49</v>
      </c>
      <c r="D275" s="7" t="s">
        <v>95</v>
      </c>
      <c r="E275" s="7" t="s">
        <v>51</v>
      </c>
      <c r="F275" s="7" t="s">
        <v>140</v>
      </c>
      <c r="G275" s="8" t="b">
        <f aca="false">FALSE()</f>
        <v>0</v>
      </c>
      <c r="H275" s="8" t="b">
        <f aca="false">FALSE()</f>
        <v>0</v>
      </c>
      <c r="I275" s="7" t="str">
        <f aca="false">IF(AND(G275,H275),"PASS_TO_PASS",IF(G275,"PASS_TO_FAIL",IF(H275,"FAIL_TO_PASS","FAIL_TO_FAIL")))</f>
        <v>FAIL_TO_FAIL</v>
      </c>
    </row>
    <row r="276" customFormat="false" ht="15" hidden="false" customHeight="false" outlineLevel="0" collapsed="false">
      <c r="A276" s="7" t="s">
        <v>48</v>
      </c>
      <c r="B276" s="7" t="s">
        <v>10</v>
      </c>
      <c r="C276" s="7" t="s">
        <v>49</v>
      </c>
      <c r="D276" s="7" t="s">
        <v>95</v>
      </c>
      <c r="E276" s="7" t="s">
        <v>51</v>
      </c>
      <c r="F276" s="7" t="s">
        <v>141</v>
      </c>
      <c r="G276" s="8" t="b">
        <f aca="false">TRUE()</f>
        <v>1</v>
      </c>
      <c r="H276" s="8" t="b">
        <f aca="false">TRUE()</f>
        <v>1</v>
      </c>
      <c r="I276" s="7" t="str">
        <f aca="false">IF(AND(G276,H276),"PASS_TO_PASS",IF(G276,"PASS_TO_FAIL",IF(H276,"FAIL_TO_PASS","FAIL_TO_FAIL")))</f>
        <v>PASS_TO_PASS</v>
      </c>
    </row>
    <row r="277" customFormat="false" ht="15" hidden="false" customHeight="false" outlineLevel="0" collapsed="false">
      <c r="A277" s="7" t="s">
        <v>48</v>
      </c>
      <c r="B277" s="7" t="s">
        <v>10</v>
      </c>
      <c r="C277" s="7" t="s">
        <v>49</v>
      </c>
      <c r="D277" s="7" t="s">
        <v>95</v>
      </c>
      <c r="E277" s="7" t="s">
        <v>51</v>
      </c>
      <c r="F277" s="7" t="s">
        <v>142</v>
      </c>
      <c r="G277" s="8" t="b">
        <f aca="false">FALSE()</f>
        <v>0</v>
      </c>
      <c r="H277" s="8" t="b">
        <f aca="false">FALSE()</f>
        <v>0</v>
      </c>
      <c r="I277" s="7" t="str">
        <f aca="false">IF(AND(G277,H277),"PASS_TO_PASS",IF(G277,"PASS_TO_FAIL",IF(H277,"FAIL_TO_PASS","FAIL_TO_FAIL")))</f>
        <v>FAIL_TO_FAIL</v>
      </c>
    </row>
    <row r="278" customFormat="false" ht="15" hidden="false" customHeight="false" outlineLevel="0" collapsed="false">
      <c r="A278" s="7" t="s">
        <v>48</v>
      </c>
      <c r="B278" s="7" t="s">
        <v>10</v>
      </c>
      <c r="C278" s="7" t="s">
        <v>49</v>
      </c>
      <c r="D278" s="7" t="s">
        <v>95</v>
      </c>
      <c r="E278" s="7" t="s">
        <v>51</v>
      </c>
      <c r="F278" s="7" t="s">
        <v>143</v>
      </c>
      <c r="G278" s="8" t="b">
        <f aca="false">TRUE()</f>
        <v>1</v>
      </c>
      <c r="H278" s="8" t="b">
        <f aca="false">TRUE()</f>
        <v>1</v>
      </c>
      <c r="I278" s="7" t="str">
        <f aca="false">IF(AND(G278,H278),"PASS_TO_PASS",IF(G278,"PASS_TO_FAIL",IF(H278,"FAIL_TO_PASS","FAIL_TO_FAIL")))</f>
        <v>PASS_TO_PASS</v>
      </c>
    </row>
    <row r="279" customFormat="false" ht="15" hidden="false" customHeight="false" outlineLevel="0" collapsed="false">
      <c r="A279" s="7" t="s">
        <v>48</v>
      </c>
      <c r="B279" s="7" t="s">
        <v>10</v>
      </c>
      <c r="C279" s="7" t="s">
        <v>49</v>
      </c>
      <c r="D279" s="7" t="s">
        <v>95</v>
      </c>
      <c r="E279" s="7" t="s">
        <v>51</v>
      </c>
      <c r="F279" s="7" t="s">
        <v>144</v>
      </c>
      <c r="G279" s="8" t="b">
        <f aca="false">TRUE()</f>
        <v>1</v>
      </c>
      <c r="H279" s="8" t="b">
        <f aca="false">TRUE()</f>
        <v>1</v>
      </c>
      <c r="I279" s="7" t="str">
        <f aca="false">IF(AND(G279,H279),"PASS_TO_PASS",IF(G279,"PASS_TO_FAIL",IF(H279,"FAIL_TO_PASS","FAIL_TO_FAIL")))</f>
        <v>PASS_TO_PASS</v>
      </c>
    </row>
    <row r="280" customFormat="false" ht="15" hidden="false" customHeight="false" outlineLevel="0" collapsed="false">
      <c r="A280" s="7" t="s">
        <v>48</v>
      </c>
      <c r="B280" s="7" t="s">
        <v>10</v>
      </c>
      <c r="C280" s="7" t="s">
        <v>49</v>
      </c>
      <c r="D280" s="7" t="s">
        <v>95</v>
      </c>
      <c r="E280" s="7" t="s">
        <v>51</v>
      </c>
      <c r="F280" s="7" t="s">
        <v>145</v>
      </c>
      <c r="G280" s="8" t="b">
        <f aca="false">TRUE()</f>
        <v>1</v>
      </c>
      <c r="H280" s="8" t="b">
        <f aca="false">TRUE()</f>
        <v>1</v>
      </c>
      <c r="I280" s="7" t="str">
        <f aca="false">IF(AND(G280,H280),"PASS_TO_PASS",IF(G280,"PASS_TO_FAIL",IF(H280,"FAIL_TO_PASS","FAIL_TO_FAIL")))</f>
        <v>PASS_TO_PASS</v>
      </c>
    </row>
    <row r="281" customFormat="false" ht="15" hidden="false" customHeight="false" outlineLevel="0" collapsed="false">
      <c r="A281" s="7" t="s">
        <v>82</v>
      </c>
      <c r="B281" s="7" t="s">
        <v>83</v>
      </c>
      <c r="C281" s="7" t="s">
        <v>49</v>
      </c>
      <c r="D281" s="7" t="s">
        <v>95</v>
      </c>
      <c r="E281" s="7" t="s">
        <v>51</v>
      </c>
      <c r="F281" s="7" t="s">
        <v>134</v>
      </c>
      <c r="G281" s="8" t="b">
        <f aca="false">TRUE()</f>
        <v>1</v>
      </c>
      <c r="H281" s="8" t="b">
        <f aca="false">TRUE()</f>
        <v>1</v>
      </c>
      <c r="I281" s="7" t="str">
        <f aca="false">IF(AND(G281,H281),"PASS_TO_PASS",IF(G281,"PASS_TO_FAIL",IF(H281,"FAIL_TO_PASS","FAIL_TO_FAIL")))</f>
        <v>PASS_TO_PASS</v>
      </c>
    </row>
    <row r="282" customFormat="false" ht="15" hidden="false" customHeight="false" outlineLevel="0" collapsed="false">
      <c r="A282" s="7" t="s">
        <v>82</v>
      </c>
      <c r="B282" s="7" t="s">
        <v>83</v>
      </c>
      <c r="C282" s="7" t="s">
        <v>49</v>
      </c>
      <c r="D282" s="7" t="s">
        <v>95</v>
      </c>
      <c r="E282" s="7" t="s">
        <v>51</v>
      </c>
      <c r="F282" s="7" t="s">
        <v>135</v>
      </c>
      <c r="G282" s="8" t="b">
        <f aca="false">TRUE()</f>
        <v>1</v>
      </c>
      <c r="H282" s="8" t="b">
        <f aca="false">TRUE()</f>
        <v>1</v>
      </c>
      <c r="I282" s="7" t="str">
        <f aca="false">IF(AND(G282,H282),"PASS_TO_PASS",IF(G282,"PASS_TO_FAIL",IF(H282,"FAIL_TO_PASS","FAIL_TO_FAIL")))</f>
        <v>PASS_TO_PASS</v>
      </c>
    </row>
    <row r="283" customFormat="false" ht="15" hidden="false" customHeight="false" outlineLevel="0" collapsed="false">
      <c r="A283" s="7" t="s">
        <v>82</v>
      </c>
      <c r="B283" s="7" t="s">
        <v>83</v>
      </c>
      <c r="C283" s="7" t="s">
        <v>49</v>
      </c>
      <c r="D283" s="7" t="s">
        <v>95</v>
      </c>
      <c r="E283" s="7" t="s">
        <v>51</v>
      </c>
      <c r="F283" s="7" t="s">
        <v>136</v>
      </c>
      <c r="G283" s="8" t="b">
        <f aca="false">TRUE()</f>
        <v>1</v>
      </c>
      <c r="H283" s="8" t="b">
        <f aca="false">TRUE()</f>
        <v>1</v>
      </c>
      <c r="I283" s="7" t="str">
        <f aca="false">IF(AND(G283,H283),"PASS_TO_PASS",IF(G283,"PASS_TO_FAIL",IF(H283,"FAIL_TO_PASS","FAIL_TO_FAIL")))</f>
        <v>PASS_TO_PASS</v>
      </c>
    </row>
    <row r="284" customFormat="false" ht="15" hidden="false" customHeight="false" outlineLevel="0" collapsed="false">
      <c r="A284" s="7" t="s">
        <v>82</v>
      </c>
      <c r="B284" s="7" t="s">
        <v>83</v>
      </c>
      <c r="C284" s="7" t="s">
        <v>49</v>
      </c>
      <c r="D284" s="7" t="s">
        <v>95</v>
      </c>
      <c r="E284" s="7" t="s">
        <v>51</v>
      </c>
      <c r="F284" s="7" t="s">
        <v>137</v>
      </c>
      <c r="G284" s="8" t="b">
        <f aca="false">TRUE()</f>
        <v>1</v>
      </c>
      <c r="H284" s="8" t="b">
        <f aca="false">TRUE()</f>
        <v>1</v>
      </c>
      <c r="I284" s="7" t="str">
        <f aca="false">IF(AND(G284,H284),"PASS_TO_PASS",IF(G284,"PASS_TO_FAIL",IF(H284,"FAIL_TO_PASS","FAIL_TO_FAIL")))</f>
        <v>PASS_TO_PASS</v>
      </c>
    </row>
    <row r="285" customFormat="false" ht="15" hidden="false" customHeight="false" outlineLevel="0" collapsed="false">
      <c r="A285" s="7" t="s">
        <v>82</v>
      </c>
      <c r="B285" s="7" t="s">
        <v>83</v>
      </c>
      <c r="C285" s="7" t="s">
        <v>49</v>
      </c>
      <c r="D285" s="7" t="s">
        <v>95</v>
      </c>
      <c r="E285" s="7" t="s">
        <v>51</v>
      </c>
      <c r="F285" s="7" t="s">
        <v>138</v>
      </c>
      <c r="G285" s="8" t="b">
        <f aca="false">TRUE()</f>
        <v>1</v>
      </c>
      <c r="H285" s="8" t="b">
        <f aca="false">TRUE()</f>
        <v>1</v>
      </c>
      <c r="I285" s="7" t="str">
        <f aca="false">IF(AND(G285,H285),"PASS_TO_PASS",IF(G285,"PASS_TO_FAIL",IF(H285,"FAIL_TO_PASS","FAIL_TO_FAIL")))</f>
        <v>PASS_TO_PASS</v>
      </c>
    </row>
    <row r="286" customFormat="false" ht="15" hidden="false" customHeight="false" outlineLevel="0" collapsed="false">
      <c r="A286" s="7" t="s">
        <v>82</v>
      </c>
      <c r="B286" s="7" t="s">
        <v>83</v>
      </c>
      <c r="C286" s="7" t="s">
        <v>49</v>
      </c>
      <c r="D286" s="7" t="s">
        <v>95</v>
      </c>
      <c r="E286" s="7" t="s">
        <v>51</v>
      </c>
      <c r="F286" s="7" t="s">
        <v>139</v>
      </c>
      <c r="G286" s="8" t="b">
        <f aca="false">TRUE()</f>
        <v>1</v>
      </c>
      <c r="H286" s="8" t="b">
        <f aca="false">TRUE()</f>
        <v>1</v>
      </c>
      <c r="I286" s="7" t="str">
        <f aca="false">IF(AND(G286,H286),"PASS_TO_PASS",IF(G286,"PASS_TO_FAIL",IF(H286,"FAIL_TO_PASS","FAIL_TO_FAIL")))</f>
        <v>PASS_TO_PASS</v>
      </c>
    </row>
    <row r="287" customFormat="false" ht="15" hidden="false" customHeight="false" outlineLevel="0" collapsed="false">
      <c r="A287" s="7" t="s">
        <v>82</v>
      </c>
      <c r="B287" s="7" t="s">
        <v>83</v>
      </c>
      <c r="C287" s="7" t="s">
        <v>49</v>
      </c>
      <c r="D287" s="7" t="s">
        <v>95</v>
      </c>
      <c r="E287" s="7" t="s">
        <v>51</v>
      </c>
      <c r="F287" s="7" t="s">
        <v>140</v>
      </c>
      <c r="G287" s="8" t="b">
        <f aca="false">TRUE()</f>
        <v>1</v>
      </c>
      <c r="H287" s="8" t="b">
        <f aca="false">FALSE()</f>
        <v>0</v>
      </c>
      <c r="I287" s="7" t="str">
        <f aca="false">IF(AND(G287,H287),"PASS_TO_PASS",IF(G287,"PASS_TO_FAIL",IF(H287,"FAIL_TO_PASS","FAIL_TO_FAIL")))</f>
        <v>PASS_TO_FAIL</v>
      </c>
    </row>
    <row r="288" customFormat="false" ht="15" hidden="false" customHeight="false" outlineLevel="0" collapsed="false">
      <c r="A288" s="7" t="s">
        <v>82</v>
      </c>
      <c r="B288" s="7" t="s">
        <v>83</v>
      </c>
      <c r="C288" s="7" t="s">
        <v>49</v>
      </c>
      <c r="D288" s="7" t="s">
        <v>95</v>
      </c>
      <c r="E288" s="7" t="s">
        <v>51</v>
      </c>
      <c r="F288" s="7" t="s">
        <v>141</v>
      </c>
      <c r="G288" s="8" t="b">
        <f aca="false">TRUE()</f>
        <v>1</v>
      </c>
      <c r="H288" s="8" t="b">
        <f aca="false">TRUE()</f>
        <v>1</v>
      </c>
      <c r="I288" s="7" t="str">
        <f aca="false">IF(AND(G288,H288),"PASS_TO_PASS",IF(G288,"PASS_TO_FAIL",IF(H288,"FAIL_TO_PASS","FAIL_TO_FAIL")))</f>
        <v>PASS_TO_PASS</v>
      </c>
    </row>
    <row r="289" customFormat="false" ht="15" hidden="false" customHeight="false" outlineLevel="0" collapsed="false">
      <c r="A289" s="7" t="s">
        <v>82</v>
      </c>
      <c r="B289" s="7" t="s">
        <v>83</v>
      </c>
      <c r="C289" s="7" t="s">
        <v>49</v>
      </c>
      <c r="D289" s="7" t="s">
        <v>95</v>
      </c>
      <c r="E289" s="7" t="s">
        <v>51</v>
      </c>
      <c r="F289" s="7" t="s">
        <v>142</v>
      </c>
      <c r="G289" s="8" t="b">
        <f aca="false">FALSE()</f>
        <v>0</v>
      </c>
      <c r="H289" s="8" t="b">
        <f aca="false">FALSE()</f>
        <v>0</v>
      </c>
      <c r="I289" s="7" t="str">
        <f aca="false">IF(AND(G289,H289),"PASS_TO_PASS",IF(G289,"PASS_TO_FAIL",IF(H289,"FAIL_TO_PASS","FAIL_TO_FAIL")))</f>
        <v>FAIL_TO_FAIL</v>
      </c>
    </row>
    <row r="290" customFormat="false" ht="15" hidden="false" customHeight="false" outlineLevel="0" collapsed="false">
      <c r="A290" s="7" t="s">
        <v>82</v>
      </c>
      <c r="B290" s="7" t="s">
        <v>83</v>
      </c>
      <c r="C290" s="7" t="s">
        <v>49</v>
      </c>
      <c r="D290" s="7" t="s">
        <v>95</v>
      </c>
      <c r="E290" s="7" t="s">
        <v>51</v>
      </c>
      <c r="F290" s="7" t="s">
        <v>143</v>
      </c>
      <c r="G290" s="8" t="b">
        <f aca="false">TRUE()</f>
        <v>1</v>
      </c>
      <c r="H290" s="8" t="b">
        <f aca="false">TRUE()</f>
        <v>1</v>
      </c>
      <c r="I290" s="7" t="str">
        <f aca="false">IF(AND(G290,H290),"PASS_TO_PASS",IF(G290,"PASS_TO_FAIL",IF(H290,"FAIL_TO_PASS","FAIL_TO_FAIL")))</f>
        <v>PASS_TO_PASS</v>
      </c>
    </row>
    <row r="291" customFormat="false" ht="15" hidden="false" customHeight="false" outlineLevel="0" collapsed="false">
      <c r="A291" s="7" t="s">
        <v>82</v>
      </c>
      <c r="B291" s="7" t="s">
        <v>83</v>
      </c>
      <c r="C291" s="7" t="s">
        <v>49</v>
      </c>
      <c r="D291" s="7" t="s">
        <v>95</v>
      </c>
      <c r="E291" s="7" t="s">
        <v>51</v>
      </c>
      <c r="F291" s="7" t="s">
        <v>144</v>
      </c>
      <c r="G291" s="8" t="b">
        <f aca="false">TRUE()</f>
        <v>1</v>
      </c>
      <c r="H291" s="8" t="b">
        <f aca="false">TRUE()</f>
        <v>1</v>
      </c>
      <c r="I291" s="7" t="str">
        <f aca="false">IF(AND(G291,H291),"PASS_TO_PASS",IF(G291,"PASS_TO_FAIL",IF(H291,"FAIL_TO_PASS","FAIL_TO_FAIL")))</f>
        <v>PASS_TO_PASS</v>
      </c>
    </row>
    <row r="292" customFormat="false" ht="15" hidden="false" customHeight="false" outlineLevel="0" collapsed="false">
      <c r="A292" s="7" t="s">
        <v>82</v>
      </c>
      <c r="B292" s="7" t="s">
        <v>83</v>
      </c>
      <c r="C292" s="7" t="s">
        <v>49</v>
      </c>
      <c r="D292" s="7" t="s">
        <v>95</v>
      </c>
      <c r="E292" s="7" t="s">
        <v>51</v>
      </c>
      <c r="F292" s="7" t="s">
        <v>145</v>
      </c>
      <c r="G292" s="8" t="b">
        <f aca="false">TRUE()</f>
        <v>1</v>
      </c>
      <c r="H292" s="8" t="b">
        <f aca="false">TRUE()</f>
        <v>1</v>
      </c>
      <c r="I292" s="7" t="str">
        <f aca="false">IF(AND(G292,H292),"PASS_TO_PASS",IF(G292,"PASS_TO_FAIL",IF(H292,"FAIL_TO_PASS","FAIL_TO_FAIL")))</f>
        <v>PASS_TO_PASS</v>
      </c>
    </row>
    <row r="293" customFormat="false" ht="15" hidden="false" customHeight="false" outlineLevel="0" collapsed="false">
      <c r="A293" s="7" t="s">
        <v>48</v>
      </c>
      <c r="B293" s="7" t="s">
        <v>10</v>
      </c>
      <c r="C293" s="7" t="s">
        <v>49</v>
      </c>
      <c r="D293" s="7" t="s">
        <v>96</v>
      </c>
      <c r="E293" s="7" t="s">
        <v>51</v>
      </c>
      <c r="F293" s="7" t="s">
        <v>134</v>
      </c>
      <c r="G293" s="8" t="b">
        <f aca="false">TRUE()</f>
        <v>1</v>
      </c>
      <c r="H293" s="8" t="b">
        <f aca="false">TRUE()</f>
        <v>1</v>
      </c>
      <c r="I293" s="7" t="str">
        <f aca="false">IF(AND(G293,H293),"PASS_TO_PASS",IF(G293,"PASS_TO_FAIL",IF(H293,"FAIL_TO_PASS","FAIL_TO_FAIL")))</f>
        <v>PASS_TO_PASS</v>
      </c>
    </row>
    <row r="294" customFormat="false" ht="15" hidden="false" customHeight="false" outlineLevel="0" collapsed="false">
      <c r="A294" s="7" t="s">
        <v>48</v>
      </c>
      <c r="B294" s="7" t="s">
        <v>10</v>
      </c>
      <c r="C294" s="7" t="s">
        <v>49</v>
      </c>
      <c r="D294" s="7" t="s">
        <v>96</v>
      </c>
      <c r="E294" s="7" t="s">
        <v>51</v>
      </c>
      <c r="F294" s="7" t="s">
        <v>135</v>
      </c>
      <c r="G294" s="8" t="b">
        <f aca="false">TRUE()</f>
        <v>1</v>
      </c>
      <c r="H294" s="8" t="b">
        <f aca="false">TRUE()</f>
        <v>1</v>
      </c>
      <c r="I294" s="7" t="str">
        <f aca="false">IF(AND(G294,H294),"PASS_TO_PASS",IF(G294,"PASS_TO_FAIL",IF(H294,"FAIL_TO_PASS","FAIL_TO_FAIL")))</f>
        <v>PASS_TO_PASS</v>
      </c>
    </row>
    <row r="295" customFormat="false" ht="15" hidden="false" customHeight="false" outlineLevel="0" collapsed="false">
      <c r="A295" s="7" t="s">
        <v>48</v>
      </c>
      <c r="B295" s="7" t="s">
        <v>10</v>
      </c>
      <c r="C295" s="7" t="s">
        <v>49</v>
      </c>
      <c r="D295" s="7" t="s">
        <v>96</v>
      </c>
      <c r="E295" s="7" t="s">
        <v>51</v>
      </c>
      <c r="F295" s="7" t="s">
        <v>136</v>
      </c>
      <c r="G295" s="8" t="b">
        <f aca="false">TRUE()</f>
        <v>1</v>
      </c>
      <c r="H295" s="8" t="b">
        <f aca="false">TRUE()</f>
        <v>1</v>
      </c>
      <c r="I295" s="7" t="str">
        <f aca="false">IF(AND(G295,H295),"PASS_TO_PASS",IF(G295,"PASS_TO_FAIL",IF(H295,"FAIL_TO_PASS","FAIL_TO_FAIL")))</f>
        <v>PASS_TO_PASS</v>
      </c>
    </row>
    <row r="296" customFormat="false" ht="15" hidden="false" customHeight="false" outlineLevel="0" collapsed="false">
      <c r="A296" s="7" t="s">
        <v>48</v>
      </c>
      <c r="B296" s="7" t="s">
        <v>10</v>
      </c>
      <c r="C296" s="7" t="s">
        <v>49</v>
      </c>
      <c r="D296" s="7" t="s">
        <v>96</v>
      </c>
      <c r="E296" s="7" t="s">
        <v>51</v>
      </c>
      <c r="F296" s="7" t="s">
        <v>137</v>
      </c>
      <c r="G296" s="8" t="b">
        <f aca="false">TRUE()</f>
        <v>1</v>
      </c>
      <c r="H296" s="8" t="b">
        <f aca="false">TRUE()</f>
        <v>1</v>
      </c>
      <c r="I296" s="7" t="str">
        <f aca="false">IF(AND(G296,H296),"PASS_TO_PASS",IF(G296,"PASS_TO_FAIL",IF(H296,"FAIL_TO_PASS","FAIL_TO_FAIL")))</f>
        <v>PASS_TO_PASS</v>
      </c>
    </row>
    <row r="297" customFormat="false" ht="15" hidden="false" customHeight="false" outlineLevel="0" collapsed="false">
      <c r="A297" s="7" t="s">
        <v>48</v>
      </c>
      <c r="B297" s="7" t="s">
        <v>10</v>
      </c>
      <c r="C297" s="7" t="s">
        <v>49</v>
      </c>
      <c r="D297" s="7" t="s">
        <v>96</v>
      </c>
      <c r="E297" s="7" t="s">
        <v>51</v>
      </c>
      <c r="F297" s="7" t="s">
        <v>138</v>
      </c>
      <c r="G297" s="8" t="b">
        <f aca="false">FALSE()</f>
        <v>0</v>
      </c>
      <c r="H297" s="8" t="b">
        <f aca="false">TRUE()</f>
        <v>1</v>
      </c>
      <c r="I297" s="7" t="str">
        <f aca="false">IF(AND(G297,H297),"PASS_TO_PASS",IF(G297,"PASS_TO_FAIL",IF(H297,"FAIL_TO_PASS","FAIL_TO_FAIL")))</f>
        <v>FAIL_TO_PASS</v>
      </c>
    </row>
    <row r="298" customFormat="false" ht="15" hidden="false" customHeight="false" outlineLevel="0" collapsed="false">
      <c r="A298" s="7" t="s">
        <v>48</v>
      </c>
      <c r="B298" s="7" t="s">
        <v>10</v>
      </c>
      <c r="C298" s="7" t="s">
        <v>49</v>
      </c>
      <c r="D298" s="7" t="s">
        <v>96</v>
      </c>
      <c r="E298" s="7" t="s">
        <v>51</v>
      </c>
      <c r="F298" s="7" t="s">
        <v>139</v>
      </c>
      <c r="G298" s="8" t="b">
        <f aca="false">TRUE()</f>
        <v>1</v>
      </c>
      <c r="H298" s="8" t="b">
        <f aca="false">TRUE()</f>
        <v>1</v>
      </c>
      <c r="I298" s="7" t="str">
        <f aca="false">IF(AND(G298,H298),"PASS_TO_PASS",IF(G298,"PASS_TO_FAIL",IF(H298,"FAIL_TO_PASS","FAIL_TO_FAIL")))</f>
        <v>PASS_TO_PASS</v>
      </c>
    </row>
    <row r="299" customFormat="false" ht="15" hidden="false" customHeight="false" outlineLevel="0" collapsed="false">
      <c r="A299" s="7" t="s">
        <v>48</v>
      </c>
      <c r="B299" s="7" t="s">
        <v>10</v>
      </c>
      <c r="C299" s="7" t="s">
        <v>49</v>
      </c>
      <c r="D299" s="7" t="s">
        <v>96</v>
      </c>
      <c r="E299" s="7" t="s">
        <v>51</v>
      </c>
      <c r="F299" s="7" t="s">
        <v>140</v>
      </c>
      <c r="G299" s="8" t="b">
        <f aca="false">FALSE()</f>
        <v>0</v>
      </c>
      <c r="H299" s="8" t="b">
        <f aca="false">FALSE()</f>
        <v>0</v>
      </c>
      <c r="I299" s="7" t="str">
        <f aca="false">IF(AND(G299,H299),"PASS_TO_PASS",IF(G299,"PASS_TO_FAIL",IF(H299,"FAIL_TO_PASS","FAIL_TO_FAIL")))</f>
        <v>FAIL_TO_FAIL</v>
      </c>
    </row>
    <row r="300" customFormat="false" ht="15" hidden="false" customHeight="false" outlineLevel="0" collapsed="false">
      <c r="A300" s="7" t="s">
        <v>48</v>
      </c>
      <c r="B300" s="7" t="s">
        <v>10</v>
      </c>
      <c r="C300" s="7" t="s">
        <v>49</v>
      </c>
      <c r="D300" s="7" t="s">
        <v>96</v>
      </c>
      <c r="E300" s="7" t="s">
        <v>51</v>
      </c>
      <c r="F300" s="7" t="s">
        <v>141</v>
      </c>
      <c r="G300" s="8" t="b">
        <f aca="false">TRUE()</f>
        <v>1</v>
      </c>
      <c r="H300" s="8" t="b">
        <f aca="false">TRUE()</f>
        <v>1</v>
      </c>
      <c r="I300" s="7" t="str">
        <f aca="false">IF(AND(G300,H300),"PASS_TO_PASS",IF(G300,"PASS_TO_FAIL",IF(H300,"FAIL_TO_PASS","FAIL_TO_FAIL")))</f>
        <v>PASS_TO_PASS</v>
      </c>
    </row>
    <row r="301" customFormat="false" ht="15" hidden="false" customHeight="false" outlineLevel="0" collapsed="false">
      <c r="A301" s="7" t="s">
        <v>48</v>
      </c>
      <c r="B301" s="7" t="s">
        <v>10</v>
      </c>
      <c r="C301" s="7" t="s">
        <v>49</v>
      </c>
      <c r="D301" s="7" t="s">
        <v>96</v>
      </c>
      <c r="E301" s="7" t="s">
        <v>51</v>
      </c>
      <c r="F301" s="7" t="s">
        <v>142</v>
      </c>
      <c r="G301" s="8" t="b">
        <f aca="false">FALSE()</f>
        <v>0</v>
      </c>
      <c r="H301" s="8" t="b">
        <f aca="false">FALSE()</f>
        <v>0</v>
      </c>
      <c r="I301" s="7" t="str">
        <f aca="false">IF(AND(G301,H301),"PASS_TO_PASS",IF(G301,"PASS_TO_FAIL",IF(H301,"FAIL_TO_PASS","FAIL_TO_FAIL")))</f>
        <v>FAIL_TO_FAIL</v>
      </c>
    </row>
    <row r="302" customFormat="false" ht="15" hidden="false" customHeight="false" outlineLevel="0" collapsed="false">
      <c r="A302" s="7" t="s">
        <v>48</v>
      </c>
      <c r="B302" s="7" t="s">
        <v>10</v>
      </c>
      <c r="C302" s="7" t="s">
        <v>49</v>
      </c>
      <c r="D302" s="7" t="s">
        <v>96</v>
      </c>
      <c r="E302" s="7" t="s">
        <v>51</v>
      </c>
      <c r="F302" s="7" t="s">
        <v>143</v>
      </c>
      <c r="G302" s="8" t="b">
        <f aca="false">TRUE()</f>
        <v>1</v>
      </c>
      <c r="H302" s="8" t="b">
        <f aca="false">TRUE()</f>
        <v>1</v>
      </c>
      <c r="I302" s="7" t="str">
        <f aca="false">IF(AND(G302,H302),"PASS_TO_PASS",IF(G302,"PASS_TO_FAIL",IF(H302,"FAIL_TO_PASS","FAIL_TO_FAIL")))</f>
        <v>PASS_TO_PASS</v>
      </c>
    </row>
    <row r="303" customFormat="false" ht="15" hidden="false" customHeight="false" outlineLevel="0" collapsed="false">
      <c r="A303" s="7" t="s">
        <v>48</v>
      </c>
      <c r="B303" s="7" t="s">
        <v>10</v>
      </c>
      <c r="C303" s="7" t="s">
        <v>49</v>
      </c>
      <c r="D303" s="7" t="s">
        <v>96</v>
      </c>
      <c r="E303" s="7" t="s">
        <v>51</v>
      </c>
      <c r="F303" s="7" t="s">
        <v>144</v>
      </c>
      <c r="G303" s="8" t="b">
        <f aca="false">TRUE()</f>
        <v>1</v>
      </c>
      <c r="H303" s="8" t="b">
        <f aca="false">TRUE()</f>
        <v>1</v>
      </c>
      <c r="I303" s="7" t="str">
        <f aca="false">IF(AND(G303,H303),"PASS_TO_PASS",IF(G303,"PASS_TO_FAIL",IF(H303,"FAIL_TO_PASS","FAIL_TO_FAIL")))</f>
        <v>PASS_TO_PASS</v>
      </c>
    </row>
    <row r="304" customFormat="false" ht="15" hidden="false" customHeight="false" outlineLevel="0" collapsed="false">
      <c r="A304" s="7" t="s">
        <v>48</v>
      </c>
      <c r="B304" s="7" t="s">
        <v>10</v>
      </c>
      <c r="C304" s="7" t="s">
        <v>49</v>
      </c>
      <c r="D304" s="7" t="s">
        <v>96</v>
      </c>
      <c r="E304" s="7" t="s">
        <v>51</v>
      </c>
      <c r="F304" s="7" t="s">
        <v>145</v>
      </c>
      <c r="G304" s="8" t="b">
        <f aca="false">TRUE()</f>
        <v>1</v>
      </c>
      <c r="H304" s="8" t="b">
        <f aca="false">TRUE()</f>
        <v>1</v>
      </c>
      <c r="I304" s="7" t="str">
        <f aca="false">IF(AND(G304,H304),"PASS_TO_PASS",IF(G304,"PASS_TO_FAIL",IF(H304,"FAIL_TO_PASS","FAIL_TO_FAIL")))</f>
        <v>PASS_TO_PASS</v>
      </c>
    </row>
    <row r="305" customFormat="false" ht="15" hidden="false" customHeight="false" outlineLevel="0" collapsed="false">
      <c r="A305" s="7" t="s">
        <v>82</v>
      </c>
      <c r="B305" s="7" t="s">
        <v>83</v>
      </c>
      <c r="C305" s="7" t="s">
        <v>49</v>
      </c>
      <c r="D305" s="7" t="s">
        <v>96</v>
      </c>
      <c r="E305" s="7" t="s">
        <v>51</v>
      </c>
      <c r="F305" s="7" t="s">
        <v>134</v>
      </c>
      <c r="G305" s="8" t="b">
        <f aca="false">TRUE()</f>
        <v>1</v>
      </c>
      <c r="H305" s="8" t="b">
        <f aca="false">TRUE()</f>
        <v>1</v>
      </c>
      <c r="I305" s="7" t="str">
        <f aca="false">IF(AND(G305,H305),"PASS_TO_PASS",IF(G305,"PASS_TO_FAIL",IF(H305,"FAIL_TO_PASS","FAIL_TO_FAIL")))</f>
        <v>PASS_TO_PASS</v>
      </c>
    </row>
    <row r="306" customFormat="false" ht="15" hidden="false" customHeight="false" outlineLevel="0" collapsed="false">
      <c r="A306" s="7" t="s">
        <v>82</v>
      </c>
      <c r="B306" s="7" t="s">
        <v>83</v>
      </c>
      <c r="C306" s="7" t="s">
        <v>49</v>
      </c>
      <c r="D306" s="7" t="s">
        <v>96</v>
      </c>
      <c r="E306" s="7" t="s">
        <v>51</v>
      </c>
      <c r="F306" s="7" t="s">
        <v>135</v>
      </c>
      <c r="G306" s="8" t="b">
        <f aca="false">TRUE()</f>
        <v>1</v>
      </c>
      <c r="H306" s="8" t="b">
        <f aca="false">TRUE()</f>
        <v>1</v>
      </c>
      <c r="I306" s="7" t="str">
        <f aca="false">IF(AND(G306,H306),"PASS_TO_PASS",IF(G306,"PASS_TO_FAIL",IF(H306,"FAIL_TO_PASS","FAIL_TO_FAIL")))</f>
        <v>PASS_TO_PASS</v>
      </c>
    </row>
    <row r="307" customFormat="false" ht="15" hidden="false" customHeight="false" outlineLevel="0" collapsed="false">
      <c r="A307" s="7" t="s">
        <v>82</v>
      </c>
      <c r="B307" s="7" t="s">
        <v>83</v>
      </c>
      <c r="C307" s="7" t="s">
        <v>49</v>
      </c>
      <c r="D307" s="7" t="s">
        <v>96</v>
      </c>
      <c r="E307" s="7" t="s">
        <v>51</v>
      </c>
      <c r="F307" s="7" t="s">
        <v>136</v>
      </c>
      <c r="G307" s="8" t="b">
        <f aca="false">TRUE()</f>
        <v>1</v>
      </c>
      <c r="H307" s="8" t="b">
        <f aca="false">TRUE()</f>
        <v>1</v>
      </c>
      <c r="I307" s="7" t="str">
        <f aca="false">IF(AND(G307,H307),"PASS_TO_PASS",IF(G307,"PASS_TO_FAIL",IF(H307,"FAIL_TO_PASS","FAIL_TO_FAIL")))</f>
        <v>PASS_TO_PASS</v>
      </c>
    </row>
    <row r="308" customFormat="false" ht="15" hidden="false" customHeight="false" outlineLevel="0" collapsed="false">
      <c r="A308" s="7" t="s">
        <v>82</v>
      </c>
      <c r="B308" s="7" t="s">
        <v>83</v>
      </c>
      <c r="C308" s="7" t="s">
        <v>49</v>
      </c>
      <c r="D308" s="7" t="s">
        <v>96</v>
      </c>
      <c r="E308" s="7" t="s">
        <v>51</v>
      </c>
      <c r="F308" s="7" t="s">
        <v>137</v>
      </c>
      <c r="G308" s="8" t="b">
        <f aca="false">TRUE()</f>
        <v>1</v>
      </c>
      <c r="H308" s="8" t="b">
        <f aca="false">TRUE()</f>
        <v>1</v>
      </c>
      <c r="I308" s="7" t="str">
        <f aca="false">IF(AND(G308,H308),"PASS_TO_PASS",IF(G308,"PASS_TO_FAIL",IF(H308,"FAIL_TO_PASS","FAIL_TO_FAIL")))</f>
        <v>PASS_TO_PASS</v>
      </c>
    </row>
    <row r="309" customFormat="false" ht="15" hidden="false" customHeight="false" outlineLevel="0" collapsed="false">
      <c r="A309" s="7" t="s">
        <v>82</v>
      </c>
      <c r="B309" s="7" t="s">
        <v>83</v>
      </c>
      <c r="C309" s="7" t="s">
        <v>49</v>
      </c>
      <c r="D309" s="7" t="s">
        <v>96</v>
      </c>
      <c r="E309" s="7" t="s">
        <v>51</v>
      </c>
      <c r="F309" s="7" t="s">
        <v>138</v>
      </c>
      <c r="G309" s="8" t="b">
        <f aca="false">TRUE()</f>
        <v>1</v>
      </c>
      <c r="H309" s="8" t="b">
        <f aca="false">TRUE()</f>
        <v>1</v>
      </c>
      <c r="I309" s="7" t="str">
        <f aca="false">IF(AND(G309,H309),"PASS_TO_PASS",IF(G309,"PASS_TO_FAIL",IF(H309,"FAIL_TO_PASS","FAIL_TO_FAIL")))</f>
        <v>PASS_TO_PASS</v>
      </c>
    </row>
    <row r="310" customFormat="false" ht="15" hidden="false" customHeight="false" outlineLevel="0" collapsed="false">
      <c r="A310" s="7" t="s">
        <v>82</v>
      </c>
      <c r="B310" s="7" t="s">
        <v>83</v>
      </c>
      <c r="C310" s="7" t="s">
        <v>49</v>
      </c>
      <c r="D310" s="7" t="s">
        <v>96</v>
      </c>
      <c r="E310" s="7" t="s">
        <v>51</v>
      </c>
      <c r="F310" s="7" t="s">
        <v>139</v>
      </c>
      <c r="G310" s="8" t="b">
        <f aca="false">TRUE()</f>
        <v>1</v>
      </c>
      <c r="H310" s="8" t="b">
        <f aca="false">TRUE()</f>
        <v>1</v>
      </c>
      <c r="I310" s="7" t="str">
        <f aca="false">IF(AND(G310,H310),"PASS_TO_PASS",IF(G310,"PASS_TO_FAIL",IF(H310,"FAIL_TO_PASS","FAIL_TO_FAIL")))</f>
        <v>PASS_TO_PASS</v>
      </c>
    </row>
    <row r="311" customFormat="false" ht="15" hidden="false" customHeight="false" outlineLevel="0" collapsed="false">
      <c r="A311" s="7" t="s">
        <v>82</v>
      </c>
      <c r="B311" s="7" t="s">
        <v>83</v>
      </c>
      <c r="C311" s="7" t="s">
        <v>49</v>
      </c>
      <c r="D311" s="7" t="s">
        <v>96</v>
      </c>
      <c r="E311" s="7" t="s">
        <v>51</v>
      </c>
      <c r="F311" s="7" t="s">
        <v>140</v>
      </c>
      <c r="G311" s="8" t="b">
        <f aca="false">TRUE()</f>
        <v>1</v>
      </c>
      <c r="H311" s="8" t="b">
        <f aca="false">FALSE()</f>
        <v>0</v>
      </c>
      <c r="I311" s="7" t="str">
        <f aca="false">IF(AND(G311,H311),"PASS_TO_PASS",IF(G311,"PASS_TO_FAIL",IF(H311,"FAIL_TO_PASS","FAIL_TO_FAIL")))</f>
        <v>PASS_TO_FAIL</v>
      </c>
    </row>
    <row r="312" customFormat="false" ht="15" hidden="false" customHeight="false" outlineLevel="0" collapsed="false">
      <c r="A312" s="7" t="s">
        <v>82</v>
      </c>
      <c r="B312" s="7" t="s">
        <v>83</v>
      </c>
      <c r="C312" s="7" t="s">
        <v>49</v>
      </c>
      <c r="D312" s="7" t="s">
        <v>96</v>
      </c>
      <c r="E312" s="7" t="s">
        <v>51</v>
      </c>
      <c r="F312" s="7" t="s">
        <v>141</v>
      </c>
      <c r="G312" s="8" t="b">
        <f aca="false">TRUE()</f>
        <v>1</v>
      </c>
      <c r="H312" s="8" t="b">
        <f aca="false">TRUE()</f>
        <v>1</v>
      </c>
      <c r="I312" s="7" t="str">
        <f aca="false">IF(AND(G312,H312),"PASS_TO_PASS",IF(G312,"PASS_TO_FAIL",IF(H312,"FAIL_TO_PASS","FAIL_TO_FAIL")))</f>
        <v>PASS_TO_PASS</v>
      </c>
    </row>
    <row r="313" customFormat="false" ht="15" hidden="false" customHeight="false" outlineLevel="0" collapsed="false">
      <c r="A313" s="7" t="s">
        <v>82</v>
      </c>
      <c r="B313" s="7" t="s">
        <v>83</v>
      </c>
      <c r="C313" s="7" t="s">
        <v>49</v>
      </c>
      <c r="D313" s="7" t="s">
        <v>96</v>
      </c>
      <c r="E313" s="7" t="s">
        <v>51</v>
      </c>
      <c r="F313" s="7" t="s">
        <v>142</v>
      </c>
      <c r="G313" s="8" t="b">
        <f aca="false">FALSE()</f>
        <v>0</v>
      </c>
      <c r="H313" s="8" t="b">
        <f aca="false">FALSE()</f>
        <v>0</v>
      </c>
      <c r="I313" s="7" t="str">
        <f aca="false">IF(AND(G313,H313),"PASS_TO_PASS",IF(G313,"PASS_TO_FAIL",IF(H313,"FAIL_TO_PASS","FAIL_TO_FAIL")))</f>
        <v>FAIL_TO_FAIL</v>
      </c>
    </row>
    <row r="314" customFormat="false" ht="15" hidden="false" customHeight="false" outlineLevel="0" collapsed="false">
      <c r="A314" s="7" t="s">
        <v>82</v>
      </c>
      <c r="B314" s="7" t="s">
        <v>83</v>
      </c>
      <c r="C314" s="7" t="s">
        <v>49</v>
      </c>
      <c r="D314" s="7" t="s">
        <v>96</v>
      </c>
      <c r="E314" s="7" t="s">
        <v>51</v>
      </c>
      <c r="F314" s="7" t="s">
        <v>143</v>
      </c>
      <c r="G314" s="8" t="b">
        <f aca="false">FALSE()</f>
        <v>0</v>
      </c>
      <c r="H314" s="8" t="b">
        <f aca="false">TRUE()</f>
        <v>1</v>
      </c>
      <c r="I314" s="7" t="str">
        <f aca="false">IF(AND(G314,H314),"PASS_TO_PASS",IF(G314,"PASS_TO_FAIL",IF(H314,"FAIL_TO_PASS","FAIL_TO_FAIL")))</f>
        <v>FAIL_TO_PASS</v>
      </c>
    </row>
    <row r="315" customFormat="false" ht="15" hidden="false" customHeight="false" outlineLevel="0" collapsed="false">
      <c r="A315" s="7" t="s">
        <v>82</v>
      </c>
      <c r="B315" s="7" t="s">
        <v>83</v>
      </c>
      <c r="C315" s="7" t="s">
        <v>49</v>
      </c>
      <c r="D315" s="7" t="s">
        <v>96</v>
      </c>
      <c r="E315" s="7" t="s">
        <v>51</v>
      </c>
      <c r="F315" s="7" t="s">
        <v>144</v>
      </c>
      <c r="G315" s="8" t="b">
        <f aca="false">TRUE()</f>
        <v>1</v>
      </c>
      <c r="H315" s="8" t="b">
        <f aca="false">TRUE()</f>
        <v>1</v>
      </c>
      <c r="I315" s="7" t="str">
        <f aca="false">IF(AND(G315,H315),"PASS_TO_PASS",IF(G315,"PASS_TO_FAIL",IF(H315,"FAIL_TO_PASS","FAIL_TO_FAIL")))</f>
        <v>PASS_TO_PASS</v>
      </c>
    </row>
    <row r="316" customFormat="false" ht="15" hidden="false" customHeight="false" outlineLevel="0" collapsed="false">
      <c r="A316" s="7" t="s">
        <v>82</v>
      </c>
      <c r="B316" s="7" t="s">
        <v>83</v>
      </c>
      <c r="C316" s="7" t="s">
        <v>49</v>
      </c>
      <c r="D316" s="7" t="s">
        <v>96</v>
      </c>
      <c r="E316" s="7" t="s">
        <v>51</v>
      </c>
      <c r="F316" s="7" t="s">
        <v>145</v>
      </c>
      <c r="G316" s="8" t="b">
        <f aca="false">TRUE()</f>
        <v>1</v>
      </c>
      <c r="H316" s="8" t="b">
        <f aca="false">TRUE()</f>
        <v>1</v>
      </c>
      <c r="I316" s="7" t="str">
        <f aca="false">IF(AND(G316,H316),"PASS_TO_PASS",IF(G316,"PASS_TO_FAIL",IF(H316,"FAIL_TO_PASS","FAIL_TO_FAIL")))</f>
        <v>PASS_TO_PASS</v>
      </c>
    </row>
    <row r="317" customFormat="false" ht="15" hidden="false" customHeight="false" outlineLevel="0" collapsed="false">
      <c r="A317" s="7" t="s">
        <v>48</v>
      </c>
      <c r="B317" s="7" t="s">
        <v>10</v>
      </c>
      <c r="C317" s="7" t="s">
        <v>49</v>
      </c>
      <c r="D317" s="7" t="s">
        <v>97</v>
      </c>
      <c r="E317" s="7" t="s">
        <v>51</v>
      </c>
      <c r="F317" s="7" t="s">
        <v>134</v>
      </c>
      <c r="G317" s="8" t="b">
        <f aca="false">TRUE()</f>
        <v>1</v>
      </c>
      <c r="H317" s="8" t="b">
        <f aca="false">TRUE()</f>
        <v>1</v>
      </c>
      <c r="I317" s="7" t="str">
        <f aca="false">IF(AND(G317,H317),"PASS_TO_PASS",IF(G317,"PASS_TO_FAIL",IF(H317,"FAIL_TO_PASS","FAIL_TO_FAIL")))</f>
        <v>PASS_TO_PASS</v>
      </c>
    </row>
    <row r="318" customFormat="false" ht="15" hidden="false" customHeight="false" outlineLevel="0" collapsed="false">
      <c r="A318" s="7" t="s">
        <v>48</v>
      </c>
      <c r="B318" s="7" t="s">
        <v>10</v>
      </c>
      <c r="C318" s="7" t="s">
        <v>49</v>
      </c>
      <c r="D318" s="7" t="s">
        <v>97</v>
      </c>
      <c r="E318" s="7" t="s">
        <v>51</v>
      </c>
      <c r="F318" s="7" t="s">
        <v>135</v>
      </c>
      <c r="G318" s="8" t="b">
        <f aca="false">TRUE()</f>
        <v>1</v>
      </c>
      <c r="H318" s="8" t="b">
        <f aca="false">TRUE()</f>
        <v>1</v>
      </c>
      <c r="I318" s="7" t="str">
        <f aca="false">IF(AND(G318,H318),"PASS_TO_PASS",IF(G318,"PASS_TO_FAIL",IF(H318,"FAIL_TO_PASS","FAIL_TO_FAIL")))</f>
        <v>PASS_TO_PASS</v>
      </c>
    </row>
    <row r="319" customFormat="false" ht="15" hidden="false" customHeight="false" outlineLevel="0" collapsed="false">
      <c r="A319" s="7" t="s">
        <v>48</v>
      </c>
      <c r="B319" s="7" t="s">
        <v>10</v>
      </c>
      <c r="C319" s="7" t="s">
        <v>49</v>
      </c>
      <c r="D319" s="7" t="s">
        <v>97</v>
      </c>
      <c r="E319" s="7" t="s">
        <v>51</v>
      </c>
      <c r="F319" s="7" t="s">
        <v>136</v>
      </c>
      <c r="G319" s="8" t="b">
        <f aca="false">TRUE()</f>
        <v>1</v>
      </c>
      <c r="H319" s="8" t="b">
        <f aca="false">TRUE()</f>
        <v>1</v>
      </c>
      <c r="I319" s="7" t="str">
        <f aca="false">IF(AND(G319,H319),"PASS_TO_PASS",IF(G319,"PASS_TO_FAIL",IF(H319,"FAIL_TO_PASS","FAIL_TO_FAIL")))</f>
        <v>PASS_TO_PASS</v>
      </c>
    </row>
    <row r="320" customFormat="false" ht="15" hidden="false" customHeight="false" outlineLevel="0" collapsed="false">
      <c r="A320" s="7" t="s">
        <v>48</v>
      </c>
      <c r="B320" s="7" t="s">
        <v>10</v>
      </c>
      <c r="C320" s="7" t="s">
        <v>49</v>
      </c>
      <c r="D320" s="7" t="s">
        <v>97</v>
      </c>
      <c r="E320" s="7" t="s">
        <v>51</v>
      </c>
      <c r="F320" s="7" t="s">
        <v>137</v>
      </c>
      <c r="G320" s="8" t="b">
        <f aca="false">TRUE()</f>
        <v>1</v>
      </c>
      <c r="H320" s="8" t="b">
        <f aca="false">TRUE()</f>
        <v>1</v>
      </c>
      <c r="I320" s="7" t="str">
        <f aca="false">IF(AND(G320,H320),"PASS_TO_PASS",IF(G320,"PASS_TO_FAIL",IF(H320,"FAIL_TO_PASS","FAIL_TO_FAIL")))</f>
        <v>PASS_TO_PASS</v>
      </c>
    </row>
    <row r="321" customFormat="false" ht="15" hidden="false" customHeight="false" outlineLevel="0" collapsed="false">
      <c r="A321" s="7" t="s">
        <v>48</v>
      </c>
      <c r="B321" s="7" t="s">
        <v>10</v>
      </c>
      <c r="C321" s="7" t="s">
        <v>49</v>
      </c>
      <c r="D321" s="7" t="s">
        <v>97</v>
      </c>
      <c r="E321" s="7" t="s">
        <v>51</v>
      </c>
      <c r="F321" s="7" t="s">
        <v>138</v>
      </c>
      <c r="G321" s="8" t="b">
        <f aca="false">TRUE()</f>
        <v>1</v>
      </c>
      <c r="H321" s="8" t="b">
        <f aca="false">FALSE()</f>
        <v>0</v>
      </c>
      <c r="I321" s="7" t="str">
        <f aca="false">IF(AND(G321,H321),"PASS_TO_PASS",IF(G321,"PASS_TO_FAIL",IF(H321,"FAIL_TO_PASS","FAIL_TO_FAIL")))</f>
        <v>PASS_TO_FAIL</v>
      </c>
    </row>
    <row r="322" customFormat="false" ht="15" hidden="false" customHeight="false" outlineLevel="0" collapsed="false">
      <c r="A322" s="7" t="s">
        <v>48</v>
      </c>
      <c r="B322" s="7" t="s">
        <v>10</v>
      </c>
      <c r="C322" s="7" t="s">
        <v>49</v>
      </c>
      <c r="D322" s="7" t="s">
        <v>97</v>
      </c>
      <c r="E322" s="7" t="s">
        <v>51</v>
      </c>
      <c r="F322" s="7" t="s">
        <v>139</v>
      </c>
      <c r="G322" s="8" t="b">
        <f aca="false">FALSE()</f>
        <v>0</v>
      </c>
      <c r="H322" s="8" t="b">
        <f aca="false">TRUE()</f>
        <v>1</v>
      </c>
      <c r="I322" s="7" t="str">
        <f aca="false">IF(AND(G322,H322),"PASS_TO_PASS",IF(G322,"PASS_TO_FAIL",IF(H322,"FAIL_TO_PASS","FAIL_TO_FAIL")))</f>
        <v>FAIL_TO_PASS</v>
      </c>
    </row>
    <row r="323" customFormat="false" ht="15" hidden="false" customHeight="false" outlineLevel="0" collapsed="false">
      <c r="A323" s="7" t="s">
        <v>48</v>
      </c>
      <c r="B323" s="7" t="s">
        <v>10</v>
      </c>
      <c r="C323" s="7" t="s">
        <v>49</v>
      </c>
      <c r="D323" s="7" t="s">
        <v>97</v>
      </c>
      <c r="E323" s="7" t="s">
        <v>51</v>
      </c>
      <c r="F323" s="7" t="s">
        <v>140</v>
      </c>
      <c r="G323" s="8" t="b">
        <f aca="false">FALSE()</f>
        <v>0</v>
      </c>
      <c r="H323" s="8" t="b">
        <f aca="false">FALSE()</f>
        <v>0</v>
      </c>
      <c r="I323" s="7" t="str">
        <f aca="false">IF(AND(G323,H323),"PASS_TO_PASS",IF(G323,"PASS_TO_FAIL",IF(H323,"FAIL_TO_PASS","FAIL_TO_FAIL")))</f>
        <v>FAIL_TO_FAIL</v>
      </c>
    </row>
    <row r="324" customFormat="false" ht="15" hidden="false" customHeight="false" outlineLevel="0" collapsed="false">
      <c r="A324" s="7" t="s">
        <v>48</v>
      </c>
      <c r="B324" s="7" t="s">
        <v>10</v>
      </c>
      <c r="C324" s="7" t="s">
        <v>49</v>
      </c>
      <c r="D324" s="7" t="s">
        <v>97</v>
      </c>
      <c r="E324" s="7" t="s">
        <v>51</v>
      </c>
      <c r="F324" s="7" t="s">
        <v>141</v>
      </c>
      <c r="G324" s="8" t="b">
        <f aca="false">FALSE()</f>
        <v>0</v>
      </c>
      <c r="H324" s="8" t="b">
        <f aca="false">TRUE()</f>
        <v>1</v>
      </c>
      <c r="I324" s="7" t="str">
        <f aca="false">IF(AND(G324,H324),"PASS_TO_PASS",IF(G324,"PASS_TO_FAIL",IF(H324,"FAIL_TO_PASS","FAIL_TO_FAIL")))</f>
        <v>FAIL_TO_PASS</v>
      </c>
    </row>
    <row r="325" customFormat="false" ht="15" hidden="false" customHeight="false" outlineLevel="0" collapsed="false">
      <c r="A325" s="7" t="s">
        <v>48</v>
      </c>
      <c r="B325" s="7" t="s">
        <v>10</v>
      </c>
      <c r="C325" s="7" t="s">
        <v>49</v>
      </c>
      <c r="D325" s="7" t="s">
        <v>97</v>
      </c>
      <c r="E325" s="7" t="s">
        <v>51</v>
      </c>
      <c r="F325" s="7" t="s">
        <v>142</v>
      </c>
      <c r="G325" s="8" t="b">
        <f aca="false">FALSE()</f>
        <v>0</v>
      </c>
      <c r="H325" s="8" t="b">
        <f aca="false">TRUE()</f>
        <v>1</v>
      </c>
      <c r="I325" s="7" t="str">
        <f aca="false">IF(AND(G325,H325),"PASS_TO_PASS",IF(G325,"PASS_TO_FAIL",IF(H325,"FAIL_TO_PASS","FAIL_TO_FAIL")))</f>
        <v>FAIL_TO_PASS</v>
      </c>
    </row>
    <row r="326" customFormat="false" ht="15" hidden="false" customHeight="false" outlineLevel="0" collapsed="false">
      <c r="A326" s="7" t="s">
        <v>48</v>
      </c>
      <c r="B326" s="7" t="s">
        <v>10</v>
      </c>
      <c r="C326" s="7" t="s">
        <v>49</v>
      </c>
      <c r="D326" s="7" t="s">
        <v>97</v>
      </c>
      <c r="E326" s="7" t="s">
        <v>51</v>
      </c>
      <c r="F326" s="7" t="s">
        <v>143</v>
      </c>
      <c r="G326" s="8" t="b">
        <f aca="false">FALSE()</f>
        <v>0</v>
      </c>
      <c r="H326" s="8" t="b">
        <f aca="false">FALSE()</f>
        <v>0</v>
      </c>
      <c r="I326" s="7" t="str">
        <f aca="false">IF(AND(G326,H326),"PASS_TO_PASS",IF(G326,"PASS_TO_FAIL",IF(H326,"FAIL_TO_PASS","FAIL_TO_FAIL")))</f>
        <v>FAIL_TO_FAIL</v>
      </c>
    </row>
    <row r="327" customFormat="false" ht="15" hidden="false" customHeight="false" outlineLevel="0" collapsed="false">
      <c r="A327" s="7" t="s">
        <v>48</v>
      </c>
      <c r="B327" s="7" t="s">
        <v>10</v>
      </c>
      <c r="C327" s="7" t="s">
        <v>49</v>
      </c>
      <c r="D327" s="7" t="s">
        <v>97</v>
      </c>
      <c r="E327" s="7" t="s">
        <v>51</v>
      </c>
      <c r="F327" s="7" t="s">
        <v>144</v>
      </c>
      <c r="G327" s="8" t="b">
        <f aca="false">TRUE()</f>
        <v>1</v>
      </c>
      <c r="H327" s="8" t="b">
        <f aca="false">TRUE()</f>
        <v>1</v>
      </c>
      <c r="I327" s="7" t="str">
        <f aca="false">IF(AND(G327,H327),"PASS_TO_PASS",IF(G327,"PASS_TO_FAIL",IF(H327,"FAIL_TO_PASS","FAIL_TO_FAIL")))</f>
        <v>PASS_TO_PASS</v>
      </c>
    </row>
    <row r="328" customFormat="false" ht="15" hidden="false" customHeight="false" outlineLevel="0" collapsed="false">
      <c r="A328" s="7" t="s">
        <v>48</v>
      </c>
      <c r="B328" s="7" t="s">
        <v>10</v>
      </c>
      <c r="C328" s="7" t="s">
        <v>49</v>
      </c>
      <c r="D328" s="7" t="s">
        <v>97</v>
      </c>
      <c r="E328" s="7" t="s">
        <v>51</v>
      </c>
      <c r="F328" s="7" t="s">
        <v>145</v>
      </c>
      <c r="G328" s="8" t="b">
        <f aca="false">TRUE()</f>
        <v>1</v>
      </c>
      <c r="H328" s="8" t="b">
        <f aca="false">TRUE()</f>
        <v>1</v>
      </c>
      <c r="I328" s="7" t="str">
        <f aca="false">IF(AND(G328,H328),"PASS_TO_PASS",IF(G328,"PASS_TO_FAIL",IF(H328,"FAIL_TO_PASS","FAIL_TO_FAIL")))</f>
        <v>PASS_TO_PASS</v>
      </c>
    </row>
    <row r="329" customFormat="false" ht="15" hidden="false" customHeight="false" outlineLevel="0" collapsed="false">
      <c r="A329" s="7" t="s">
        <v>82</v>
      </c>
      <c r="B329" s="7" t="s">
        <v>83</v>
      </c>
      <c r="C329" s="7" t="s">
        <v>49</v>
      </c>
      <c r="D329" s="7" t="s">
        <v>97</v>
      </c>
      <c r="E329" s="7" t="s">
        <v>51</v>
      </c>
      <c r="F329" s="7" t="s">
        <v>134</v>
      </c>
      <c r="G329" s="8" t="b">
        <f aca="false">TRUE()</f>
        <v>1</v>
      </c>
      <c r="H329" s="8" t="b">
        <f aca="false">TRUE()</f>
        <v>1</v>
      </c>
      <c r="I329" s="7" t="str">
        <f aca="false">IF(AND(G329,H329),"PASS_TO_PASS",IF(G329,"PASS_TO_FAIL",IF(H329,"FAIL_TO_PASS","FAIL_TO_FAIL")))</f>
        <v>PASS_TO_PASS</v>
      </c>
    </row>
    <row r="330" customFormat="false" ht="15" hidden="false" customHeight="false" outlineLevel="0" collapsed="false">
      <c r="A330" s="7" t="s">
        <v>82</v>
      </c>
      <c r="B330" s="7" t="s">
        <v>83</v>
      </c>
      <c r="C330" s="7" t="s">
        <v>49</v>
      </c>
      <c r="D330" s="7" t="s">
        <v>97</v>
      </c>
      <c r="E330" s="7" t="s">
        <v>51</v>
      </c>
      <c r="F330" s="7" t="s">
        <v>135</v>
      </c>
      <c r="G330" s="8" t="b">
        <f aca="false">TRUE()</f>
        <v>1</v>
      </c>
      <c r="H330" s="8" t="b">
        <f aca="false">TRUE()</f>
        <v>1</v>
      </c>
      <c r="I330" s="7" t="str">
        <f aca="false">IF(AND(G330,H330),"PASS_TO_PASS",IF(G330,"PASS_TO_FAIL",IF(H330,"FAIL_TO_PASS","FAIL_TO_FAIL")))</f>
        <v>PASS_TO_PASS</v>
      </c>
    </row>
    <row r="331" customFormat="false" ht="15" hidden="false" customHeight="false" outlineLevel="0" collapsed="false">
      <c r="A331" s="7" t="s">
        <v>82</v>
      </c>
      <c r="B331" s="7" t="s">
        <v>83</v>
      </c>
      <c r="C331" s="7" t="s">
        <v>49</v>
      </c>
      <c r="D331" s="7" t="s">
        <v>97</v>
      </c>
      <c r="E331" s="7" t="s">
        <v>51</v>
      </c>
      <c r="F331" s="7" t="s">
        <v>136</v>
      </c>
      <c r="G331" s="8" t="b">
        <f aca="false">TRUE()</f>
        <v>1</v>
      </c>
      <c r="H331" s="8" t="b">
        <f aca="false">TRUE()</f>
        <v>1</v>
      </c>
      <c r="I331" s="7" t="str">
        <f aca="false">IF(AND(G331,H331),"PASS_TO_PASS",IF(G331,"PASS_TO_FAIL",IF(H331,"FAIL_TO_PASS","FAIL_TO_FAIL")))</f>
        <v>PASS_TO_PASS</v>
      </c>
    </row>
    <row r="332" customFormat="false" ht="15" hidden="false" customHeight="false" outlineLevel="0" collapsed="false">
      <c r="A332" s="7" t="s">
        <v>82</v>
      </c>
      <c r="B332" s="7" t="s">
        <v>83</v>
      </c>
      <c r="C332" s="7" t="s">
        <v>49</v>
      </c>
      <c r="D332" s="7" t="s">
        <v>97</v>
      </c>
      <c r="E332" s="7" t="s">
        <v>51</v>
      </c>
      <c r="F332" s="7" t="s">
        <v>137</v>
      </c>
      <c r="G332" s="8" t="b">
        <f aca="false">TRUE()</f>
        <v>1</v>
      </c>
      <c r="H332" s="8" t="b">
        <f aca="false">TRUE()</f>
        <v>1</v>
      </c>
      <c r="I332" s="7" t="str">
        <f aca="false">IF(AND(G332,H332),"PASS_TO_PASS",IF(G332,"PASS_TO_FAIL",IF(H332,"FAIL_TO_PASS","FAIL_TO_FAIL")))</f>
        <v>PASS_TO_PASS</v>
      </c>
    </row>
    <row r="333" customFormat="false" ht="15" hidden="false" customHeight="false" outlineLevel="0" collapsed="false">
      <c r="A333" s="7" t="s">
        <v>82</v>
      </c>
      <c r="B333" s="7" t="s">
        <v>83</v>
      </c>
      <c r="C333" s="7" t="s">
        <v>49</v>
      </c>
      <c r="D333" s="7" t="s">
        <v>97</v>
      </c>
      <c r="E333" s="7" t="s">
        <v>51</v>
      </c>
      <c r="F333" s="7" t="s">
        <v>138</v>
      </c>
      <c r="G333" s="8" t="b">
        <f aca="false">TRUE()</f>
        <v>1</v>
      </c>
      <c r="H333" s="8" t="b">
        <f aca="false">FALSE()</f>
        <v>0</v>
      </c>
      <c r="I333" s="7" t="str">
        <f aca="false">IF(AND(G333,H333),"PASS_TO_PASS",IF(G333,"PASS_TO_FAIL",IF(H333,"FAIL_TO_PASS","FAIL_TO_FAIL")))</f>
        <v>PASS_TO_FAIL</v>
      </c>
    </row>
    <row r="334" customFormat="false" ht="15" hidden="false" customHeight="false" outlineLevel="0" collapsed="false">
      <c r="A334" s="7" t="s">
        <v>82</v>
      </c>
      <c r="B334" s="7" t="s">
        <v>83</v>
      </c>
      <c r="C334" s="7" t="s">
        <v>49</v>
      </c>
      <c r="D334" s="7" t="s">
        <v>97</v>
      </c>
      <c r="E334" s="7" t="s">
        <v>51</v>
      </c>
      <c r="F334" s="7" t="s">
        <v>139</v>
      </c>
      <c r="G334" s="8" t="b">
        <f aca="false">TRUE()</f>
        <v>1</v>
      </c>
      <c r="H334" s="8" t="b">
        <f aca="false">TRUE()</f>
        <v>1</v>
      </c>
      <c r="I334" s="7" t="str">
        <f aca="false">IF(AND(G334,H334),"PASS_TO_PASS",IF(G334,"PASS_TO_FAIL",IF(H334,"FAIL_TO_PASS","FAIL_TO_FAIL")))</f>
        <v>PASS_TO_PASS</v>
      </c>
    </row>
    <row r="335" customFormat="false" ht="15" hidden="false" customHeight="false" outlineLevel="0" collapsed="false">
      <c r="A335" s="7" t="s">
        <v>82</v>
      </c>
      <c r="B335" s="7" t="s">
        <v>83</v>
      </c>
      <c r="C335" s="7" t="s">
        <v>49</v>
      </c>
      <c r="D335" s="7" t="s">
        <v>97</v>
      </c>
      <c r="E335" s="7" t="s">
        <v>51</v>
      </c>
      <c r="F335" s="7" t="s">
        <v>140</v>
      </c>
      <c r="G335" s="8" t="b">
        <f aca="false">TRUE()</f>
        <v>1</v>
      </c>
      <c r="H335" s="8" t="b">
        <f aca="false">FALSE()</f>
        <v>0</v>
      </c>
      <c r="I335" s="7" t="str">
        <f aca="false">IF(AND(G335,H335),"PASS_TO_PASS",IF(G335,"PASS_TO_FAIL",IF(H335,"FAIL_TO_PASS","FAIL_TO_FAIL")))</f>
        <v>PASS_TO_FAIL</v>
      </c>
    </row>
    <row r="336" customFormat="false" ht="15" hidden="false" customHeight="false" outlineLevel="0" collapsed="false">
      <c r="A336" s="7" t="s">
        <v>82</v>
      </c>
      <c r="B336" s="7" t="s">
        <v>83</v>
      </c>
      <c r="C336" s="7" t="s">
        <v>49</v>
      </c>
      <c r="D336" s="7" t="s">
        <v>97</v>
      </c>
      <c r="E336" s="7" t="s">
        <v>51</v>
      </c>
      <c r="F336" s="7" t="s">
        <v>141</v>
      </c>
      <c r="G336" s="8" t="b">
        <f aca="false">TRUE()</f>
        <v>1</v>
      </c>
      <c r="H336" s="8" t="b">
        <f aca="false">TRUE()</f>
        <v>1</v>
      </c>
      <c r="I336" s="7" t="str">
        <f aca="false">IF(AND(G336,H336),"PASS_TO_PASS",IF(G336,"PASS_TO_FAIL",IF(H336,"FAIL_TO_PASS","FAIL_TO_FAIL")))</f>
        <v>PASS_TO_PASS</v>
      </c>
    </row>
    <row r="337" customFormat="false" ht="15" hidden="false" customHeight="false" outlineLevel="0" collapsed="false">
      <c r="A337" s="7" t="s">
        <v>82</v>
      </c>
      <c r="B337" s="7" t="s">
        <v>83</v>
      </c>
      <c r="C337" s="7" t="s">
        <v>49</v>
      </c>
      <c r="D337" s="7" t="s">
        <v>97</v>
      </c>
      <c r="E337" s="7" t="s">
        <v>51</v>
      </c>
      <c r="F337" s="7" t="s">
        <v>142</v>
      </c>
      <c r="G337" s="8" t="b">
        <f aca="false">TRUE()</f>
        <v>1</v>
      </c>
      <c r="H337" s="8" t="b">
        <f aca="false">TRUE()</f>
        <v>1</v>
      </c>
      <c r="I337" s="7" t="str">
        <f aca="false">IF(AND(G337,H337),"PASS_TO_PASS",IF(G337,"PASS_TO_FAIL",IF(H337,"FAIL_TO_PASS","FAIL_TO_FAIL")))</f>
        <v>PASS_TO_PASS</v>
      </c>
    </row>
    <row r="338" customFormat="false" ht="15" hidden="false" customHeight="false" outlineLevel="0" collapsed="false">
      <c r="A338" s="7" t="s">
        <v>82</v>
      </c>
      <c r="B338" s="7" t="s">
        <v>83</v>
      </c>
      <c r="C338" s="7" t="s">
        <v>49</v>
      </c>
      <c r="D338" s="7" t="s">
        <v>97</v>
      </c>
      <c r="E338" s="7" t="s">
        <v>51</v>
      </c>
      <c r="F338" s="7" t="s">
        <v>143</v>
      </c>
      <c r="G338" s="8" t="b">
        <f aca="false">FALSE()</f>
        <v>0</v>
      </c>
      <c r="H338" s="8" t="b">
        <f aca="false">FALSE()</f>
        <v>0</v>
      </c>
      <c r="I338" s="7" t="str">
        <f aca="false">IF(AND(G338,H338),"PASS_TO_PASS",IF(G338,"PASS_TO_FAIL",IF(H338,"FAIL_TO_PASS","FAIL_TO_FAIL")))</f>
        <v>FAIL_TO_FAIL</v>
      </c>
    </row>
    <row r="339" customFormat="false" ht="15" hidden="false" customHeight="false" outlineLevel="0" collapsed="false">
      <c r="A339" s="7" t="s">
        <v>82</v>
      </c>
      <c r="B339" s="7" t="s">
        <v>83</v>
      </c>
      <c r="C339" s="7" t="s">
        <v>49</v>
      </c>
      <c r="D339" s="7" t="s">
        <v>97</v>
      </c>
      <c r="E339" s="7" t="s">
        <v>51</v>
      </c>
      <c r="F339" s="7" t="s">
        <v>144</v>
      </c>
      <c r="G339" s="8" t="b">
        <f aca="false">TRUE()</f>
        <v>1</v>
      </c>
      <c r="H339" s="8" t="b">
        <f aca="false">TRUE()</f>
        <v>1</v>
      </c>
      <c r="I339" s="7" t="str">
        <f aca="false">IF(AND(G339,H339),"PASS_TO_PASS",IF(G339,"PASS_TO_FAIL",IF(H339,"FAIL_TO_PASS","FAIL_TO_FAIL")))</f>
        <v>PASS_TO_PASS</v>
      </c>
    </row>
    <row r="340" customFormat="false" ht="15" hidden="false" customHeight="false" outlineLevel="0" collapsed="false">
      <c r="A340" s="7" t="s">
        <v>82</v>
      </c>
      <c r="B340" s="7" t="s">
        <v>83</v>
      </c>
      <c r="C340" s="7" t="s">
        <v>49</v>
      </c>
      <c r="D340" s="7" t="s">
        <v>97</v>
      </c>
      <c r="E340" s="7" t="s">
        <v>51</v>
      </c>
      <c r="F340" s="7" t="s">
        <v>145</v>
      </c>
      <c r="G340" s="8" t="b">
        <f aca="false">TRUE()</f>
        <v>1</v>
      </c>
      <c r="H340" s="8" t="b">
        <f aca="false">TRUE()</f>
        <v>1</v>
      </c>
      <c r="I340" s="7" t="str">
        <f aca="false">IF(AND(G340,H340),"PASS_TO_PASS",IF(G340,"PASS_TO_FAIL",IF(H340,"FAIL_TO_PASS","FAIL_TO_FAIL")))</f>
        <v>PASS_TO_PASS</v>
      </c>
    </row>
    <row r="341" customFormat="false" ht="15" hidden="false" customHeight="false" outlineLevel="0" collapsed="false">
      <c r="A341" s="7" t="s">
        <v>48</v>
      </c>
      <c r="B341" s="7" t="s">
        <v>10</v>
      </c>
      <c r="C341" s="7" t="s">
        <v>49</v>
      </c>
      <c r="D341" s="7" t="s">
        <v>98</v>
      </c>
      <c r="E341" s="7" t="s">
        <v>51</v>
      </c>
      <c r="F341" s="7" t="s">
        <v>134</v>
      </c>
      <c r="G341" s="8" t="b">
        <f aca="false">TRUE()</f>
        <v>1</v>
      </c>
      <c r="H341" s="8" t="b">
        <f aca="false">TRUE()</f>
        <v>1</v>
      </c>
      <c r="I341" s="7" t="str">
        <f aca="false">IF(AND(G341,H341),"PASS_TO_PASS",IF(G341,"PASS_TO_FAIL",IF(H341,"FAIL_TO_PASS","FAIL_TO_FAIL")))</f>
        <v>PASS_TO_PASS</v>
      </c>
    </row>
    <row r="342" customFormat="false" ht="15" hidden="false" customHeight="false" outlineLevel="0" collapsed="false">
      <c r="A342" s="7" t="s">
        <v>48</v>
      </c>
      <c r="B342" s="7" t="s">
        <v>10</v>
      </c>
      <c r="C342" s="7" t="s">
        <v>49</v>
      </c>
      <c r="D342" s="7" t="s">
        <v>98</v>
      </c>
      <c r="E342" s="7" t="s">
        <v>51</v>
      </c>
      <c r="F342" s="7" t="s">
        <v>135</v>
      </c>
      <c r="G342" s="8" t="b">
        <f aca="false">TRUE()</f>
        <v>1</v>
      </c>
      <c r="H342" s="8" t="b">
        <f aca="false">TRUE()</f>
        <v>1</v>
      </c>
      <c r="I342" s="7" t="str">
        <f aca="false">IF(AND(G342,H342),"PASS_TO_PASS",IF(G342,"PASS_TO_FAIL",IF(H342,"FAIL_TO_PASS","FAIL_TO_FAIL")))</f>
        <v>PASS_TO_PASS</v>
      </c>
    </row>
    <row r="343" customFormat="false" ht="15" hidden="false" customHeight="false" outlineLevel="0" collapsed="false">
      <c r="A343" s="7" t="s">
        <v>48</v>
      </c>
      <c r="B343" s="7" t="s">
        <v>10</v>
      </c>
      <c r="C343" s="7" t="s">
        <v>49</v>
      </c>
      <c r="D343" s="7" t="s">
        <v>98</v>
      </c>
      <c r="E343" s="7" t="s">
        <v>51</v>
      </c>
      <c r="F343" s="7" t="s">
        <v>136</v>
      </c>
      <c r="G343" s="8" t="b">
        <f aca="false">TRUE()</f>
        <v>1</v>
      </c>
      <c r="H343" s="8" t="b">
        <f aca="false">TRUE()</f>
        <v>1</v>
      </c>
      <c r="I343" s="7" t="str">
        <f aca="false">IF(AND(G343,H343),"PASS_TO_PASS",IF(G343,"PASS_TO_FAIL",IF(H343,"FAIL_TO_PASS","FAIL_TO_FAIL")))</f>
        <v>PASS_TO_PASS</v>
      </c>
    </row>
    <row r="344" customFormat="false" ht="15" hidden="false" customHeight="false" outlineLevel="0" collapsed="false">
      <c r="A344" s="7" t="s">
        <v>48</v>
      </c>
      <c r="B344" s="7" t="s">
        <v>10</v>
      </c>
      <c r="C344" s="7" t="s">
        <v>49</v>
      </c>
      <c r="D344" s="7" t="s">
        <v>98</v>
      </c>
      <c r="E344" s="7" t="s">
        <v>51</v>
      </c>
      <c r="F344" s="7" t="s">
        <v>137</v>
      </c>
      <c r="G344" s="8" t="b">
        <f aca="false">TRUE()</f>
        <v>1</v>
      </c>
      <c r="H344" s="8" t="b">
        <f aca="false">TRUE()</f>
        <v>1</v>
      </c>
      <c r="I344" s="7" t="str">
        <f aca="false">IF(AND(G344,H344),"PASS_TO_PASS",IF(G344,"PASS_TO_FAIL",IF(H344,"FAIL_TO_PASS","FAIL_TO_FAIL")))</f>
        <v>PASS_TO_PASS</v>
      </c>
    </row>
    <row r="345" customFormat="false" ht="15" hidden="false" customHeight="false" outlineLevel="0" collapsed="false">
      <c r="A345" s="7" t="s">
        <v>48</v>
      </c>
      <c r="B345" s="7" t="s">
        <v>10</v>
      </c>
      <c r="C345" s="7" t="s">
        <v>49</v>
      </c>
      <c r="D345" s="7" t="s">
        <v>98</v>
      </c>
      <c r="E345" s="7" t="s">
        <v>51</v>
      </c>
      <c r="F345" s="7" t="s">
        <v>138</v>
      </c>
      <c r="G345" s="8" t="b">
        <f aca="false">TRUE()</f>
        <v>1</v>
      </c>
      <c r="H345" s="8" t="b">
        <f aca="false">TRUE()</f>
        <v>1</v>
      </c>
      <c r="I345" s="7" t="str">
        <f aca="false">IF(AND(G345,H345),"PASS_TO_PASS",IF(G345,"PASS_TO_FAIL",IF(H345,"FAIL_TO_PASS","FAIL_TO_FAIL")))</f>
        <v>PASS_TO_PASS</v>
      </c>
    </row>
    <row r="346" customFormat="false" ht="15" hidden="false" customHeight="false" outlineLevel="0" collapsed="false">
      <c r="A346" s="7" t="s">
        <v>48</v>
      </c>
      <c r="B346" s="7" t="s">
        <v>10</v>
      </c>
      <c r="C346" s="7" t="s">
        <v>49</v>
      </c>
      <c r="D346" s="7" t="s">
        <v>98</v>
      </c>
      <c r="E346" s="7" t="s">
        <v>51</v>
      </c>
      <c r="F346" s="7" t="s">
        <v>139</v>
      </c>
      <c r="G346" s="8" t="b">
        <f aca="false">FALSE()</f>
        <v>0</v>
      </c>
      <c r="H346" s="8" t="b">
        <f aca="false">TRUE()</f>
        <v>1</v>
      </c>
      <c r="I346" s="7" t="str">
        <f aca="false">IF(AND(G346,H346),"PASS_TO_PASS",IF(G346,"PASS_TO_FAIL",IF(H346,"FAIL_TO_PASS","FAIL_TO_FAIL")))</f>
        <v>FAIL_TO_PASS</v>
      </c>
    </row>
    <row r="347" customFormat="false" ht="15" hidden="false" customHeight="false" outlineLevel="0" collapsed="false">
      <c r="A347" s="7" t="s">
        <v>48</v>
      </c>
      <c r="B347" s="7" t="s">
        <v>10</v>
      </c>
      <c r="C347" s="7" t="s">
        <v>49</v>
      </c>
      <c r="D347" s="7" t="s">
        <v>98</v>
      </c>
      <c r="E347" s="7" t="s">
        <v>51</v>
      </c>
      <c r="F347" s="7" t="s">
        <v>140</v>
      </c>
      <c r="G347" s="8" t="b">
        <f aca="false">FALSE()</f>
        <v>0</v>
      </c>
      <c r="H347" s="8" t="b">
        <f aca="false">FALSE()</f>
        <v>0</v>
      </c>
      <c r="I347" s="7" t="str">
        <f aca="false">IF(AND(G347,H347),"PASS_TO_PASS",IF(G347,"PASS_TO_FAIL",IF(H347,"FAIL_TO_PASS","FAIL_TO_FAIL")))</f>
        <v>FAIL_TO_FAIL</v>
      </c>
    </row>
    <row r="348" customFormat="false" ht="15" hidden="false" customHeight="false" outlineLevel="0" collapsed="false">
      <c r="A348" s="7" t="s">
        <v>48</v>
      </c>
      <c r="B348" s="7" t="s">
        <v>10</v>
      </c>
      <c r="C348" s="7" t="s">
        <v>49</v>
      </c>
      <c r="D348" s="7" t="s">
        <v>98</v>
      </c>
      <c r="E348" s="7" t="s">
        <v>51</v>
      </c>
      <c r="F348" s="7" t="s">
        <v>141</v>
      </c>
      <c r="G348" s="8" t="b">
        <f aca="false">FALSE()</f>
        <v>0</v>
      </c>
      <c r="H348" s="8" t="b">
        <f aca="false">FALSE()</f>
        <v>0</v>
      </c>
      <c r="I348" s="7" t="str">
        <f aca="false">IF(AND(G348,H348),"PASS_TO_PASS",IF(G348,"PASS_TO_FAIL",IF(H348,"FAIL_TO_PASS","FAIL_TO_FAIL")))</f>
        <v>FAIL_TO_FAIL</v>
      </c>
    </row>
    <row r="349" customFormat="false" ht="15" hidden="false" customHeight="false" outlineLevel="0" collapsed="false">
      <c r="A349" s="7" t="s">
        <v>48</v>
      </c>
      <c r="B349" s="7" t="s">
        <v>10</v>
      </c>
      <c r="C349" s="7" t="s">
        <v>49</v>
      </c>
      <c r="D349" s="7" t="s">
        <v>98</v>
      </c>
      <c r="E349" s="7" t="s">
        <v>51</v>
      </c>
      <c r="F349" s="7" t="s">
        <v>142</v>
      </c>
      <c r="G349" s="8" t="b">
        <f aca="false">TRUE()</f>
        <v>1</v>
      </c>
      <c r="H349" s="8" t="b">
        <f aca="false">FALSE()</f>
        <v>0</v>
      </c>
      <c r="I349" s="7" t="str">
        <f aca="false">IF(AND(G349,H349),"PASS_TO_PASS",IF(G349,"PASS_TO_FAIL",IF(H349,"FAIL_TO_PASS","FAIL_TO_FAIL")))</f>
        <v>PASS_TO_FAIL</v>
      </c>
    </row>
    <row r="350" customFormat="false" ht="15" hidden="false" customHeight="false" outlineLevel="0" collapsed="false">
      <c r="A350" s="7" t="s">
        <v>48</v>
      </c>
      <c r="B350" s="7" t="s">
        <v>10</v>
      </c>
      <c r="C350" s="7" t="s">
        <v>49</v>
      </c>
      <c r="D350" s="7" t="s">
        <v>98</v>
      </c>
      <c r="E350" s="7" t="s">
        <v>51</v>
      </c>
      <c r="F350" s="7" t="s">
        <v>143</v>
      </c>
      <c r="G350" s="8" t="b">
        <f aca="false">FALSE()</f>
        <v>0</v>
      </c>
      <c r="H350" s="8" t="b">
        <f aca="false">FALSE()</f>
        <v>0</v>
      </c>
      <c r="I350" s="7" t="str">
        <f aca="false">IF(AND(G350,H350),"PASS_TO_PASS",IF(G350,"PASS_TO_FAIL",IF(H350,"FAIL_TO_PASS","FAIL_TO_FAIL")))</f>
        <v>FAIL_TO_FAIL</v>
      </c>
    </row>
    <row r="351" customFormat="false" ht="15" hidden="false" customHeight="false" outlineLevel="0" collapsed="false">
      <c r="A351" s="7" t="s">
        <v>48</v>
      </c>
      <c r="B351" s="7" t="s">
        <v>10</v>
      </c>
      <c r="C351" s="7" t="s">
        <v>49</v>
      </c>
      <c r="D351" s="7" t="s">
        <v>98</v>
      </c>
      <c r="E351" s="7" t="s">
        <v>51</v>
      </c>
      <c r="F351" s="7" t="s">
        <v>144</v>
      </c>
      <c r="G351" s="8" t="b">
        <f aca="false">TRUE()</f>
        <v>1</v>
      </c>
      <c r="H351" s="8" t="b">
        <f aca="false">TRUE()</f>
        <v>1</v>
      </c>
      <c r="I351" s="7" t="str">
        <f aca="false">IF(AND(G351,H351),"PASS_TO_PASS",IF(G351,"PASS_TO_FAIL",IF(H351,"FAIL_TO_PASS","FAIL_TO_FAIL")))</f>
        <v>PASS_TO_PASS</v>
      </c>
    </row>
    <row r="352" customFormat="false" ht="15" hidden="false" customHeight="false" outlineLevel="0" collapsed="false">
      <c r="A352" s="7" t="s">
        <v>48</v>
      </c>
      <c r="B352" s="7" t="s">
        <v>10</v>
      </c>
      <c r="C352" s="7" t="s">
        <v>49</v>
      </c>
      <c r="D352" s="7" t="s">
        <v>98</v>
      </c>
      <c r="E352" s="7" t="s">
        <v>51</v>
      </c>
      <c r="F352" s="7" t="s">
        <v>145</v>
      </c>
      <c r="G352" s="8" t="b">
        <f aca="false">TRUE()</f>
        <v>1</v>
      </c>
      <c r="H352" s="8" t="b">
        <f aca="false">TRUE()</f>
        <v>1</v>
      </c>
      <c r="I352" s="7" t="str">
        <f aca="false">IF(AND(G352,H352),"PASS_TO_PASS",IF(G352,"PASS_TO_FAIL",IF(H352,"FAIL_TO_PASS","FAIL_TO_FAIL")))</f>
        <v>PASS_TO_PASS</v>
      </c>
    </row>
    <row r="353" customFormat="false" ht="15" hidden="false" customHeight="false" outlineLevel="0" collapsed="false">
      <c r="A353" s="7" t="s">
        <v>82</v>
      </c>
      <c r="B353" s="7" t="s">
        <v>83</v>
      </c>
      <c r="C353" s="7" t="s">
        <v>49</v>
      </c>
      <c r="D353" s="7" t="s">
        <v>98</v>
      </c>
      <c r="E353" s="7" t="s">
        <v>51</v>
      </c>
      <c r="F353" s="7" t="s">
        <v>134</v>
      </c>
      <c r="G353" s="8" t="b">
        <f aca="false">TRUE()</f>
        <v>1</v>
      </c>
      <c r="H353" s="8" t="b">
        <f aca="false">TRUE()</f>
        <v>1</v>
      </c>
      <c r="I353" s="7" t="str">
        <f aca="false">IF(AND(G353,H353),"PASS_TO_PASS",IF(G353,"PASS_TO_FAIL",IF(H353,"FAIL_TO_PASS","FAIL_TO_FAIL")))</f>
        <v>PASS_TO_PASS</v>
      </c>
    </row>
    <row r="354" customFormat="false" ht="15" hidden="false" customHeight="false" outlineLevel="0" collapsed="false">
      <c r="A354" s="7" t="s">
        <v>82</v>
      </c>
      <c r="B354" s="7" t="s">
        <v>83</v>
      </c>
      <c r="C354" s="7" t="s">
        <v>49</v>
      </c>
      <c r="D354" s="7" t="s">
        <v>98</v>
      </c>
      <c r="E354" s="7" t="s">
        <v>51</v>
      </c>
      <c r="F354" s="7" t="s">
        <v>135</v>
      </c>
      <c r="G354" s="8" t="b">
        <f aca="false">TRUE()</f>
        <v>1</v>
      </c>
      <c r="H354" s="8" t="b">
        <f aca="false">TRUE()</f>
        <v>1</v>
      </c>
      <c r="I354" s="7" t="str">
        <f aca="false">IF(AND(G354,H354),"PASS_TO_PASS",IF(G354,"PASS_TO_FAIL",IF(H354,"FAIL_TO_PASS","FAIL_TO_FAIL")))</f>
        <v>PASS_TO_PASS</v>
      </c>
    </row>
    <row r="355" customFormat="false" ht="15" hidden="false" customHeight="false" outlineLevel="0" collapsed="false">
      <c r="A355" s="7" t="s">
        <v>82</v>
      </c>
      <c r="B355" s="7" t="s">
        <v>83</v>
      </c>
      <c r="C355" s="7" t="s">
        <v>49</v>
      </c>
      <c r="D355" s="7" t="s">
        <v>98</v>
      </c>
      <c r="E355" s="7" t="s">
        <v>51</v>
      </c>
      <c r="F355" s="7" t="s">
        <v>136</v>
      </c>
      <c r="G355" s="8" t="b">
        <f aca="false">TRUE()</f>
        <v>1</v>
      </c>
      <c r="H355" s="8" t="b">
        <f aca="false">TRUE()</f>
        <v>1</v>
      </c>
      <c r="I355" s="7" t="str">
        <f aca="false">IF(AND(G355,H355),"PASS_TO_PASS",IF(G355,"PASS_TO_FAIL",IF(H355,"FAIL_TO_PASS","FAIL_TO_FAIL")))</f>
        <v>PASS_TO_PASS</v>
      </c>
    </row>
    <row r="356" customFormat="false" ht="15" hidden="false" customHeight="false" outlineLevel="0" collapsed="false">
      <c r="A356" s="7" t="s">
        <v>82</v>
      </c>
      <c r="B356" s="7" t="s">
        <v>83</v>
      </c>
      <c r="C356" s="7" t="s">
        <v>49</v>
      </c>
      <c r="D356" s="7" t="s">
        <v>98</v>
      </c>
      <c r="E356" s="7" t="s">
        <v>51</v>
      </c>
      <c r="F356" s="7" t="s">
        <v>137</v>
      </c>
      <c r="G356" s="8" t="b">
        <f aca="false">TRUE()</f>
        <v>1</v>
      </c>
      <c r="H356" s="8" t="b">
        <f aca="false">TRUE()</f>
        <v>1</v>
      </c>
      <c r="I356" s="7" t="str">
        <f aca="false">IF(AND(G356,H356),"PASS_TO_PASS",IF(G356,"PASS_TO_FAIL",IF(H356,"FAIL_TO_PASS","FAIL_TO_FAIL")))</f>
        <v>PASS_TO_PASS</v>
      </c>
    </row>
    <row r="357" customFormat="false" ht="15" hidden="false" customHeight="false" outlineLevel="0" collapsed="false">
      <c r="A357" s="7" t="s">
        <v>82</v>
      </c>
      <c r="B357" s="7" t="s">
        <v>83</v>
      </c>
      <c r="C357" s="7" t="s">
        <v>49</v>
      </c>
      <c r="D357" s="7" t="s">
        <v>98</v>
      </c>
      <c r="E357" s="7" t="s">
        <v>51</v>
      </c>
      <c r="F357" s="7" t="s">
        <v>138</v>
      </c>
      <c r="G357" s="8" t="b">
        <f aca="false">TRUE()</f>
        <v>1</v>
      </c>
      <c r="H357" s="8" t="b">
        <f aca="false">TRUE()</f>
        <v>1</v>
      </c>
      <c r="I357" s="7" t="str">
        <f aca="false">IF(AND(G357,H357),"PASS_TO_PASS",IF(G357,"PASS_TO_FAIL",IF(H357,"FAIL_TO_PASS","FAIL_TO_FAIL")))</f>
        <v>PASS_TO_PASS</v>
      </c>
    </row>
    <row r="358" customFormat="false" ht="15" hidden="false" customHeight="false" outlineLevel="0" collapsed="false">
      <c r="A358" s="7" t="s">
        <v>82</v>
      </c>
      <c r="B358" s="7" t="s">
        <v>83</v>
      </c>
      <c r="C358" s="7" t="s">
        <v>49</v>
      </c>
      <c r="D358" s="7" t="s">
        <v>98</v>
      </c>
      <c r="E358" s="7" t="s">
        <v>51</v>
      </c>
      <c r="F358" s="7" t="s">
        <v>139</v>
      </c>
      <c r="G358" s="8" t="b">
        <f aca="false">FALSE()</f>
        <v>0</v>
      </c>
      <c r="H358" s="8" t="b">
        <f aca="false">TRUE()</f>
        <v>1</v>
      </c>
      <c r="I358" s="7" t="str">
        <f aca="false">IF(AND(G358,H358),"PASS_TO_PASS",IF(G358,"PASS_TO_FAIL",IF(H358,"FAIL_TO_PASS","FAIL_TO_FAIL")))</f>
        <v>FAIL_TO_PASS</v>
      </c>
    </row>
    <row r="359" customFormat="false" ht="15" hidden="false" customHeight="false" outlineLevel="0" collapsed="false">
      <c r="A359" s="7" t="s">
        <v>82</v>
      </c>
      <c r="B359" s="7" t="s">
        <v>83</v>
      </c>
      <c r="C359" s="7" t="s">
        <v>49</v>
      </c>
      <c r="D359" s="7" t="s">
        <v>98</v>
      </c>
      <c r="E359" s="7" t="s">
        <v>51</v>
      </c>
      <c r="F359" s="7" t="s">
        <v>140</v>
      </c>
      <c r="G359" s="8" t="b">
        <f aca="false">FALSE()</f>
        <v>0</v>
      </c>
      <c r="H359" s="8" t="b">
        <f aca="false">FALSE()</f>
        <v>0</v>
      </c>
      <c r="I359" s="7" t="str">
        <f aca="false">IF(AND(G359,H359),"PASS_TO_PASS",IF(G359,"PASS_TO_FAIL",IF(H359,"FAIL_TO_PASS","FAIL_TO_FAIL")))</f>
        <v>FAIL_TO_FAIL</v>
      </c>
    </row>
    <row r="360" customFormat="false" ht="15" hidden="false" customHeight="false" outlineLevel="0" collapsed="false">
      <c r="A360" s="7" t="s">
        <v>82</v>
      </c>
      <c r="B360" s="7" t="s">
        <v>83</v>
      </c>
      <c r="C360" s="7" t="s">
        <v>49</v>
      </c>
      <c r="D360" s="7" t="s">
        <v>98</v>
      </c>
      <c r="E360" s="7" t="s">
        <v>51</v>
      </c>
      <c r="F360" s="7" t="s">
        <v>141</v>
      </c>
      <c r="G360" s="8" t="b">
        <f aca="false">FALSE()</f>
        <v>0</v>
      </c>
      <c r="H360" s="8" t="b">
        <f aca="false">FALSE()</f>
        <v>0</v>
      </c>
      <c r="I360" s="7" t="str">
        <f aca="false">IF(AND(G360,H360),"PASS_TO_PASS",IF(G360,"PASS_TO_FAIL",IF(H360,"FAIL_TO_PASS","FAIL_TO_FAIL")))</f>
        <v>FAIL_TO_FAIL</v>
      </c>
    </row>
    <row r="361" customFormat="false" ht="15" hidden="false" customHeight="false" outlineLevel="0" collapsed="false">
      <c r="A361" s="7" t="s">
        <v>82</v>
      </c>
      <c r="B361" s="7" t="s">
        <v>83</v>
      </c>
      <c r="C361" s="7" t="s">
        <v>49</v>
      </c>
      <c r="D361" s="7" t="s">
        <v>98</v>
      </c>
      <c r="E361" s="7" t="s">
        <v>51</v>
      </c>
      <c r="F361" s="7" t="s">
        <v>142</v>
      </c>
      <c r="G361" s="8" t="b">
        <f aca="false">FALSE()</f>
        <v>0</v>
      </c>
      <c r="H361" s="8" t="b">
        <f aca="false">FALSE()</f>
        <v>0</v>
      </c>
      <c r="I361" s="7" t="str">
        <f aca="false">IF(AND(G361,H361),"PASS_TO_PASS",IF(G361,"PASS_TO_FAIL",IF(H361,"FAIL_TO_PASS","FAIL_TO_FAIL")))</f>
        <v>FAIL_TO_FAIL</v>
      </c>
    </row>
    <row r="362" customFormat="false" ht="15" hidden="false" customHeight="false" outlineLevel="0" collapsed="false">
      <c r="A362" s="7" t="s">
        <v>82</v>
      </c>
      <c r="B362" s="7" t="s">
        <v>83</v>
      </c>
      <c r="C362" s="7" t="s">
        <v>49</v>
      </c>
      <c r="D362" s="7" t="s">
        <v>98</v>
      </c>
      <c r="E362" s="7" t="s">
        <v>51</v>
      </c>
      <c r="F362" s="7" t="s">
        <v>143</v>
      </c>
      <c r="G362" s="8" t="b">
        <f aca="false">FALSE()</f>
        <v>0</v>
      </c>
      <c r="H362" s="8" t="b">
        <f aca="false">FALSE()</f>
        <v>0</v>
      </c>
      <c r="I362" s="7" t="str">
        <f aca="false">IF(AND(G362,H362),"PASS_TO_PASS",IF(G362,"PASS_TO_FAIL",IF(H362,"FAIL_TO_PASS","FAIL_TO_FAIL")))</f>
        <v>FAIL_TO_FAIL</v>
      </c>
    </row>
    <row r="363" customFormat="false" ht="15" hidden="false" customHeight="false" outlineLevel="0" collapsed="false">
      <c r="A363" s="7" t="s">
        <v>82</v>
      </c>
      <c r="B363" s="7" t="s">
        <v>83</v>
      </c>
      <c r="C363" s="7" t="s">
        <v>49</v>
      </c>
      <c r="D363" s="7" t="s">
        <v>98</v>
      </c>
      <c r="E363" s="7" t="s">
        <v>51</v>
      </c>
      <c r="F363" s="7" t="s">
        <v>144</v>
      </c>
      <c r="G363" s="8" t="b">
        <f aca="false">TRUE()</f>
        <v>1</v>
      </c>
      <c r="H363" s="8" t="b">
        <f aca="false">TRUE()</f>
        <v>1</v>
      </c>
      <c r="I363" s="7" t="str">
        <f aca="false">IF(AND(G363,H363),"PASS_TO_PASS",IF(G363,"PASS_TO_FAIL",IF(H363,"FAIL_TO_PASS","FAIL_TO_FAIL")))</f>
        <v>PASS_TO_PASS</v>
      </c>
    </row>
    <row r="364" customFormat="false" ht="15" hidden="false" customHeight="false" outlineLevel="0" collapsed="false">
      <c r="A364" s="7" t="s">
        <v>82</v>
      </c>
      <c r="B364" s="7" t="s">
        <v>83</v>
      </c>
      <c r="C364" s="7" t="s">
        <v>49</v>
      </c>
      <c r="D364" s="7" t="s">
        <v>98</v>
      </c>
      <c r="E364" s="7" t="s">
        <v>51</v>
      </c>
      <c r="F364" s="7" t="s">
        <v>145</v>
      </c>
      <c r="G364" s="8" t="b">
        <f aca="false">TRUE()</f>
        <v>1</v>
      </c>
      <c r="H364" s="8" t="b">
        <f aca="false">TRUE()</f>
        <v>1</v>
      </c>
      <c r="I364" s="7" t="str">
        <f aca="false">IF(AND(G364,H364),"PASS_TO_PASS",IF(G364,"PASS_TO_FAIL",IF(H364,"FAIL_TO_PASS","FAIL_TO_FAIL")))</f>
        <v>PASS_TO_PASS</v>
      </c>
    </row>
    <row r="365" customFormat="false" ht="15" hidden="false" customHeight="false" outlineLevel="0" collapsed="false">
      <c r="A365" s="7" t="s">
        <v>48</v>
      </c>
      <c r="B365" s="7" t="s">
        <v>10</v>
      </c>
      <c r="C365" s="7" t="s">
        <v>49</v>
      </c>
      <c r="D365" s="7" t="s">
        <v>99</v>
      </c>
      <c r="E365" s="7" t="s">
        <v>51</v>
      </c>
      <c r="F365" s="7" t="s">
        <v>134</v>
      </c>
      <c r="G365" s="8" t="b">
        <f aca="false">TRUE()</f>
        <v>1</v>
      </c>
      <c r="H365" s="8" t="b">
        <f aca="false">TRUE()</f>
        <v>1</v>
      </c>
      <c r="I365" s="7" t="str">
        <f aca="false">IF(AND(G365,H365),"PASS_TO_PASS",IF(G365,"PASS_TO_FAIL",IF(H365,"FAIL_TO_PASS","FAIL_TO_FAIL")))</f>
        <v>PASS_TO_PASS</v>
      </c>
    </row>
    <row r="366" customFormat="false" ht="15" hidden="false" customHeight="false" outlineLevel="0" collapsed="false">
      <c r="A366" s="7" t="s">
        <v>48</v>
      </c>
      <c r="B366" s="7" t="s">
        <v>10</v>
      </c>
      <c r="C366" s="7" t="s">
        <v>49</v>
      </c>
      <c r="D366" s="7" t="s">
        <v>99</v>
      </c>
      <c r="E366" s="7" t="s">
        <v>51</v>
      </c>
      <c r="F366" s="7" t="s">
        <v>135</v>
      </c>
      <c r="G366" s="8" t="b">
        <f aca="false">TRUE()</f>
        <v>1</v>
      </c>
      <c r="H366" s="8" t="b">
        <f aca="false">TRUE()</f>
        <v>1</v>
      </c>
      <c r="I366" s="7" t="str">
        <f aca="false">IF(AND(G366,H366),"PASS_TO_PASS",IF(G366,"PASS_TO_FAIL",IF(H366,"FAIL_TO_PASS","FAIL_TO_FAIL")))</f>
        <v>PASS_TO_PASS</v>
      </c>
    </row>
    <row r="367" customFormat="false" ht="15" hidden="false" customHeight="false" outlineLevel="0" collapsed="false">
      <c r="A367" s="7" t="s">
        <v>48</v>
      </c>
      <c r="B367" s="7" t="s">
        <v>10</v>
      </c>
      <c r="C367" s="7" t="s">
        <v>49</v>
      </c>
      <c r="D367" s="7" t="s">
        <v>99</v>
      </c>
      <c r="E367" s="7" t="s">
        <v>51</v>
      </c>
      <c r="F367" s="7" t="s">
        <v>136</v>
      </c>
      <c r="G367" s="8" t="b">
        <f aca="false">TRUE()</f>
        <v>1</v>
      </c>
      <c r="H367" s="8" t="b">
        <f aca="false">TRUE()</f>
        <v>1</v>
      </c>
      <c r="I367" s="7" t="str">
        <f aca="false">IF(AND(G367,H367),"PASS_TO_PASS",IF(G367,"PASS_TO_FAIL",IF(H367,"FAIL_TO_PASS","FAIL_TO_FAIL")))</f>
        <v>PASS_TO_PASS</v>
      </c>
    </row>
    <row r="368" customFormat="false" ht="15" hidden="false" customHeight="false" outlineLevel="0" collapsed="false">
      <c r="A368" s="7" t="s">
        <v>48</v>
      </c>
      <c r="B368" s="7" t="s">
        <v>10</v>
      </c>
      <c r="C368" s="7" t="s">
        <v>49</v>
      </c>
      <c r="D368" s="7" t="s">
        <v>99</v>
      </c>
      <c r="E368" s="7" t="s">
        <v>51</v>
      </c>
      <c r="F368" s="7" t="s">
        <v>137</v>
      </c>
      <c r="G368" s="8" t="b">
        <f aca="false">TRUE()</f>
        <v>1</v>
      </c>
      <c r="H368" s="8" t="b">
        <f aca="false">TRUE()</f>
        <v>1</v>
      </c>
      <c r="I368" s="7" t="str">
        <f aca="false">IF(AND(G368,H368),"PASS_TO_PASS",IF(G368,"PASS_TO_FAIL",IF(H368,"FAIL_TO_PASS","FAIL_TO_FAIL")))</f>
        <v>PASS_TO_PASS</v>
      </c>
    </row>
    <row r="369" customFormat="false" ht="15" hidden="false" customHeight="false" outlineLevel="0" collapsed="false">
      <c r="A369" s="7" t="s">
        <v>48</v>
      </c>
      <c r="B369" s="7" t="s">
        <v>10</v>
      </c>
      <c r="C369" s="7" t="s">
        <v>49</v>
      </c>
      <c r="D369" s="7" t="s">
        <v>99</v>
      </c>
      <c r="E369" s="7" t="s">
        <v>51</v>
      </c>
      <c r="F369" s="7" t="s">
        <v>138</v>
      </c>
      <c r="G369" s="8" t="b">
        <f aca="false">FALSE()</f>
        <v>0</v>
      </c>
      <c r="H369" s="8" t="b">
        <f aca="false">TRUE()</f>
        <v>1</v>
      </c>
      <c r="I369" s="7" t="str">
        <f aca="false">IF(AND(G369,H369),"PASS_TO_PASS",IF(G369,"PASS_TO_FAIL",IF(H369,"FAIL_TO_PASS","FAIL_TO_FAIL")))</f>
        <v>FAIL_TO_PASS</v>
      </c>
    </row>
    <row r="370" customFormat="false" ht="15" hidden="false" customHeight="false" outlineLevel="0" collapsed="false">
      <c r="A370" s="7" t="s">
        <v>48</v>
      </c>
      <c r="B370" s="7" t="s">
        <v>10</v>
      </c>
      <c r="C370" s="7" t="s">
        <v>49</v>
      </c>
      <c r="D370" s="7" t="s">
        <v>99</v>
      </c>
      <c r="E370" s="7" t="s">
        <v>51</v>
      </c>
      <c r="F370" s="7" t="s">
        <v>139</v>
      </c>
      <c r="G370" s="8" t="b">
        <f aca="false">TRUE()</f>
        <v>1</v>
      </c>
      <c r="H370" s="8" t="b">
        <f aca="false">TRUE()</f>
        <v>1</v>
      </c>
      <c r="I370" s="7" t="str">
        <f aca="false">IF(AND(G370,H370),"PASS_TO_PASS",IF(G370,"PASS_TO_FAIL",IF(H370,"FAIL_TO_PASS","FAIL_TO_FAIL")))</f>
        <v>PASS_TO_PASS</v>
      </c>
    </row>
    <row r="371" customFormat="false" ht="15" hidden="false" customHeight="false" outlineLevel="0" collapsed="false">
      <c r="A371" s="7" t="s">
        <v>48</v>
      </c>
      <c r="B371" s="7" t="s">
        <v>10</v>
      </c>
      <c r="C371" s="7" t="s">
        <v>49</v>
      </c>
      <c r="D371" s="7" t="s">
        <v>99</v>
      </c>
      <c r="E371" s="7" t="s">
        <v>51</v>
      </c>
      <c r="F371" s="7" t="s">
        <v>140</v>
      </c>
      <c r="G371" s="8" t="b">
        <f aca="false">TRUE()</f>
        <v>1</v>
      </c>
      <c r="H371" s="8" t="b">
        <f aca="false">TRUE()</f>
        <v>1</v>
      </c>
      <c r="I371" s="7" t="str">
        <f aca="false">IF(AND(G371,H371),"PASS_TO_PASS",IF(G371,"PASS_TO_FAIL",IF(H371,"FAIL_TO_PASS","FAIL_TO_FAIL")))</f>
        <v>PASS_TO_PASS</v>
      </c>
    </row>
    <row r="372" customFormat="false" ht="15" hidden="false" customHeight="false" outlineLevel="0" collapsed="false">
      <c r="A372" s="7" t="s">
        <v>48</v>
      </c>
      <c r="B372" s="7" t="s">
        <v>10</v>
      </c>
      <c r="C372" s="7" t="s">
        <v>49</v>
      </c>
      <c r="D372" s="7" t="s">
        <v>99</v>
      </c>
      <c r="E372" s="7" t="s">
        <v>51</v>
      </c>
      <c r="F372" s="7" t="s">
        <v>141</v>
      </c>
      <c r="G372" s="8" t="b">
        <f aca="false">TRUE()</f>
        <v>1</v>
      </c>
      <c r="H372" s="8" t="b">
        <f aca="false">TRUE()</f>
        <v>1</v>
      </c>
      <c r="I372" s="7" t="str">
        <f aca="false">IF(AND(G372,H372),"PASS_TO_PASS",IF(G372,"PASS_TO_FAIL",IF(H372,"FAIL_TO_PASS","FAIL_TO_FAIL")))</f>
        <v>PASS_TO_PASS</v>
      </c>
    </row>
    <row r="373" customFormat="false" ht="15" hidden="false" customHeight="false" outlineLevel="0" collapsed="false">
      <c r="A373" s="7" t="s">
        <v>48</v>
      </c>
      <c r="B373" s="7" t="s">
        <v>10</v>
      </c>
      <c r="C373" s="7" t="s">
        <v>49</v>
      </c>
      <c r="D373" s="7" t="s">
        <v>99</v>
      </c>
      <c r="E373" s="7" t="s">
        <v>51</v>
      </c>
      <c r="F373" s="7" t="s">
        <v>142</v>
      </c>
      <c r="G373" s="8" t="b">
        <f aca="false">TRUE()</f>
        <v>1</v>
      </c>
      <c r="H373" s="8" t="b">
        <f aca="false">TRUE()</f>
        <v>1</v>
      </c>
      <c r="I373" s="7" t="str">
        <f aca="false">IF(AND(G373,H373),"PASS_TO_PASS",IF(G373,"PASS_TO_FAIL",IF(H373,"FAIL_TO_PASS","FAIL_TO_FAIL")))</f>
        <v>PASS_TO_PASS</v>
      </c>
    </row>
    <row r="374" customFormat="false" ht="15" hidden="false" customHeight="false" outlineLevel="0" collapsed="false">
      <c r="A374" s="7" t="s">
        <v>48</v>
      </c>
      <c r="B374" s="7" t="s">
        <v>10</v>
      </c>
      <c r="C374" s="7" t="s">
        <v>49</v>
      </c>
      <c r="D374" s="7" t="s">
        <v>99</v>
      </c>
      <c r="E374" s="7" t="s">
        <v>51</v>
      </c>
      <c r="F374" s="7" t="s">
        <v>143</v>
      </c>
      <c r="G374" s="8" t="b">
        <f aca="false">TRUE()</f>
        <v>1</v>
      </c>
      <c r="H374" s="8" t="b">
        <f aca="false">TRUE()</f>
        <v>1</v>
      </c>
      <c r="I374" s="7" t="str">
        <f aca="false">IF(AND(G374,H374),"PASS_TO_PASS",IF(G374,"PASS_TO_FAIL",IF(H374,"FAIL_TO_PASS","FAIL_TO_FAIL")))</f>
        <v>PASS_TO_PASS</v>
      </c>
    </row>
    <row r="375" customFormat="false" ht="15" hidden="false" customHeight="false" outlineLevel="0" collapsed="false">
      <c r="A375" s="7" t="s">
        <v>48</v>
      </c>
      <c r="B375" s="7" t="s">
        <v>10</v>
      </c>
      <c r="C375" s="7" t="s">
        <v>49</v>
      </c>
      <c r="D375" s="7" t="s">
        <v>99</v>
      </c>
      <c r="E375" s="7" t="s">
        <v>51</v>
      </c>
      <c r="F375" s="7" t="s">
        <v>144</v>
      </c>
      <c r="G375" s="8" t="b">
        <f aca="false">TRUE()</f>
        <v>1</v>
      </c>
      <c r="H375" s="8" t="b">
        <f aca="false">TRUE()</f>
        <v>1</v>
      </c>
      <c r="I375" s="7" t="str">
        <f aca="false">IF(AND(G375,H375),"PASS_TO_PASS",IF(G375,"PASS_TO_FAIL",IF(H375,"FAIL_TO_PASS","FAIL_TO_FAIL")))</f>
        <v>PASS_TO_PASS</v>
      </c>
    </row>
    <row r="376" customFormat="false" ht="15" hidden="false" customHeight="false" outlineLevel="0" collapsed="false">
      <c r="A376" s="7" t="s">
        <v>48</v>
      </c>
      <c r="B376" s="7" t="s">
        <v>10</v>
      </c>
      <c r="C376" s="7" t="s">
        <v>49</v>
      </c>
      <c r="D376" s="7" t="s">
        <v>99</v>
      </c>
      <c r="E376" s="7" t="s">
        <v>51</v>
      </c>
      <c r="F376" s="7" t="s">
        <v>145</v>
      </c>
      <c r="G376" s="8" t="b">
        <f aca="false">TRUE()</f>
        <v>1</v>
      </c>
      <c r="H376" s="8" t="b">
        <f aca="false">TRUE()</f>
        <v>1</v>
      </c>
      <c r="I376" s="7" t="str">
        <f aca="false">IF(AND(G376,H376),"PASS_TO_PASS",IF(G376,"PASS_TO_FAIL",IF(H376,"FAIL_TO_PASS","FAIL_TO_FAIL")))</f>
        <v>PASS_TO_PASS</v>
      </c>
    </row>
    <row r="377" customFormat="false" ht="15" hidden="false" customHeight="false" outlineLevel="0" collapsed="false">
      <c r="A377" s="7" t="s">
        <v>82</v>
      </c>
      <c r="B377" s="7" t="s">
        <v>83</v>
      </c>
      <c r="C377" s="7" t="s">
        <v>49</v>
      </c>
      <c r="D377" s="7" t="s">
        <v>99</v>
      </c>
      <c r="E377" s="7" t="s">
        <v>51</v>
      </c>
      <c r="F377" s="7" t="s">
        <v>134</v>
      </c>
      <c r="G377" s="8" t="b">
        <f aca="false">TRUE()</f>
        <v>1</v>
      </c>
      <c r="H377" s="8" t="b">
        <f aca="false">TRUE()</f>
        <v>1</v>
      </c>
      <c r="I377" s="7" t="str">
        <f aca="false">IF(AND(G377,H377),"PASS_TO_PASS",IF(G377,"PASS_TO_FAIL",IF(H377,"FAIL_TO_PASS","FAIL_TO_FAIL")))</f>
        <v>PASS_TO_PASS</v>
      </c>
    </row>
    <row r="378" customFormat="false" ht="15" hidden="false" customHeight="false" outlineLevel="0" collapsed="false">
      <c r="A378" s="7" t="s">
        <v>82</v>
      </c>
      <c r="B378" s="7" t="s">
        <v>83</v>
      </c>
      <c r="C378" s="7" t="s">
        <v>49</v>
      </c>
      <c r="D378" s="7" t="s">
        <v>99</v>
      </c>
      <c r="E378" s="7" t="s">
        <v>51</v>
      </c>
      <c r="F378" s="7" t="s">
        <v>135</v>
      </c>
      <c r="G378" s="8" t="b">
        <f aca="false">TRUE()</f>
        <v>1</v>
      </c>
      <c r="H378" s="8" t="b">
        <f aca="false">TRUE()</f>
        <v>1</v>
      </c>
      <c r="I378" s="7" t="str">
        <f aca="false">IF(AND(G378,H378),"PASS_TO_PASS",IF(G378,"PASS_TO_FAIL",IF(H378,"FAIL_TO_PASS","FAIL_TO_FAIL")))</f>
        <v>PASS_TO_PASS</v>
      </c>
    </row>
    <row r="379" customFormat="false" ht="15" hidden="false" customHeight="false" outlineLevel="0" collapsed="false">
      <c r="A379" s="7" t="s">
        <v>82</v>
      </c>
      <c r="B379" s="7" t="s">
        <v>83</v>
      </c>
      <c r="C379" s="7" t="s">
        <v>49</v>
      </c>
      <c r="D379" s="7" t="s">
        <v>99</v>
      </c>
      <c r="E379" s="7" t="s">
        <v>51</v>
      </c>
      <c r="F379" s="7" t="s">
        <v>136</v>
      </c>
      <c r="G379" s="8" t="b">
        <f aca="false">TRUE()</f>
        <v>1</v>
      </c>
      <c r="H379" s="8" t="b">
        <f aca="false">TRUE()</f>
        <v>1</v>
      </c>
      <c r="I379" s="7" t="str">
        <f aca="false">IF(AND(G379,H379),"PASS_TO_PASS",IF(G379,"PASS_TO_FAIL",IF(H379,"FAIL_TO_PASS","FAIL_TO_FAIL")))</f>
        <v>PASS_TO_PASS</v>
      </c>
    </row>
    <row r="380" customFormat="false" ht="15" hidden="false" customHeight="false" outlineLevel="0" collapsed="false">
      <c r="A380" s="7" t="s">
        <v>82</v>
      </c>
      <c r="B380" s="7" t="s">
        <v>83</v>
      </c>
      <c r="C380" s="7" t="s">
        <v>49</v>
      </c>
      <c r="D380" s="7" t="s">
        <v>99</v>
      </c>
      <c r="E380" s="7" t="s">
        <v>51</v>
      </c>
      <c r="F380" s="7" t="s">
        <v>137</v>
      </c>
      <c r="G380" s="8" t="b">
        <f aca="false">TRUE()</f>
        <v>1</v>
      </c>
      <c r="H380" s="8" t="b">
        <f aca="false">TRUE()</f>
        <v>1</v>
      </c>
      <c r="I380" s="7" t="str">
        <f aca="false">IF(AND(G380,H380),"PASS_TO_PASS",IF(G380,"PASS_TO_FAIL",IF(H380,"FAIL_TO_PASS","FAIL_TO_FAIL")))</f>
        <v>PASS_TO_PASS</v>
      </c>
    </row>
    <row r="381" customFormat="false" ht="15" hidden="false" customHeight="false" outlineLevel="0" collapsed="false">
      <c r="A381" s="7" t="s">
        <v>82</v>
      </c>
      <c r="B381" s="7" t="s">
        <v>83</v>
      </c>
      <c r="C381" s="7" t="s">
        <v>49</v>
      </c>
      <c r="D381" s="7" t="s">
        <v>99</v>
      </c>
      <c r="E381" s="7" t="s">
        <v>51</v>
      </c>
      <c r="F381" s="7" t="s">
        <v>138</v>
      </c>
      <c r="G381" s="8" t="b">
        <f aca="false">TRUE()</f>
        <v>1</v>
      </c>
      <c r="H381" s="8" t="b">
        <f aca="false">TRUE()</f>
        <v>1</v>
      </c>
      <c r="I381" s="7" t="str">
        <f aca="false">IF(AND(G381,H381),"PASS_TO_PASS",IF(G381,"PASS_TO_FAIL",IF(H381,"FAIL_TO_PASS","FAIL_TO_FAIL")))</f>
        <v>PASS_TO_PASS</v>
      </c>
    </row>
    <row r="382" customFormat="false" ht="15" hidden="false" customHeight="false" outlineLevel="0" collapsed="false">
      <c r="A382" s="7" t="s">
        <v>82</v>
      </c>
      <c r="B382" s="7" t="s">
        <v>83</v>
      </c>
      <c r="C382" s="7" t="s">
        <v>49</v>
      </c>
      <c r="D382" s="7" t="s">
        <v>99</v>
      </c>
      <c r="E382" s="7" t="s">
        <v>51</v>
      </c>
      <c r="F382" s="7" t="s">
        <v>139</v>
      </c>
      <c r="G382" s="8" t="b">
        <f aca="false">TRUE()</f>
        <v>1</v>
      </c>
      <c r="H382" s="8" t="b">
        <f aca="false">TRUE()</f>
        <v>1</v>
      </c>
      <c r="I382" s="7" t="str">
        <f aca="false">IF(AND(G382,H382),"PASS_TO_PASS",IF(G382,"PASS_TO_FAIL",IF(H382,"FAIL_TO_PASS","FAIL_TO_FAIL")))</f>
        <v>PASS_TO_PASS</v>
      </c>
    </row>
    <row r="383" customFormat="false" ht="15" hidden="false" customHeight="false" outlineLevel="0" collapsed="false">
      <c r="A383" s="7" t="s">
        <v>82</v>
      </c>
      <c r="B383" s="7" t="s">
        <v>83</v>
      </c>
      <c r="C383" s="7" t="s">
        <v>49</v>
      </c>
      <c r="D383" s="7" t="s">
        <v>99</v>
      </c>
      <c r="E383" s="7" t="s">
        <v>51</v>
      </c>
      <c r="F383" s="7" t="s">
        <v>140</v>
      </c>
      <c r="G383" s="8" t="b">
        <f aca="false">TRUE()</f>
        <v>1</v>
      </c>
      <c r="H383" s="8" t="b">
        <f aca="false">TRUE()</f>
        <v>1</v>
      </c>
      <c r="I383" s="7" t="str">
        <f aca="false">IF(AND(G383,H383),"PASS_TO_PASS",IF(G383,"PASS_TO_FAIL",IF(H383,"FAIL_TO_PASS","FAIL_TO_FAIL")))</f>
        <v>PASS_TO_PASS</v>
      </c>
    </row>
    <row r="384" customFormat="false" ht="15" hidden="false" customHeight="false" outlineLevel="0" collapsed="false">
      <c r="A384" s="7" t="s">
        <v>82</v>
      </c>
      <c r="B384" s="7" t="s">
        <v>83</v>
      </c>
      <c r="C384" s="7" t="s">
        <v>49</v>
      </c>
      <c r="D384" s="7" t="s">
        <v>99</v>
      </c>
      <c r="E384" s="7" t="s">
        <v>51</v>
      </c>
      <c r="F384" s="7" t="s">
        <v>141</v>
      </c>
      <c r="G384" s="8" t="b">
        <f aca="false">TRUE()</f>
        <v>1</v>
      </c>
      <c r="H384" s="8" t="b">
        <f aca="false">TRUE()</f>
        <v>1</v>
      </c>
      <c r="I384" s="7" t="str">
        <f aca="false">IF(AND(G384,H384),"PASS_TO_PASS",IF(G384,"PASS_TO_FAIL",IF(H384,"FAIL_TO_PASS","FAIL_TO_FAIL")))</f>
        <v>PASS_TO_PASS</v>
      </c>
    </row>
    <row r="385" customFormat="false" ht="15" hidden="false" customHeight="false" outlineLevel="0" collapsed="false">
      <c r="A385" s="7" t="s">
        <v>82</v>
      </c>
      <c r="B385" s="7" t="s">
        <v>83</v>
      </c>
      <c r="C385" s="7" t="s">
        <v>49</v>
      </c>
      <c r="D385" s="7" t="s">
        <v>99</v>
      </c>
      <c r="E385" s="7" t="s">
        <v>51</v>
      </c>
      <c r="F385" s="7" t="s">
        <v>142</v>
      </c>
      <c r="G385" s="8" t="b">
        <f aca="false">TRUE()</f>
        <v>1</v>
      </c>
      <c r="H385" s="8" t="b">
        <f aca="false">TRUE()</f>
        <v>1</v>
      </c>
      <c r="I385" s="7" t="str">
        <f aca="false">IF(AND(G385,H385),"PASS_TO_PASS",IF(G385,"PASS_TO_FAIL",IF(H385,"FAIL_TO_PASS","FAIL_TO_FAIL")))</f>
        <v>PASS_TO_PASS</v>
      </c>
    </row>
    <row r="386" customFormat="false" ht="15" hidden="false" customHeight="false" outlineLevel="0" collapsed="false">
      <c r="A386" s="7" t="s">
        <v>82</v>
      </c>
      <c r="B386" s="7" t="s">
        <v>83</v>
      </c>
      <c r="C386" s="7" t="s">
        <v>49</v>
      </c>
      <c r="D386" s="7" t="s">
        <v>99</v>
      </c>
      <c r="E386" s="7" t="s">
        <v>51</v>
      </c>
      <c r="F386" s="7" t="s">
        <v>143</v>
      </c>
      <c r="G386" s="8" t="b">
        <f aca="false">TRUE()</f>
        <v>1</v>
      </c>
      <c r="H386" s="8" t="b">
        <f aca="false">TRUE()</f>
        <v>1</v>
      </c>
      <c r="I386" s="7" t="str">
        <f aca="false">IF(AND(G386,H386),"PASS_TO_PASS",IF(G386,"PASS_TO_FAIL",IF(H386,"FAIL_TO_PASS","FAIL_TO_FAIL")))</f>
        <v>PASS_TO_PASS</v>
      </c>
    </row>
    <row r="387" customFormat="false" ht="15" hidden="false" customHeight="false" outlineLevel="0" collapsed="false">
      <c r="A387" s="7" t="s">
        <v>82</v>
      </c>
      <c r="B387" s="7" t="s">
        <v>83</v>
      </c>
      <c r="C387" s="7" t="s">
        <v>49</v>
      </c>
      <c r="D387" s="7" t="s">
        <v>99</v>
      </c>
      <c r="E387" s="7" t="s">
        <v>51</v>
      </c>
      <c r="F387" s="7" t="s">
        <v>144</v>
      </c>
      <c r="G387" s="8" t="b">
        <f aca="false">TRUE()</f>
        <v>1</v>
      </c>
      <c r="H387" s="8" t="b">
        <f aca="false">TRUE()</f>
        <v>1</v>
      </c>
      <c r="I387" s="7" t="str">
        <f aca="false">IF(AND(G387,H387),"PASS_TO_PASS",IF(G387,"PASS_TO_FAIL",IF(H387,"FAIL_TO_PASS","FAIL_TO_FAIL")))</f>
        <v>PASS_TO_PASS</v>
      </c>
    </row>
    <row r="388" customFormat="false" ht="15" hidden="false" customHeight="false" outlineLevel="0" collapsed="false">
      <c r="A388" s="7" t="s">
        <v>82</v>
      </c>
      <c r="B388" s="7" t="s">
        <v>83</v>
      </c>
      <c r="C388" s="7" t="s">
        <v>49</v>
      </c>
      <c r="D388" s="7" t="s">
        <v>99</v>
      </c>
      <c r="E388" s="7" t="s">
        <v>51</v>
      </c>
      <c r="F388" s="7" t="s">
        <v>145</v>
      </c>
      <c r="G388" s="8" t="b">
        <f aca="false">TRUE()</f>
        <v>1</v>
      </c>
      <c r="H388" s="8" t="b">
        <f aca="false">TRUE()</f>
        <v>1</v>
      </c>
      <c r="I388" s="7" t="str">
        <f aca="false">IF(AND(G388,H388),"PASS_TO_PASS",IF(G388,"PASS_TO_FAIL",IF(H388,"FAIL_TO_PASS","FAIL_TO_FAIL")))</f>
        <v>PASS_TO_PASS</v>
      </c>
    </row>
    <row r="389" customFormat="false" ht="15" hidden="false" customHeight="false" outlineLevel="0" collapsed="false">
      <c r="A389" s="7" t="s">
        <v>48</v>
      </c>
      <c r="B389" s="7" t="s">
        <v>10</v>
      </c>
      <c r="C389" s="7" t="s">
        <v>49</v>
      </c>
      <c r="D389" s="7" t="s">
        <v>100</v>
      </c>
      <c r="E389" s="7" t="s">
        <v>51</v>
      </c>
      <c r="F389" s="7" t="s">
        <v>134</v>
      </c>
      <c r="G389" s="8" t="b">
        <f aca="false">FALSE()</f>
        <v>0</v>
      </c>
      <c r="H389" s="8" t="b">
        <f aca="false">FALSE()</f>
        <v>0</v>
      </c>
      <c r="I389" s="7" t="str">
        <f aca="false">IF(AND(G389,H389),"PASS_TO_PASS",IF(G389,"PASS_TO_FAIL",IF(H389,"FAIL_TO_PASS","FAIL_TO_FAIL")))</f>
        <v>FAIL_TO_FAIL</v>
      </c>
    </row>
    <row r="390" customFormat="false" ht="15" hidden="false" customHeight="false" outlineLevel="0" collapsed="false">
      <c r="A390" s="7" t="s">
        <v>48</v>
      </c>
      <c r="B390" s="7" t="s">
        <v>10</v>
      </c>
      <c r="C390" s="7" t="s">
        <v>49</v>
      </c>
      <c r="D390" s="7" t="s">
        <v>100</v>
      </c>
      <c r="E390" s="7" t="s">
        <v>51</v>
      </c>
      <c r="F390" s="7" t="s">
        <v>135</v>
      </c>
      <c r="G390" s="8" t="b">
        <f aca="false">FALSE()</f>
        <v>0</v>
      </c>
      <c r="H390" s="8" t="b">
        <f aca="false">FALSE()</f>
        <v>0</v>
      </c>
      <c r="I390" s="7" t="str">
        <f aca="false">IF(AND(G390,H390),"PASS_TO_PASS",IF(G390,"PASS_TO_FAIL",IF(H390,"FAIL_TO_PASS","FAIL_TO_FAIL")))</f>
        <v>FAIL_TO_FAIL</v>
      </c>
    </row>
    <row r="391" customFormat="false" ht="15" hidden="false" customHeight="false" outlineLevel="0" collapsed="false">
      <c r="A391" s="7" t="s">
        <v>48</v>
      </c>
      <c r="B391" s="7" t="s">
        <v>10</v>
      </c>
      <c r="C391" s="7" t="s">
        <v>49</v>
      </c>
      <c r="D391" s="7" t="s">
        <v>100</v>
      </c>
      <c r="E391" s="7" t="s">
        <v>51</v>
      </c>
      <c r="F391" s="7" t="s">
        <v>136</v>
      </c>
      <c r="G391" s="8" t="b">
        <f aca="false">FALSE()</f>
        <v>0</v>
      </c>
      <c r="H391" s="8" t="b">
        <f aca="false">FALSE()</f>
        <v>0</v>
      </c>
      <c r="I391" s="7" t="str">
        <f aca="false">IF(AND(G391,H391),"PASS_TO_PASS",IF(G391,"PASS_TO_FAIL",IF(H391,"FAIL_TO_PASS","FAIL_TO_FAIL")))</f>
        <v>FAIL_TO_FAIL</v>
      </c>
    </row>
    <row r="392" customFormat="false" ht="15" hidden="false" customHeight="false" outlineLevel="0" collapsed="false">
      <c r="A392" s="7" t="s">
        <v>48</v>
      </c>
      <c r="B392" s="7" t="s">
        <v>10</v>
      </c>
      <c r="C392" s="7" t="s">
        <v>49</v>
      </c>
      <c r="D392" s="7" t="s">
        <v>100</v>
      </c>
      <c r="E392" s="7" t="s">
        <v>51</v>
      </c>
      <c r="F392" s="7" t="s">
        <v>137</v>
      </c>
      <c r="G392" s="8" t="b">
        <f aca="false">TRUE()</f>
        <v>1</v>
      </c>
      <c r="H392" s="8" t="b">
        <f aca="false">TRUE()</f>
        <v>1</v>
      </c>
      <c r="I392" s="7" t="str">
        <f aca="false">IF(AND(G392,H392),"PASS_TO_PASS",IF(G392,"PASS_TO_FAIL",IF(H392,"FAIL_TO_PASS","FAIL_TO_FAIL")))</f>
        <v>PASS_TO_PASS</v>
      </c>
    </row>
    <row r="393" customFormat="false" ht="15" hidden="false" customHeight="false" outlineLevel="0" collapsed="false">
      <c r="A393" s="7" t="s">
        <v>48</v>
      </c>
      <c r="B393" s="7" t="s">
        <v>10</v>
      </c>
      <c r="C393" s="7" t="s">
        <v>49</v>
      </c>
      <c r="D393" s="7" t="s">
        <v>100</v>
      </c>
      <c r="E393" s="7" t="s">
        <v>51</v>
      </c>
      <c r="F393" s="7" t="s">
        <v>138</v>
      </c>
      <c r="G393" s="8" t="b">
        <f aca="false">TRUE()</f>
        <v>1</v>
      </c>
      <c r="H393" s="8" t="b">
        <f aca="false">TRUE()</f>
        <v>1</v>
      </c>
      <c r="I393" s="7" t="str">
        <f aca="false">IF(AND(G393,H393),"PASS_TO_PASS",IF(G393,"PASS_TO_FAIL",IF(H393,"FAIL_TO_PASS","FAIL_TO_FAIL")))</f>
        <v>PASS_TO_PASS</v>
      </c>
    </row>
    <row r="394" customFormat="false" ht="15" hidden="false" customHeight="false" outlineLevel="0" collapsed="false">
      <c r="A394" s="7" t="s">
        <v>48</v>
      </c>
      <c r="B394" s="7" t="s">
        <v>10</v>
      </c>
      <c r="C394" s="7" t="s">
        <v>49</v>
      </c>
      <c r="D394" s="7" t="s">
        <v>100</v>
      </c>
      <c r="E394" s="7" t="s">
        <v>51</v>
      </c>
      <c r="F394" s="7" t="s">
        <v>139</v>
      </c>
      <c r="G394" s="8" t="b">
        <f aca="false">TRUE()</f>
        <v>1</v>
      </c>
      <c r="H394" s="8" t="b">
        <f aca="false">TRUE()</f>
        <v>1</v>
      </c>
      <c r="I394" s="7" t="str">
        <f aca="false">IF(AND(G394,H394),"PASS_TO_PASS",IF(G394,"PASS_TO_FAIL",IF(H394,"FAIL_TO_PASS","FAIL_TO_FAIL")))</f>
        <v>PASS_TO_PASS</v>
      </c>
    </row>
    <row r="395" customFormat="false" ht="15" hidden="false" customHeight="false" outlineLevel="0" collapsed="false">
      <c r="A395" s="7" t="s">
        <v>48</v>
      </c>
      <c r="B395" s="7" t="s">
        <v>10</v>
      </c>
      <c r="C395" s="7" t="s">
        <v>49</v>
      </c>
      <c r="D395" s="7" t="s">
        <v>100</v>
      </c>
      <c r="E395" s="7" t="s">
        <v>51</v>
      </c>
      <c r="F395" s="7" t="s">
        <v>140</v>
      </c>
      <c r="G395" s="8" t="b">
        <f aca="false">FALSE()</f>
        <v>0</v>
      </c>
      <c r="H395" s="8" t="b">
        <f aca="false">FALSE()</f>
        <v>0</v>
      </c>
      <c r="I395" s="7" t="str">
        <f aca="false">IF(AND(G395,H395),"PASS_TO_PASS",IF(G395,"PASS_TO_FAIL",IF(H395,"FAIL_TO_PASS","FAIL_TO_FAIL")))</f>
        <v>FAIL_TO_FAIL</v>
      </c>
    </row>
    <row r="396" customFormat="false" ht="15" hidden="false" customHeight="false" outlineLevel="0" collapsed="false">
      <c r="A396" s="7" t="s">
        <v>48</v>
      </c>
      <c r="B396" s="7" t="s">
        <v>10</v>
      </c>
      <c r="C396" s="7" t="s">
        <v>49</v>
      </c>
      <c r="D396" s="7" t="s">
        <v>100</v>
      </c>
      <c r="E396" s="7" t="s">
        <v>51</v>
      </c>
      <c r="F396" s="7" t="s">
        <v>141</v>
      </c>
      <c r="G396" s="8" t="b">
        <f aca="false">FALSE()</f>
        <v>0</v>
      </c>
      <c r="H396" s="8" t="b">
        <f aca="false">FALSE()</f>
        <v>0</v>
      </c>
      <c r="I396" s="7" t="str">
        <f aca="false">IF(AND(G396,H396),"PASS_TO_PASS",IF(G396,"PASS_TO_FAIL",IF(H396,"FAIL_TO_PASS","FAIL_TO_FAIL")))</f>
        <v>FAIL_TO_FAIL</v>
      </c>
    </row>
    <row r="397" customFormat="false" ht="15" hidden="false" customHeight="false" outlineLevel="0" collapsed="false">
      <c r="A397" s="7" t="s">
        <v>48</v>
      </c>
      <c r="B397" s="7" t="s">
        <v>10</v>
      </c>
      <c r="C397" s="7" t="s">
        <v>49</v>
      </c>
      <c r="D397" s="7" t="s">
        <v>100</v>
      </c>
      <c r="E397" s="7" t="s">
        <v>51</v>
      </c>
      <c r="F397" s="7" t="s">
        <v>142</v>
      </c>
      <c r="G397" s="8" t="b">
        <f aca="false">FALSE()</f>
        <v>0</v>
      </c>
      <c r="H397" s="8" t="b">
        <f aca="false">FALSE()</f>
        <v>0</v>
      </c>
      <c r="I397" s="7" t="str">
        <f aca="false">IF(AND(G397,H397),"PASS_TO_PASS",IF(G397,"PASS_TO_FAIL",IF(H397,"FAIL_TO_PASS","FAIL_TO_FAIL")))</f>
        <v>FAIL_TO_FAIL</v>
      </c>
    </row>
    <row r="398" customFormat="false" ht="15" hidden="false" customHeight="false" outlineLevel="0" collapsed="false">
      <c r="A398" s="7" t="s">
        <v>48</v>
      </c>
      <c r="B398" s="7" t="s">
        <v>10</v>
      </c>
      <c r="C398" s="7" t="s">
        <v>49</v>
      </c>
      <c r="D398" s="7" t="s">
        <v>100</v>
      </c>
      <c r="E398" s="7" t="s">
        <v>51</v>
      </c>
      <c r="F398" s="7" t="s">
        <v>143</v>
      </c>
      <c r="G398" s="8" t="b">
        <f aca="false">FALSE()</f>
        <v>0</v>
      </c>
      <c r="H398" s="8" t="b">
        <f aca="false">FALSE()</f>
        <v>0</v>
      </c>
      <c r="I398" s="7" t="str">
        <f aca="false">IF(AND(G398,H398),"PASS_TO_PASS",IF(G398,"PASS_TO_FAIL",IF(H398,"FAIL_TO_PASS","FAIL_TO_FAIL")))</f>
        <v>FAIL_TO_FAIL</v>
      </c>
    </row>
    <row r="399" customFormat="false" ht="15" hidden="false" customHeight="false" outlineLevel="0" collapsed="false">
      <c r="A399" s="7" t="s">
        <v>48</v>
      </c>
      <c r="B399" s="7" t="s">
        <v>10</v>
      </c>
      <c r="C399" s="7" t="s">
        <v>49</v>
      </c>
      <c r="D399" s="7" t="s">
        <v>100</v>
      </c>
      <c r="E399" s="7" t="s">
        <v>51</v>
      </c>
      <c r="F399" s="7" t="s">
        <v>144</v>
      </c>
      <c r="G399" s="8" t="b">
        <f aca="false">TRUE()</f>
        <v>1</v>
      </c>
      <c r="H399" s="8" t="b">
        <f aca="false">TRUE()</f>
        <v>1</v>
      </c>
      <c r="I399" s="7" t="str">
        <f aca="false">IF(AND(G399,H399),"PASS_TO_PASS",IF(G399,"PASS_TO_FAIL",IF(H399,"FAIL_TO_PASS","FAIL_TO_FAIL")))</f>
        <v>PASS_TO_PASS</v>
      </c>
    </row>
    <row r="400" customFormat="false" ht="15" hidden="false" customHeight="false" outlineLevel="0" collapsed="false">
      <c r="A400" s="7" t="s">
        <v>48</v>
      </c>
      <c r="B400" s="7" t="s">
        <v>10</v>
      </c>
      <c r="C400" s="7" t="s">
        <v>49</v>
      </c>
      <c r="D400" s="7" t="s">
        <v>100</v>
      </c>
      <c r="E400" s="7" t="s">
        <v>51</v>
      </c>
      <c r="F400" s="7" t="s">
        <v>145</v>
      </c>
      <c r="G400" s="8" t="b">
        <f aca="false">TRUE()</f>
        <v>1</v>
      </c>
      <c r="H400" s="8" t="b">
        <f aca="false">TRUE()</f>
        <v>1</v>
      </c>
      <c r="I400" s="7" t="str">
        <f aca="false">IF(AND(G400,H400),"PASS_TO_PASS",IF(G400,"PASS_TO_FAIL",IF(H400,"FAIL_TO_PASS","FAIL_TO_FAIL")))</f>
        <v>PASS_TO_PASS</v>
      </c>
    </row>
    <row r="401" customFormat="false" ht="15" hidden="false" customHeight="false" outlineLevel="0" collapsed="false">
      <c r="A401" s="7" t="s">
        <v>82</v>
      </c>
      <c r="B401" s="7" t="s">
        <v>83</v>
      </c>
      <c r="C401" s="7" t="s">
        <v>49</v>
      </c>
      <c r="D401" s="7" t="s">
        <v>100</v>
      </c>
      <c r="E401" s="7" t="s">
        <v>51</v>
      </c>
      <c r="F401" s="7" t="s">
        <v>134</v>
      </c>
      <c r="G401" s="8" t="b">
        <f aca="false">FALSE()</f>
        <v>0</v>
      </c>
      <c r="H401" s="8" t="b">
        <f aca="false">FALSE()</f>
        <v>0</v>
      </c>
      <c r="I401" s="7" t="str">
        <f aca="false">IF(AND(G401,H401),"PASS_TO_PASS",IF(G401,"PASS_TO_FAIL",IF(H401,"FAIL_TO_PASS","FAIL_TO_FAIL")))</f>
        <v>FAIL_TO_FAIL</v>
      </c>
    </row>
    <row r="402" customFormat="false" ht="15" hidden="false" customHeight="false" outlineLevel="0" collapsed="false">
      <c r="A402" s="7" t="s">
        <v>82</v>
      </c>
      <c r="B402" s="7" t="s">
        <v>83</v>
      </c>
      <c r="C402" s="7" t="s">
        <v>49</v>
      </c>
      <c r="D402" s="7" t="s">
        <v>100</v>
      </c>
      <c r="E402" s="7" t="s">
        <v>51</v>
      </c>
      <c r="F402" s="7" t="s">
        <v>135</v>
      </c>
      <c r="G402" s="8" t="b">
        <f aca="false">FALSE()</f>
        <v>0</v>
      </c>
      <c r="H402" s="8" t="b">
        <f aca="false">FALSE()</f>
        <v>0</v>
      </c>
      <c r="I402" s="7" t="str">
        <f aca="false">IF(AND(G402,H402),"PASS_TO_PASS",IF(G402,"PASS_TO_FAIL",IF(H402,"FAIL_TO_PASS","FAIL_TO_FAIL")))</f>
        <v>FAIL_TO_FAIL</v>
      </c>
    </row>
    <row r="403" customFormat="false" ht="15" hidden="false" customHeight="false" outlineLevel="0" collapsed="false">
      <c r="A403" s="7" t="s">
        <v>82</v>
      </c>
      <c r="B403" s="7" t="s">
        <v>83</v>
      </c>
      <c r="C403" s="7" t="s">
        <v>49</v>
      </c>
      <c r="D403" s="7" t="s">
        <v>100</v>
      </c>
      <c r="E403" s="7" t="s">
        <v>51</v>
      </c>
      <c r="F403" s="7" t="s">
        <v>136</v>
      </c>
      <c r="G403" s="8" t="b">
        <f aca="false">FALSE()</f>
        <v>0</v>
      </c>
      <c r="H403" s="8" t="b">
        <f aca="false">FALSE()</f>
        <v>0</v>
      </c>
      <c r="I403" s="7" t="str">
        <f aca="false">IF(AND(G403,H403),"PASS_TO_PASS",IF(G403,"PASS_TO_FAIL",IF(H403,"FAIL_TO_PASS","FAIL_TO_FAIL")))</f>
        <v>FAIL_TO_FAIL</v>
      </c>
    </row>
    <row r="404" customFormat="false" ht="15" hidden="false" customHeight="false" outlineLevel="0" collapsed="false">
      <c r="A404" s="7" t="s">
        <v>82</v>
      </c>
      <c r="B404" s="7" t="s">
        <v>83</v>
      </c>
      <c r="C404" s="7" t="s">
        <v>49</v>
      </c>
      <c r="D404" s="7" t="s">
        <v>100</v>
      </c>
      <c r="E404" s="7" t="s">
        <v>51</v>
      </c>
      <c r="F404" s="7" t="s">
        <v>137</v>
      </c>
      <c r="G404" s="8" t="b">
        <f aca="false">TRUE()</f>
        <v>1</v>
      </c>
      <c r="H404" s="8" t="b">
        <f aca="false">TRUE()</f>
        <v>1</v>
      </c>
      <c r="I404" s="7" t="str">
        <f aca="false">IF(AND(G404,H404),"PASS_TO_PASS",IF(G404,"PASS_TO_FAIL",IF(H404,"FAIL_TO_PASS","FAIL_TO_FAIL")))</f>
        <v>PASS_TO_PASS</v>
      </c>
    </row>
    <row r="405" customFormat="false" ht="15" hidden="false" customHeight="false" outlineLevel="0" collapsed="false">
      <c r="A405" s="7" t="s">
        <v>82</v>
      </c>
      <c r="B405" s="7" t="s">
        <v>83</v>
      </c>
      <c r="C405" s="7" t="s">
        <v>49</v>
      </c>
      <c r="D405" s="7" t="s">
        <v>100</v>
      </c>
      <c r="E405" s="7" t="s">
        <v>51</v>
      </c>
      <c r="F405" s="7" t="s">
        <v>138</v>
      </c>
      <c r="G405" s="8" t="b">
        <f aca="false">TRUE()</f>
        <v>1</v>
      </c>
      <c r="H405" s="8" t="b">
        <f aca="false">TRUE()</f>
        <v>1</v>
      </c>
      <c r="I405" s="7" t="str">
        <f aca="false">IF(AND(G405,H405),"PASS_TO_PASS",IF(G405,"PASS_TO_FAIL",IF(H405,"FAIL_TO_PASS","FAIL_TO_FAIL")))</f>
        <v>PASS_TO_PASS</v>
      </c>
    </row>
    <row r="406" customFormat="false" ht="15" hidden="false" customHeight="false" outlineLevel="0" collapsed="false">
      <c r="A406" s="7" t="s">
        <v>82</v>
      </c>
      <c r="B406" s="7" t="s">
        <v>83</v>
      </c>
      <c r="C406" s="7" t="s">
        <v>49</v>
      </c>
      <c r="D406" s="7" t="s">
        <v>100</v>
      </c>
      <c r="E406" s="7" t="s">
        <v>51</v>
      </c>
      <c r="F406" s="7" t="s">
        <v>139</v>
      </c>
      <c r="G406" s="8" t="b">
        <f aca="false">TRUE()</f>
        <v>1</v>
      </c>
      <c r="H406" s="8" t="b">
        <f aca="false">TRUE()</f>
        <v>1</v>
      </c>
      <c r="I406" s="7" t="str">
        <f aca="false">IF(AND(G406,H406),"PASS_TO_PASS",IF(G406,"PASS_TO_FAIL",IF(H406,"FAIL_TO_PASS","FAIL_TO_FAIL")))</f>
        <v>PASS_TO_PASS</v>
      </c>
    </row>
    <row r="407" customFormat="false" ht="15" hidden="false" customHeight="false" outlineLevel="0" collapsed="false">
      <c r="A407" s="7" t="s">
        <v>82</v>
      </c>
      <c r="B407" s="7" t="s">
        <v>83</v>
      </c>
      <c r="C407" s="7" t="s">
        <v>49</v>
      </c>
      <c r="D407" s="7" t="s">
        <v>100</v>
      </c>
      <c r="E407" s="7" t="s">
        <v>51</v>
      </c>
      <c r="F407" s="7" t="s">
        <v>140</v>
      </c>
      <c r="G407" s="8" t="b">
        <f aca="false">FALSE()</f>
        <v>0</v>
      </c>
      <c r="H407" s="8" t="b">
        <f aca="false">FALSE()</f>
        <v>0</v>
      </c>
      <c r="I407" s="7" t="str">
        <f aca="false">IF(AND(G407,H407),"PASS_TO_PASS",IF(G407,"PASS_TO_FAIL",IF(H407,"FAIL_TO_PASS","FAIL_TO_FAIL")))</f>
        <v>FAIL_TO_FAIL</v>
      </c>
    </row>
    <row r="408" customFormat="false" ht="15" hidden="false" customHeight="false" outlineLevel="0" collapsed="false">
      <c r="A408" s="7" t="s">
        <v>82</v>
      </c>
      <c r="B408" s="7" t="s">
        <v>83</v>
      </c>
      <c r="C408" s="7" t="s">
        <v>49</v>
      </c>
      <c r="D408" s="7" t="s">
        <v>100</v>
      </c>
      <c r="E408" s="7" t="s">
        <v>51</v>
      </c>
      <c r="F408" s="7" t="s">
        <v>141</v>
      </c>
      <c r="G408" s="8" t="b">
        <f aca="false">FALSE()</f>
        <v>0</v>
      </c>
      <c r="H408" s="8" t="b">
        <f aca="false">FALSE()</f>
        <v>0</v>
      </c>
      <c r="I408" s="7" t="str">
        <f aca="false">IF(AND(G408,H408),"PASS_TO_PASS",IF(G408,"PASS_TO_FAIL",IF(H408,"FAIL_TO_PASS","FAIL_TO_FAIL")))</f>
        <v>FAIL_TO_FAIL</v>
      </c>
    </row>
    <row r="409" customFormat="false" ht="15" hidden="false" customHeight="false" outlineLevel="0" collapsed="false">
      <c r="A409" s="7" t="s">
        <v>82</v>
      </c>
      <c r="B409" s="7" t="s">
        <v>83</v>
      </c>
      <c r="C409" s="7" t="s">
        <v>49</v>
      </c>
      <c r="D409" s="7" t="s">
        <v>100</v>
      </c>
      <c r="E409" s="7" t="s">
        <v>51</v>
      </c>
      <c r="F409" s="7" t="s">
        <v>142</v>
      </c>
      <c r="G409" s="8" t="b">
        <f aca="false">FALSE()</f>
        <v>0</v>
      </c>
      <c r="H409" s="8" t="b">
        <f aca="false">FALSE()</f>
        <v>0</v>
      </c>
      <c r="I409" s="7" t="str">
        <f aca="false">IF(AND(G409,H409),"PASS_TO_PASS",IF(G409,"PASS_TO_FAIL",IF(H409,"FAIL_TO_PASS","FAIL_TO_FAIL")))</f>
        <v>FAIL_TO_FAIL</v>
      </c>
    </row>
    <row r="410" customFormat="false" ht="15" hidden="false" customHeight="false" outlineLevel="0" collapsed="false">
      <c r="A410" s="7" t="s">
        <v>82</v>
      </c>
      <c r="B410" s="7" t="s">
        <v>83</v>
      </c>
      <c r="C410" s="7" t="s">
        <v>49</v>
      </c>
      <c r="D410" s="7" t="s">
        <v>100</v>
      </c>
      <c r="E410" s="7" t="s">
        <v>51</v>
      </c>
      <c r="F410" s="7" t="s">
        <v>143</v>
      </c>
      <c r="G410" s="8" t="b">
        <f aca="false">FALSE()</f>
        <v>0</v>
      </c>
      <c r="H410" s="8" t="b">
        <f aca="false">FALSE()</f>
        <v>0</v>
      </c>
      <c r="I410" s="7" t="str">
        <f aca="false">IF(AND(G410,H410),"PASS_TO_PASS",IF(G410,"PASS_TO_FAIL",IF(H410,"FAIL_TO_PASS","FAIL_TO_FAIL")))</f>
        <v>FAIL_TO_FAIL</v>
      </c>
    </row>
    <row r="411" customFormat="false" ht="15" hidden="false" customHeight="false" outlineLevel="0" collapsed="false">
      <c r="A411" s="7" t="s">
        <v>82</v>
      </c>
      <c r="B411" s="7" t="s">
        <v>83</v>
      </c>
      <c r="C411" s="7" t="s">
        <v>49</v>
      </c>
      <c r="D411" s="7" t="s">
        <v>100</v>
      </c>
      <c r="E411" s="7" t="s">
        <v>51</v>
      </c>
      <c r="F411" s="7" t="s">
        <v>144</v>
      </c>
      <c r="G411" s="8" t="b">
        <f aca="false">TRUE()</f>
        <v>1</v>
      </c>
      <c r="H411" s="8" t="b">
        <f aca="false">TRUE()</f>
        <v>1</v>
      </c>
      <c r="I411" s="7" t="str">
        <f aca="false">IF(AND(G411,H411),"PASS_TO_PASS",IF(G411,"PASS_TO_FAIL",IF(H411,"FAIL_TO_PASS","FAIL_TO_FAIL")))</f>
        <v>PASS_TO_PASS</v>
      </c>
    </row>
    <row r="412" customFormat="false" ht="15" hidden="false" customHeight="false" outlineLevel="0" collapsed="false">
      <c r="A412" s="7" t="s">
        <v>82</v>
      </c>
      <c r="B412" s="7" t="s">
        <v>83</v>
      </c>
      <c r="C412" s="7" t="s">
        <v>49</v>
      </c>
      <c r="D412" s="7" t="s">
        <v>100</v>
      </c>
      <c r="E412" s="7" t="s">
        <v>51</v>
      </c>
      <c r="F412" s="7" t="s">
        <v>145</v>
      </c>
      <c r="G412" s="8" t="b">
        <f aca="false">FALSE()</f>
        <v>0</v>
      </c>
      <c r="H412" s="8" t="b">
        <f aca="false">TRUE()</f>
        <v>1</v>
      </c>
      <c r="I412" s="7" t="str">
        <f aca="false">IF(AND(G412,H412),"PASS_TO_PASS",IF(G412,"PASS_TO_FAIL",IF(H412,"FAIL_TO_PASS","FAIL_TO_FAIL")))</f>
        <v>FAIL_TO_PASS</v>
      </c>
    </row>
    <row r="413" customFormat="false" ht="15" hidden="false" customHeight="false" outlineLevel="0" collapsed="false">
      <c r="A413" s="7" t="s">
        <v>48</v>
      </c>
      <c r="B413" s="7" t="s">
        <v>10</v>
      </c>
      <c r="C413" s="7" t="s">
        <v>49</v>
      </c>
      <c r="D413" s="7" t="s">
        <v>101</v>
      </c>
      <c r="E413" s="7" t="s">
        <v>91</v>
      </c>
      <c r="F413" s="7" t="s">
        <v>134</v>
      </c>
      <c r="G413" s="8" t="b">
        <f aca="false">TRUE()</f>
        <v>1</v>
      </c>
      <c r="H413" s="8" t="b">
        <f aca="false">TRUE()</f>
        <v>1</v>
      </c>
      <c r="I413" s="7" t="str">
        <f aca="false">IF(AND(G413,H413),"PASS_TO_PASS",IF(G413,"PASS_TO_FAIL",IF(H413,"FAIL_TO_PASS","FAIL_TO_FAIL")))</f>
        <v>PASS_TO_PASS</v>
      </c>
    </row>
    <row r="414" customFormat="false" ht="15" hidden="false" customHeight="false" outlineLevel="0" collapsed="false">
      <c r="A414" s="7" t="s">
        <v>48</v>
      </c>
      <c r="B414" s="7" t="s">
        <v>10</v>
      </c>
      <c r="C414" s="7" t="s">
        <v>49</v>
      </c>
      <c r="D414" s="7" t="s">
        <v>101</v>
      </c>
      <c r="E414" s="7" t="s">
        <v>91</v>
      </c>
      <c r="F414" s="7" t="s">
        <v>135</v>
      </c>
      <c r="G414" s="8" t="b">
        <f aca="false">TRUE()</f>
        <v>1</v>
      </c>
      <c r="H414" s="8" t="b">
        <f aca="false">TRUE()</f>
        <v>1</v>
      </c>
      <c r="I414" s="7" t="str">
        <f aca="false">IF(AND(G414,H414),"PASS_TO_PASS",IF(G414,"PASS_TO_FAIL",IF(H414,"FAIL_TO_PASS","FAIL_TO_FAIL")))</f>
        <v>PASS_TO_PASS</v>
      </c>
    </row>
    <row r="415" customFormat="false" ht="15" hidden="false" customHeight="false" outlineLevel="0" collapsed="false">
      <c r="A415" s="7" t="s">
        <v>48</v>
      </c>
      <c r="B415" s="7" t="s">
        <v>10</v>
      </c>
      <c r="C415" s="7" t="s">
        <v>49</v>
      </c>
      <c r="D415" s="7" t="s">
        <v>101</v>
      </c>
      <c r="E415" s="7" t="s">
        <v>91</v>
      </c>
      <c r="F415" s="7" t="s">
        <v>136</v>
      </c>
      <c r="G415" s="8" t="b">
        <f aca="false">TRUE()</f>
        <v>1</v>
      </c>
      <c r="H415" s="8" t="b">
        <f aca="false">TRUE()</f>
        <v>1</v>
      </c>
      <c r="I415" s="7" t="str">
        <f aca="false">IF(AND(G415,H415),"PASS_TO_PASS",IF(G415,"PASS_TO_FAIL",IF(H415,"FAIL_TO_PASS","FAIL_TO_FAIL")))</f>
        <v>PASS_TO_PASS</v>
      </c>
    </row>
    <row r="416" customFormat="false" ht="15" hidden="false" customHeight="false" outlineLevel="0" collapsed="false">
      <c r="A416" s="7" t="s">
        <v>48</v>
      </c>
      <c r="B416" s="7" t="s">
        <v>10</v>
      </c>
      <c r="C416" s="7" t="s">
        <v>49</v>
      </c>
      <c r="D416" s="7" t="s">
        <v>101</v>
      </c>
      <c r="E416" s="7" t="s">
        <v>91</v>
      </c>
      <c r="F416" s="7" t="s">
        <v>137</v>
      </c>
      <c r="G416" s="8" t="b">
        <f aca="false">TRUE()</f>
        <v>1</v>
      </c>
      <c r="H416" s="8" t="b">
        <f aca="false">TRUE()</f>
        <v>1</v>
      </c>
      <c r="I416" s="7" t="str">
        <f aca="false">IF(AND(G416,H416),"PASS_TO_PASS",IF(G416,"PASS_TO_FAIL",IF(H416,"FAIL_TO_PASS","FAIL_TO_FAIL")))</f>
        <v>PASS_TO_PASS</v>
      </c>
    </row>
    <row r="417" customFormat="false" ht="15" hidden="false" customHeight="false" outlineLevel="0" collapsed="false">
      <c r="A417" s="7" t="s">
        <v>48</v>
      </c>
      <c r="B417" s="7" t="s">
        <v>10</v>
      </c>
      <c r="C417" s="7" t="s">
        <v>49</v>
      </c>
      <c r="D417" s="7" t="s">
        <v>101</v>
      </c>
      <c r="E417" s="7" t="s">
        <v>91</v>
      </c>
      <c r="F417" s="7" t="s">
        <v>138</v>
      </c>
      <c r="G417" s="8" t="b">
        <f aca="false">TRUE()</f>
        <v>1</v>
      </c>
      <c r="H417" s="8" t="b">
        <f aca="false">TRUE()</f>
        <v>1</v>
      </c>
      <c r="I417" s="7" t="str">
        <f aca="false">IF(AND(G417,H417),"PASS_TO_PASS",IF(G417,"PASS_TO_FAIL",IF(H417,"FAIL_TO_PASS","FAIL_TO_FAIL")))</f>
        <v>PASS_TO_PASS</v>
      </c>
    </row>
    <row r="418" customFormat="false" ht="15" hidden="false" customHeight="false" outlineLevel="0" collapsed="false">
      <c r="A418" s="7" t="s">
        <v>48</v>
      </c>
      <c r="B418" s="7" t="s">
        <v>10</v>
      </c>
      <c r="C418" s="7" t="s">
        <v>49</v>
      </c>
      <c r="D418" s="7" t="s">
        <v>101</v>
      </c>
      <c r="E418" s="7" t="s">
        <v>91</v>
      </c>
      <c r="F418" s="7" t="s">
        <v>139</v>
      </c>
      <c r="G418" s="8" t="b">
        <f aca="false">TRUE()</f>
        <v>1</v>
      </c>
      <c r="H418" s="8" t="b">
        <f aca="false">TRUE()</f>
        <v>1</v>
      </c>
      <c r="I418" s="7" t="str">
        <f aca="false">IF(AND(G418,H418),"PASS_TO_PASS",IF(G418,"PASS_TO_FAIL",IF(H418,"FAIL_TO_PASS","FAIL_TO_FAIL")))</f>
        <v>PASS_TO_PASS</v>
      </c>
    </row>
    <row r="419" customFormat="false" ht="15" hidden="false" customHeight="false" outlineLevel="0" collapsed="false">
      <c r="A419" s="7" t="s">
        <v>48</v>
      </c>
      <c r="B419" s="7" t="s">
        <v>10</v>
      </c>
      <c r="C419" s="7" t="s">
        <v>49</v>
      </c>
      <c r="D419" s="7" t="s">
        <v>101</v>
      </c>
      <c r="E419" s="7" t="s">
        <v>91</v>
      </c>
      <c r="F419" s="7" t="s">
        <v>140</v>
      </c>
      <c r="G419" s="8" t="b">
        <f aca="false">TRUE()</f>
        <v>1</v>
      </c>
      <c r="H419" s="8" t="b">
        <f aca="false">TRUE()</f>
        <v>1</v>
      </c>
      <c r="I419" s="7" t="str">
        <f aca="false">IF(AND(G419,H419),"PASS_TO_PASS",IF(G419,"PASS_TO_FAIL",IF(H419,"FAIL_TO_PASS","FAIL_TO_FAIL")))</f>
        <v>PASS_TO_PASS</v>
      </c>
    </row>
    <row r="420" customFormat="false" ht="15" hidden="false" customHeight="false" outlineLevel="0" collapsed="false">
      <c r="A420" s="7" t="s">
        <v>48</v>
      </c>
      <c r="B420" s="7" t="s">
        <v>10</v>
      </c>
      <c r="C420" s="7" t="s">
        <v>49</v>
      </c>
      <c r="D420" s="7" t="s">
        <v>101</v>
      </c>
      <c r="E420" s="7" t="s">
        <v>91</v>
      </c>
      <c r="F420" s="7" t="s">
        <v>141</v>
      </c>
      <c r="G420" s="8" t="b">
        <f aca="false">TRUE()</f>
        <v>1</v>
      </c>
      <c r="H420" s="8" t="b">
        <f aca="false">TRUE()</f>
        <v>1</v>
      </c>
      <c r="I420" s="7" t="str">
        <f aca="false">IF(AND(G420,H420),"PASS_TO_PASS",IF(G420,"PASS_TO_FAIL",IF(H420,"FAIL_TO_PASS","FAIL_TO_FAIL")))</f>
        <v>PASS_TO_PASS</v>
      </c>
    </row>
    <row r="421" customFormat="false" ht="15" hidden="false" customHeight="false" outlineLevel="0" collapsed="false">
      <c r="A421" s="7" t="s">
        <v>48</v>
      </c>
      <c r="B421" s="7" t="s">
        <v>10</v>
      </c>
      <c r="C421" s="7" t="s">
        <v>49</v>
      </c>
      <c r="D421" s="7" t="s">
        <v>101</v>
      </c>
      <c r="E421" s="7" t="s">
        <v>91</v>
      </c>
      <c r="F421" s="7" t="s">
        <v>142</v>
      </c>
      <c r="G421" s="8" t="b">
        <f aca="false">TRUE()</f>
        <v>1</v>
      </c>
      <c r="H421" s="8" t="b">
        <f aca="false">TRUE()</f>
        <v>1</v>
      </c>
      <c r="I421" s="7" t="str">
        <f aca="false">IF(AND(G421,H421),"PASS_TO_PASS",IF(G421,"PASS_TO_FAIL",IF(H421,"FAIL_TO_PASS","FAIL_TO_FAIL")))</f>
        <v>PASS_TO_PASS</v>
      </c>
    </row>
    <row r="422" customFormat="false" ht="15" hidden="false" customHeight="false" outlineLevel="0" collapsed="false">
      <c r="A422" s="7" t="s">
        <v>48</v>
      </c>
      <c r="B422" s="7" t="s">
        <v>10</v>
      </c>
      <c r="C422" s="7" t="s">
        <v>49</v>
      </c>
      <c r="D422" s="7" t="s">
        <v>101</v>
      </c>
      <c r="E422" s="7" t="s">
        <v>91</v>
      </c>
      <c r="F422" s="7" t="s">
        <v>143</v>
      </c>
      <c r="G422" s="8" t="b">
        <f aca="false">FALSE()</f>
        <v>0</v>
      </c>
      <c r="H422" s="8" t="b">
        <f aca="false">FALSE()</f>
        <v>0</v>
      </c>
      <c r="I422" s="7" t="str">
        <f aca="false">IF(AND(G422,H422),"PASS_TO_PASS",IF(G422,"PASS_TO_FAIL",IF(H422,"FAIL_TO_PASS","FAIL_TO_FAIL")))</f>
        <v>FAIL_TO_FAIL</v>
      </c>
    </row>
    <row r="423" customFormat="false" ht="15" hidden="false" customHeight="false" outlineLevel="0" collapsed="false">
      <c r="A423" s="7" t="s">
        <v>48</v>
      </c>
      <c r="B423" s="7" t="s">
        <v>10</v>
      </c>
      <c r="C423" s="7" t="s">
        <v>49</v>
      </c>
      <c r="D423" s="7" t="s">
        <v>101</v>
      </c>
      <c r="E423" s="7" t="s">
        <v>91</v>
      </c>
      <c r="F423" s="7" t="s">
        <v>144</v>
      </c>
      <c r="G423" s="8" t="b">
        <f aca="false">TRUE()</f>
        <v>1</v>
      </c>
      <c r="H423" s="8" t="b">
        <f aca="false">TRUE()</f>
        <v>1</v>
      </c>
      <c r="I423" s="7" t="str">
        <f aca="false">IF(AND(G423,H423),"PASS_TO_PASS",IF(G423,"PASS_TO_FAIL",IF(H423,"FAIL_TO_PASS","FAIL_TO_FAIL")))</f>
        <v>PASS_TO_PASS</v>
      </c>
    </row>
    <row r="424" customFormat="false" ht="15" hidden="false" customHeight="false" outlineLevel="0" collapsed="false">
      <c r="A424" s="7" t="s">
        <v>48</v>
      </c>
      <c r="B424" s="7" t="s">
        <v>10</v>
      </c>
      <c r="C424" s="7" t="s">
        <v>49</v>
      </c>
      <c r="D424" s="7" t="s">
        <v>101</v>
      </c>
      <c r="E424" s="7" t="s">
        <v>91</v>
      </c>
      <c r="F424" s="7" t="s">
        <v>145</v>
      </c>
      <c r="G424" s="8" t="b">
        <f aca="false">TRUE()</f>
        <v>1</v>
      </c>
      <c r="H424" s="8" t="b">
        <f aca="false">TRUE()</f>
        <v>1</v>
      </c>
      <c r="I424" s="7" t="str">
        <f aca="false">IF(AND(G424,H424),"PASS_TO_PASS",IF(G424,"PASS_TO_FAIL",IF(H424,"FAIL_TO_PASS","FAIL_TO_FAIL")))</f>
        <v>PASS_TO_PASS</v>
      </c>
    </row>
    <row r="425" customFormat="false" ht="15" hidden="false" customHeight="false" outlineLevel="0" collapsed="false">
      <c r="A425" s="7" t="s">
        <v>82</v>
      </c>
      <c r="B425" s="7" t="s">
        <v>83</v>
      </c>
      <c r="C425" s="7" t="s">
        <v>49</v>
      </c>
      <c r="D425" s="7" t="s">
        <v>101</v>
      </c>
      <c r="E425" s="7" t="s">
        <v>91</v>
      </c>
      <c r="F425" s="7" t="s">
        <v>134</v>
      </c>
      <c r="G425" s="8" t="b">
        <f aca="false">TRUE()</f>
        <v>1</v>
      </c>
      <c r="H425" s="8" t="b">
        <f aca="false">TRUE()</f>
        <v>1</v>
      </c>
      <c r="I425" s="7" t="str">
        <f aca="false">IF(AND(G425,H425),"PASS_TO_PASS",IF(G425,"PASS_TO_FAIL",IF(H425,"FAIL_TO_PASS","FAIL_TO_FAIL")))</f>
        <v>PASS_TO_PASS</v>
      </c>
    </row>
    <row r="426" customFormat="false" ht="15" hidden="false" customHeight="false" outlineLevel="0" collapsed="false">
      <c r="A426" s="7" t="s">
        <v>82</v>
      </c>
      <c r="B426" s="7" t="s">
        <v>83</v>
      </c>
      <c r="C426" s="7" t="s">
        <v>49</v>
      </c>
      <c r="D426" s="7" t="s">
        <v>101</v>
      </c>
      <c r="E426" s="7" t="s">
        <v>91</v>
      </c>
      <c r="F426" s="7" t="s">
        <v>135</v>
      </c>
      <c r="G426" s="8" t="b">
        <f aca="false">TRUE()</f>
        <v>1</v>
      </c>
      <c r="H426" s="8" t="b">
        <f aca="false">TRUE()</f>
        <v>1</v>
      </c>
      <c r="I426" s="7" t="str">
        <f aca="false">IF(AND(G426,H426),"PASS_TO_PASS",IF(G426,"PASS_TO_FAIL",IF(H426,"FAIL_TO_PASS","FAIL_TO_FAIL")))</f>
        <v>PASS_TO_PASS</v>
      </c>
    </row>
    <row r="427" customFormat="false" ht="15" hidden="false" customHeight="false" outlineLevel="0" collapsed="false">
      <c r="A427" s="7" t="s">
        <v>82</v>
      </c>
      <c r="B427" s="7" t="s">
        <v>83</v>
      </c>
      <c r="C427" s="7" t="s">
        <v>49</v>
      </c>
      <c r="D427" s="7" t="s">
        <v>101</v>
      </c>
      <c r="E427" s="7" t="s">
        <v>91</v>
      </c>
      <c r="F427" s="7" t="s">
        <v>136</v>
      </c>
      <c r="G427" s="8" t="b">
        <f aca="false">TRUE()</f>
        <v>1</v>
      </c>
      <c r="H427" s="8" t="b">
        <f aca="false">TRUE()</f>
        <v>1</v>
      </c>
      <c r="I427" s="7" t="str">
        <f aca="false">IF(AND(G427,H427),"PASS_TO_PASS",IF(G427,"PASS_TO_FAIL",IF(H427,"FAIL_TO_PASS","FAIL_TO_FAIL")))</f>
        <v>PASS_TO_PASS</v>
      </c>
    </row>
    <row r="428" customFormat="false" ht="15" hidden="false" customHeight="false" outlineLevel="0" collapsed="false">
      <c r="A428" s="7" t="s">
        <v>82</v>
      </c>
      <c r="B428" s="7" t="s">
        <v>83</v>
      </c>
      <c r="C428" s="7" t="s">
        <v>49</v>
      </c>
      <c r="D428" s="7" t="s">
        <v>101</v>
      </c>
      <c r="E428" s="7" t="s">
        <v>91</v>
      </c>
      <c r="F428" s="7" t="s">
        <v>137</v>
      </c>
      <c r="G428" s="8" t="b">
        <f aca="false">TRUE()</f>
        <v>1</v>
      </c>
      <c r="H428" s="8" t="b">
        <f aca="false">TRUE()</f>
        <v>1</v>
      </c>
      <c r="I428" s="7" t="str">
        <f aca="false">IF(AND(G428,H428),"PASS_TO_PASS",IF(G428,"PASS_TO_FAIL",IF(H428,"FAIL_TO_PASS","FAIL_TO_FAIL")))</f>
        <v>PASS_TO_PASS</v>
      </c>
    </row>
    <row r="429" customFormat="false" ht="15" hidden="false" customHeight="false" outlineLevel="0" collapsed="false">
      <c r="A429" s="7" t="s">
        <v>82</v>
      </c>
      <c r="B429" s="7" t="s">
        <v>83</v>
      </c>
      <c r="C429" s="7" t="s">
        <v>49</v>
      </c>
      <c r="D429" s="7" t="s">
        <v>101</v>
      </c>
      <c r="E429" s="7" t="s">
        <v>91</v>
      </c>
      <c r="F429" s="7" t="s">
        <v>138</v>
      </c>
      <c r="G429" s="8" t="b">
        <f aca="false">TRUE()</f>
        <v>1</v>
      </c>
      <c r="H429" s="8" t="b">
        <f aca="false">TRUE()</f>
        <v>1</v>
      </c>
      <c r="I429" s="7" t="str">
        <f aca="false">IF(AND(G429,H429),"PASS_TO_PASS",IF(G429,"PASS_TO_FAIL",IF(H429,"FAIL_TO_PASS","FAIL_TO_FAIL")))</f>
        <v>PASS_TO_PASS</v>
      </c>
    </row>
    <row r="430" customFormat="false" ht="15" hidden="false" customHeight="false" outlineLevel="0" collapsed="false">
      <c r="A430" s="7" t="s">
        <v>82</v>
      </c>
      <c r="B430" s="7" t="s">
        <v>83</v>
      </c>
      <c r="C430" s="7" t="s">
        <v>49</v>
      </c>
      <c r="D430" s="7" t="s">
        <v>101</v>
      </c>
      <c r="E430" s="7" t="s">
        <v>91</v>
      </c>
      <c r="F430" s="7" t="s">
        <v>139</v>
      </c>
      <c r="G430" s="8" t="b">
        <f aca="false">TRUE()</f>
        <v>1</v>
      </c>
      <c r="H430" s="8" t="b">
        <f aca="false">TRUE()</f>
        <v>1</v>
      </c>
      <c r="I430" s="7" t="str">
        <f aca="false">IF(AND(G430,H430),"PASS_TO_PASS",IF(G430,"PASS_TO_FAIL",IF(H430,"FAIL_TO_PASS","FAIL_TO_FAIL")))</f>
        <v>PASS_TO_PASS</v>
      </c>
    </row>
    <row r="431" customFormat="false" ht="15" hidden="false" customHeight="false" outlineLevel="0" collapsed="false">
      <c r="A431" s="7" t="s">
        <v>82</v>
      </c>
      <c r="B431" s="7" t="s">
        <v>83</v>
      </c>
      <c r="C431" s="7" t="s">
        <v>49</v>
      </c>
      <c r="D431" s="7" t="s">
        <v>101</v>
      </c>
      <c r="E431" s="7" t="s">
        <v>91</v>
      </c>
      <c r="F431" s="7" t="s">
        <v>140</v>
      </c>
      <c r="G431" s="8" t="b">
        <f aca="false">TRUE()</f>
        <v>1</v>
      </c>
      <c r="H431" s="8" t="b">
        <f aca="false">TRUE()</f>
        <v>1</v>
      </c>
      <c r="I431" s="7" t="str">
        <f aca="false">IF(AND(G431,H431),"PASS_TO_PASS",IF(G431,"PASS_TO_FAIL",IF(H431,"FAIL_TO_PASS","FAIL_TO_FAIL")))</f>
        <v>PASS_TO_PASS</v>
      </c>
    </row>
    <row r="432" customFormat="false" ht="15" hidden="false" customHeight="false" outlineLevel="0" collapsed="false">
      <c r="A432" s="7" t="s">
        <v>82</v>
      </c>
      <c r="B432" s="7" t="s">
        <v>83</v>
      </c>
      <c r="C432" s="7" t="s">
        <v>49</v>
      </c>
      <c r="D432" s="7" t="s">
        <v>101</v>
      </c>
      <c r="E432" s="7" t="s">
        <v>91</v>
      </c>
      <c r="F432" s="7" t="s">
        <v>141</v>
      </c>
      <c r="G432" s="8" t="b">
        <f aca="false">TRUE()</f>
        <v>1</v>
      </c>
      <c r="H432" s="8" t="b">
        <f aca="false">TRUE()</f>
        <v>1</v>
      </c>
      <c r="I432" s="7" t="str">
        <f aca="false">IF(AND(G432,H432),"PASS_TO_PASS",IF(G432,"PASS_TO_FAIL",IF(H432,"FAIL_TO_PASS","FAIL_TO_FAIL")))</f>
        <v>PASS_TO_PASS</v>
      </c>
    </row>
    <row r="433" customFormat="false" ht="15" hidden="false" customHeight="false" outlineLevel="0" collapsed="false">
      <c r="A433" s="7" t="s">
        <v>82</v>
      </c>
      <c r="B433" s="7" t="s">
        <v>83</v>
      </c>
      <c r="C433" s="7" t="s">
        <v>49</v>
      </c>
      <c r="D433" s="7" t="s">
        <v>101</v>
      </c>
      <c r="E433" s="7" t="s">
        <v>91</v>
      </c>
      <c r="F433" s="7" t="s">
        <v>142</v>
      </c>
      <c r="G433" s="8" t="b">
        <f aca="false">TRUE()</f>
        <v>1</v>
      </c>
      <c r="H433" s="8" t="b">
        <f aca="false">TRUE()</f>
        <v>1</v>
      </c>
      <c r="I433" s="7" t="str">
        <f aca="false">IF(AND(G433,H433),"PASS_TO_PASS",IF(G433,"PASS_TO_FAIL",IF(H433,"FAIL_TO_PASS","FAIL_TO_FAIL")))</f>
        <v>PASS_TO_PASS</v>
      </c>
    </row>
    <row r="434" customFormat="false" ht="15" hidden="false" customHeight="false" outlineLevel="0" collapsed="false">
      <c r="A434" s="7" t="s">
        <v>82</v>
      </c>
      <c r="B434" s="7" t="s">
        <v>83</v>
      </c>
      <c r="C434" s="7" t="s">
        <v>49</v>
      </c>
      <c r="D434" s="7" t="s">
        <v>101</v>
      </c>
      <c r="E434" s="7" t="s">
        <v>91</v>
      </c>
      <c r="F434" s="7" t="s">
        <v>143</v>
      </c>
      <c r="G434" s="8" t="b">
        <f aca="false">FALSE()</f>
        <v>0</v>
      </c>
      <c r="H434" s="8" t="b">
        <f aca="false">FALSE()</f>
        <v>0</v>
      </c>
      <c r="I434" s="7" t="str">
        <f aca="false">IF(AND(G434,H434),"PASS_TO_PASS",IF(G434,"PASS_TO_FAIL",IF(H434,"FAIL_TO_PASS","FAIL_TO_FAIL")))</f>
        <v>FAIL_TO_FAIL</v>
      </c>
    </row>
    <row r="435" customFormat="false" ht="15" hidden="false" customHeight="false" outlineLevel="0" collapsed="false">
      <c r="A435" s="7" t="s">
        <v>82</v>
      </c>
      <c r="B435" s="7" t="s">
        <v>83</v>
      </c>
      <c r="C435" s="7" t="s">
        <v>49</v>
      </c>
      <c r="D435" s="7" t="s">
        <v>101</v>
      </c>
      <c r="E435" s="7" t="s">
        <v>91</v>
      </c>
      <c r="F435" s="7" t="s">
        <v>144</v>
      </c>
      <c r="G435" s="8" t="b">
        <f aca="false">TRUE()</f>
        <v>1</v>
      </c>
      <c r="H435" s="8" t="b">
        <f aca="false">TRUE()</f>
        <v>1</v>
      </c>
      <c r="I435" s="7" t="str">
        <f aca="false">IF(AND(G435,H435),"PASS_TO_PASS",IF(G435,"PASS_TO_FAIL",IF(H435,"FAIL_TO_PASS","FAIL_TO_FAIL")))</f>
        <v>PASS_TO_PASS</v>
      </c>
    </row>
    <row r="436" customFormat="false" ht="15" hidden="false" customHeight="false" outlineLevel="0" collapsed="false">
      <c r="A436" s="7" t="s">
        <v>82</v>
      </c>
      <c r="B436" s="7" t="s">
        <v>83</v>
      </c>
      <c r="C436" s="7" t="s">
        <v>49</v>
      </c>
      <c r="D436" s="7" t="s">
        <v>101</v>
      </c>
      <c r="E436" s="7" t="s">
        <v>91</v>
      </c>
      <c r="F436" s="7" t="s">
        <v>145</v>
      </c>
      <c r="G436" s="8" t="b">
        <f aca="false">TRUE()</f>
        <v>1</v>
      </c>
      <c r="H436" s="8" t="b">
        <f aca="false">TRUE()</f>
        <v>1</v>
      </c>
      <c r="I436" s="7" t="str">
        <f aca="false">IF(AND(G436,H436),"PASS_TO_PASS",IF(G436,"PASS_TO_FAIL",IF(H436,"FAIL_TO_PASS","FAIL_TO_FAIL")))</f>
        <v>PASS_TO_PASS</v>
      </c>
    </row>
    <row r="437" customFormat="false" ht="15" hidden="false" customHeight="false" outlineLevel="0" collapsed="false">
      <c r="A437" s="7" t="s">
        <v>48</v>
      </c>
      <c r="B437" s="7" t="s">
        <v>10</v>
      </c>
      <c r="C437" s="7" t="s">
        <v>49</v>
      </c>
      <c r="D437" s="7" t="s">
        <v>102</v>
      </c>
      <c r="E437" s="7" t="s">
        <v>91</v>
      </c>
      <c r="F437" s="7" t="s">
        <v>134</v>
      </c>
      <c r="G437" s="8" t="b">
        <f aca="false">TRUE()</f>
        <v>1</v>
      </c>
      <c r="H437" s="8" t="b">
        <f aca="false">TRUE()</f>
        <v>1</v>
      </c>
      <c r="I437" s="7" t="str">
        <f aca="false">IF(AND(G437,H437),"PASS_TO_PASS",IF(G437,"PASS_TO_FAIL",IF(H437,"FAIL_TO_PASS","FAIL_TO_FAIL")))</f>
        <v>PASS_TO_PASS</v>
      </c>
    </row>
    <row r="438" customFormat="false" ht="15" hidden="false" customHeight="false" outlineLevel="0" collapsed="false">
      <c r="A438" s="7" t="s">
        <v>48</v>
      </c>
      <c r="B438" s="7" t="s">
        <v>10</v>
      </c>
      <c r="C438" s="7" t="s">
        <v>49</v>
      </c>
      <c r="D438" s="7" t="s">
        <v>102</v>
      </c>
      <c r="E438" s="7" t="s">
        <v>91</v>
      </c>
      <c r="F438" s="7" t="s">
        <v>135</v>
      </c>
      <c r="G438" s="8" t="b">
        <f aca="false">TRUE()</f>
        <v>1</v>
      </c>
      <c r="H438" s="8" t="b">
        <f aca="false">TRUE()</f>
        <v>1</v>
      </c>
      <c r="I438" s="7" t="str">
        <f aca="false">IF(AND(G438,H438),"PASS_TO_PASS",IF(G438,"PASS_TO_FAIL",IF(H438,"FAIL_TO_PASS","FAIL_TO_FAIL")))</f>
        <v>PASS_TO_PASS</v>
      </c>
    </row>
    <row r="439" customFormat="false" ht="15" hidden="false" customHeight="false" outlineLevel="0" collapsed="false">
      <c r="A439" s="7" t="s">
        <v>48</v>
      </c>
      <c r="B439" s="7" t="s">
        <v>10</v>
      </c>
      <c r="C439" s="7" t="s">
        <v>49</v>
      </c>
      <c r="D439" s="7" t="s">
        <v>102</v>
      </c>
      <c r="E439" s="7" t="s">
        <v>91</v>
      </c>
      <c r="F439" s="7" t="s">
        <v>136</v>
      </c>
      <c r="G439" s="8" t="b">
        <f aca="false">TRUE()</f>
        <v>1</v>
      </c>
      <c r="H439" s="8" t="b">
        <f aca="false">TRUE()</f>
        <v>1</v>
      </c>
      <c r="I439" s="7" t="str">
        <f aca="false">IF(AND(G439,H439),"PASS_TO_PASS",IF(G439,"PASS_TO_FAIL",IF(H439,"FAIL_TO_PASS","FAIL_TO_FAIL")))</f>
        <v>PASS_TO_PASS</v>
      </c>
    </row>
    <row r="440" customFormat="false" ht="15" hidden="false" customHeight="false" outlineLevel="0" collapsed="false">
      <c r="A440" s="7" t="s">
        <v>48</v>
      </c>
      <c r="B440" s="7" t="s">
        <v>10</v>
      </c>
      <c r="C440" s="7" t="s">
        <v>49</v>
      </c>
      <c r="D440" s="7" t="s">
        <v>102</v>
      </c>
      <c r="E440" s="7" t="s">
        <v>91</v>
      </c>
      <c r="F440" s="7" t="s">
        <v>137</v>
      </c>
      <c r="G440" s="8" t="b">
        <f aca="false">TRUE()</f>
        <v>1</v>
      </c>
      <c r="H440" s="8" t="b">
        <f aca="false">TRUE()</f>
        <v>1</v>
      </c>
      <c r="I440" s="7" t="str">
        <f aca="false">IF(AND(G440,H440),"PASS_TO_PASS",IF(G440,"PASS_TO_FAIL",IF(H440,"FAIL_TO_PASS","FAIL_TO_FAIL")))</f>
        <v>PASS_TO_PASS</v>
      </c>
    </row>
    <row r="441" customFormat="false" ht="15" hidden="false" customHeight="false" outlineLevel="0" collapsed="false">
      <c r="A441" s="7" t="s">
        <v>48</v>
      </c>
      <c r="B441" s="7" t="s">
        <v>10</v>
      </c>
      <c r="C441" s="7" t="s">
        <v>49</v>
      </c>
      <c r="D441" s="7" t="s">
        <v>102</v>
      </c>
      <c r="E441" s="7" t="s">
        <v>91</v>
      </c>
      <c r="F441" s="7" t="s">
        <v>138</v>
      </c>
      <c r="G441" s="8" t="b">
        <f aca="false">TRUE()</f>
        <v>1</v>
      </c>
      <c r="H441" s="8" t="b">
        <f aca="false">TRUE()</f>
        <v>1</v>
      </c>
      <c r="I441" s="7" t="str">
        <f aca="false">IF(AND(G441,H441),"PASS_TO_PASS",IF(G441,"PASS_TO_FAIL",IF(H441,"FAIL_TO_PASS","FAIL_TO_FAIL")))</f>
        <v>PASS_TO_PASS</v>
      </c>
    </row>
    <row r="442" customFormat="false" ht="15" hidden="false" customHeight="false" outlineLevel="0" collapsed="false">
      <c r="A442" s="7" t="s">
        <v>48</v>
      </c>
      <c r="B442" s="7" t="s">
        <v>10</v>
      </c>
      <c r="C442" s="7" t="s">
        <v>49</v>
      </c>
      <c r="D442" s="7" t="s">
        <v>102</v>
      </c>
      <c r="E442" s="7" t="s">
        <v>91</v>
      </c>
      <c r="F442" s="7" t="s">
        <v>139</v>
      </c>
      <c r="G442" s="8" t="b">
        <f aca="false">TRUE()</f>
        <v>1</v>
      </c>
      <c r="H442" s="8" t="b">
        <f aca="false">TRUE()</f>
        <v>1</v>
      </c>
      <c r="I442" s="7" t="str">
        <f aca="false">IF(AND(G442,H442),"PASS_TO_PASS",IF(G442,"PASS_TO_FAIL",IF(H442,"FAIL_TO_PASS","FAIL_TO_FAIL")))</f>
        <v>PASS_TO_PASS</v>
      </c>
    </row>
    <row r="443" customFormat="false" ht="15" hidden="false" customHeight="false" outlineLevel="0" collapsed="false">
      <c r="A443" s="7" t="s">
        <v>48</v>
      </c>
      <c r="B443" s="7" t="s">
        <v>10</v>
      </c>
      <c r="C443" s="7" t="s">
        <v>49</v>
      </c>
      <c r="D443" s="7" t="s">
        <v>102</v>
      </c>
      <c r="E443" s="7" t="s">
        <v>91</v>
      </c>
      <c r="F443" s="7" t="s">
        <v>140</v>
      </c>
      <c r="G443" s="8" t="b">
        <f aca="false">FALSE()</f>
        <v>0</v>
      </c>
      <c r="H443" s="8" t="b">
        <f aca="false">TRUE()</f>
        <v>1</v>
      </c>
      <c r="I443" s="7" t="str">
        <f aca="false">IF(AND(G443,H443),"PASS_TO_PASS",IF(G443,"PASS_TO_FAIL",IF(H443,"FAIL_TO_PASS","FAIL_TO_FAIL")))</f>
        <v>FAIL_TO_PASS</v>
      </c>
    </row>
    <row r="444" customFormat="false" ht="15" hidden="false" customHeight="false" outlineLevel="0" collapsed="false">
      <c r="A444" s="7" t="s">
        <v>48</v>
      </c>
      <c r="B444" s="7" t="s">
        <v>10</v>
      </c>
      <c r="C444" s="7" t="s">
        <v>49</v>
      </c>
      <c r="D444" s="7" t="s">
        <v>102</v>
      </c>
      <c r="E444" s="7" t="s">
        <v>91</v>
      </c>
      <c r="F444" s="7" t="s">
        <v>141</v>
      </c>
      <c r="G444" s="8" t="b">
        <f aca="false">TRUE()</f>
        <v>1</v>
      </c>
      <c r="H444" s="8" t="b">
        <f aca="false">TRUE()</f>
        <v>1</v>
      </c>
      <c r="I444" s="7" t="str">
        <f aca="false">IF(AND(G444,H444),"PASS_TO_PASS",IF(G444,"PASS_TO_FAIL",IF(H444,"FAIL_TO_PASS","FAIL_TO_FAIL")))</f>
        <v>PASS_TO_PASS</v>
      </c>
    </row>
    <row r="445" customFormat="false" ht="15" hidden="false" customHeight="false" outlineLevel="0" collapsed="false">
      <c r="A445" s="7" t="s">
        <v>48</v>
      </c>
      <c r="B445" s="7" t="s">
        <v>10</v>
      </c>
      <c r="C445" s="7" t="s">
        <v>49</v>
      </c>
      <c r="D445" s="7" t="s">
        <v>102</v>
      </c>
      <c r="E445" s="7" t="s">
        <v>91</v>
      </c>
      <c r="F445" s="7" t="s">
        <v>142</v>
      </c>
      <c r="G445" s="8" t="b">
        <f aca="false">FALSE()</f>
        <v>0</v>
      </c>
      <c r="H445" s="8" t="b">
        <f aca="false">TRUE()</f>
        <v>1</v>
      </c>
      <c r="I445" s="7" t="str">
        <f aca="false">IF(AND(G445,H445),"PASS_TO_PASS",IF(G445,"PASS_TO_FAIL",IF(H445,"FAIL_TO_PASS","FAIL_TO_FAIL")))</f>
        <v>FAIL_TO_PASS</v>
      </c>
    </row>
    <row r="446" customFormat="false" ht="15" hidden="false" customHeight="false" outlineLevel="0" collapsed="false">
      <c r="A446" s="7" t="s">
        <v>48</v>
      </c>
      <c r="B446" s="7" t="s">
        <v>10</v>
      </c>
      <c r="C446" s="7" t="s">
        <v>49</v>
      </c>
      <c r="D446" s="7" t="s">
        <v>102</v>
      </c>
      <c r="E446" s="7" t="s">
        <v>91</v>
      </c>
      <c r="F446" s="7" t="s">
        <v>143</v>
      </c>
      <c r="G446" s="8" t="b">
        <f aca="false">FALSE()</f>
        <v>0</v>
      </c>
      <c r="H446" s="8" t="b">
        <f aca="false">FALSE()</f>
        <v>0</v>
      </c>
      <c r="I446" s="7" t="str">
        <f aca="false">IF(AND(G446,H446),"PASS_TO_PASS",IF(G446,"PASS_TO_FAIL",IF(H446,"FAIL_TO_PASS","FAIL_TO_FAIL")))</f>
        <v>FAIL_TO_FAIL</v>
      </c>
    </row>
    <row r="447" customFormat="false" ht="15" hidden="false" customHeight="false" outlineLevel="0" collapsed="false">
      <c r="A447" s="7" t="s">
        <v>48</v>
      </c>
      <c r="B447" s="7" t="s">
        <v>10</v>
      </c>
      <c r="C447" s="7" t="s">
        <v>49</v>
      </c>
      <c r="D447" s="7" t="s">
        <v>102</v>
      </c>
      <c r="E447" s="7" t="s">
        <v>91</v>
      </c>
      <c r="F447" s="7" t="s">
        <v>144</v>
      </c>
      <c r="G447" s="8" t="b">
        <f aca="false">TRUE()</f>
        <v>1</v>
      </c>
      <c r="H447" s="8" t="b">
        <f aca="false">TRUE()</f>
        <v>1</v>
      </c>
      <c r="I447" s="7" t="str">
        <f aca="false">IF(AND(G447,H447),"PASS_TO_PASS",IF(G447,"PASS_TO_FAIL",IF(H447,"FAIL_TO_PASS","FAIL_TO_FAIL")))</f>
        <v>PASS_TO_PASS</v>
      </c>
    </row>
    <row r="448" customFormat="false" ht="15" hidden="false" customHeight="false" outlineLevel="0" collapsed="false">
      <c r="A448" s="7" t="s">
        <v>48</v>
      </c>
      <c r="B448" s="7" t="s">
        <v>10</v>
      </c>
      <c r="C448" s="7" t="s">
        <v>49</v>
      </c>
      <c r="D448" s="7" t="s">
        <v>102</v>
      </c>
      <c r="E448" s="7" t="s">
        <v>91</v>
      </c>
      <c r="F448" s="7" t="s">
        <v>145</v>
      </c>
      <c r="G448" s="8" t="b">
        <f aca="false">TRUE()</f>
        <v>1</v>
      </c>
      <c r="H448" s="8" t="b">
        <f aca="false">TRUE()</f>
        <v>1</v>
      </c>
      <c r="I448" s="7" t="str">
        <f aca="false">IF(AND(G448,H448),"PASS_TO_PASS",IF(G448,"PASS_TO_FAIL",IF(H448,"FAIL_TO_PASS","FAIL_TO_FAIL")))</f>
        <v>PASS_TO_PASS</v>
      </c>
    </row>
    <row r="449" customFormat="false" ht="15" hidden="false" customHeight="false" outlineLevel="0" collapsed="false">
      <c r="A449" s="7" t="s">
        <v>82</v>
      </c>
      <c r="B449" s="7" t="s">
        <v>83</v>
      </c>
      <c r="C449" s="7" t="s">
        <v>49</v>
      </c>
      <c r="D449" s="7" t="s">
        <v>102</v>
      </c>
      <c r="E449" s="7" t="s">
        <v>91</v>
      </c>
      <c r="F449" s="7" t="s">
        <v>134</v>
      </c>
      <c r="G449" s="8" t="b">
        <f aca="false">TRUE()</f>
        <v>1</v>
      </c>
      <c r="H449" s="8" t="b">
        <f aca="false">TRUE()</f>
        <v>1</v>
      </c>
      <c r="I449" s="7" t="str">
        <f aca="false">IF(AND(G449,H449),"PASS_TO_PASS",IF(G449,"PASS_TO_FAIL",IF(H449,"FAIL_TO_PASS","FAIL_TO_FAIL")))</f>
        <v>PASS_TO_PASS</v>
      </c>
    </row>
    <row r="450" customFormat="false" ht="15" hidden="false" customHeight="false" outlineLevel="0" collapsed="false">
      <c r="A450" s="7" t="s">
        <v>82</v>
      </c>
      <c r="B450" s="7" t="s">
        <v>83</v>
      </c>
      <c r="C450" s="7" t="s">
        <v>49</v>
      </c>
      <c r="D450" s="7" t="s">
        <v>102</v>
      </c>
      <c r="E450" s="7" t="s">
        <v>91</v>
      </c>
      <c r="F450" s="7" t="s">
        <v>135</v>
      </c>
      <c r="G450" s="8" t="b">
        <f aca="false">TRUE()</f>
        <v>1</v>
      </c>
      <c r="H450" s="8" t="b">
        <f aca="false">TRUE()</f>
        <v>1</v>
      </c>
      <c r="I450" s="7" t="str">
        <f aca="false">IF(AND(G450,H450),"PASS_TO_PASS",IF(G450,"PASS_TO_FAIL",IF(H450,"FAIL_TO_PASS","FAIL_TO_FAIL")))</f>
        <v>PASS_TO_PASS</v>
      </c>
    </row>
    <row r="451" customFormat="false" ht="15" hidden="false" customHeight="false" outlineLevel="0" collapsed="false">
      <c r="A451" s="7" t="s">
        <v>82</v>
      </c>
      <c r="B451" s="7" t="s">
        <v>83</v>
      </c>
      <c r="C451" s="7" t="s">
        <v>49</v>
      </c>
      <c r="D451" s="7" t="s">
        <v>102</v>
      </c>
      <c r="E451" s="7" t="s">
        <v>91</v>
      </c>
      <c r="F451" s="7" t="s">
        <v>136</v>
      </c>
      <c r="G451" s="8" t="b">
        <f aca="false">TRUE()</f>
        <v>1</v>
      </c>
      <c r="H451" s="8" t="b">
        <f aca="false">TRUE()</f>
        <v>1</v>
      </c>
      <c r="I451" s="7" t="str">
        <f aca="false">IF(AND(G451,H451),"PASS_TO_PASS",IF(G451,"PASS_TO_FAIL",IF(H451,"FAIL_TO_PASS","FAIL_TO_FAIL")))</f>
        <v>PASS_TO_PASS</v>
      </c>
    </row>
    <row r="452" customFormat="false" ht="15" hidden="false" customHeight="false" outlineLevel="0" collapsed="false">
      <c r="A452" s="7" t="s">
        <v>82</v>
      </c>
      <c r="B452" s="7" t="s">
        <v>83</v>
      </c>
      <c r="C452" s="7" t="s">
        <v>49</v>
      </c>
      <c r="D452" s="7" t="s">
        <v>102</v>
      </c>
      <c r="E452" s="7" t="s">
        <v>91</v>
      </c>
      <c r="F452" s="7" t="s">
        <v>137</v>
      </c>
      <c r="G452" s="8" t="b">
        <f aca="false">TRUE()</f>
        <v>1</v>
      </c>
      <c r="H452" s="8" t="b">
        <f aca="false">TRUE()</f>
        <v>1</v>
      </c>
      <c r="I452" s="7" t="str">
        <f aca="false">IF(AND(G452,H452),"PASS_TO_PASS",IF(G452,"PASS_TO_FAIL",IF(H452,"FAIL_TO_PASS","FAIL_TO_FAIL")))</f>
        <v>PASS_TO_PASS</v>
      </c>
    </row>
    <row r="453" customFormat="false" ht="15" hidden="false" customHeight="false" outlineLevel="0" collapsed="false">
      <c r="A453" s="7" t="s">
        <v>82</v>
      </c>
      <c r="B453" s="7" t="s">
        <v>83</v>
      </c>
      <c r="C453" s="7" t="s">
        <v>49</v>
      </c>
      <c r="D453" s="7" t="s">
        <v>102</v>
      </c>
      <c r="E453" s="7" t="s">
        <v>91</v>
      </c>
      <c r="F453" s="7" t="s">
        <v>138</v>
      </c>
      <c r="G453" s="8" t="b">
        <f aca="false">TRUE()</f>
        <v>1</v>
      </c>
      <c r="H453" s="8" t="b">
        <f aca="false">TRUE()</f>
        <v>1</v>
      </c>
      <c r="I453" s="7" t="str">
        <f aca="false">IF(AND(G453,H453),"PASS_TO_PASS",IF(G453,"PASS_TO_FAIL",IF(H453,"FAIL_TO_PASS","FAIL_TO_FAIL")))</f>
        <v>PASS_TO_PASS</v>
      </c>
    </row>
    <row r="454" customFormat="false" ht="15" hidden="false" customHeight="false" outlineLevel="0" collapsed="false">
      <c r="A454" s="7" t="s">
        <v>82</v>
      </c>
      <c r="B454" s="7" t="s">
        <v>83</v>
      </c>
      <c r="C454" s="7" t="s">
        <v>49</v>
      </c>
      <c r="D454" s="7" t="s">
        <v>102</v>
      </c>
      <c r="E454" s="7" t="s">
        <v>91</v>
      </c>
      <c r="F454" s="7" t="s">
        <v>139</v>
      </c>
      <c r="G454" s="8" t="b">
        <f aca="false">TRUE()</f>
        <v>1</v>
      </c>
      <c r="H454" s="8" t="b">
        <f aca="false">TRUE()</f>
        <v>1</v>
      </c>
      <c r="I454" s="7" t="str">
        <f aca="false">IF(AND(G454,H454),"PASS_TO_PASS",IF(G454,"PASS_TO_FAIL",IF(H454,"FAIL_TO_PASS","FAIL_TO_FAIL")))</f>
        <v>PASS_TO_PASS</v>
      </c>
    </row>
    <row r="455" customFormat="false" ht="15" hidden="false" customHeight="false" outlineLevel="0" collapsed="false">
      <c r="A455" s="7" t="s">
        <v>82</v>
      </c>
      <c r="B455" s="7" t="s">
        <v>83</v>
      </c>
      <c r="C455" s="7" t="s">
        <v>49</v>
      </c>
      <c r="D455" s="7" t="s">
        <v>102</v>
      </c>
      <c r="E455" s="7" t="s">
        <v>91</v>
      </c>
      <c r="F455" s="7" t="s">
        <v>140</v>
      </c>
      <c r="G455" s="8" t="b">
        <f aca="false">FALSE()</f>
        <v>0</v>
      </c>
      <c r="H455" s="8" t="b">
        <f aca="false">TRUE()</f>
        <v>1</v>
      </c>
      <c r="I455" s="7" t="str">
        <f aca="false">IF(AND(G455,H455),"PASS_TO_PASS",IF(G455,"PASS_TO_FAIL",IF(H455,"FAIL_TO_PASS","FAIL_TO_FAIL")))</f>
        <v>FAIL_TO_PASS</v>
      </c>
    </row>
    <row r="456" customFormat="false" ht="15" hidden="false" customHeight="false" outlineLevel="0" collapsed="false">
      <c r="A456" s="7" t="s">
        <v>82</v>
      </c>
      <c r="B456" s="7" t="s">
        <v>83</v>
      </c>
      <c r="C456" s="7" t="s">
        <v>49</v>
      </c>
      <c r="D456" s="7" t="s">
        <v>102</v>
      </c>
      <c r="E456" s="7" t="s">
        <v>91</v>
      </c>
      <c r="F456" s="7" t="s">
        <v>141</v>
      </c>
      <c r="G456" s="8" t="b">
        <f aca="false">TRUE()</f>
        <v>1</v>
      </c>
      <c r="H456" s="8" t="b">
        <f aca="false">TRUE()</f>
        <v>1</v>
      </c>
      <c r="I456" s="7" t="str">
        <f aca="false">IF(AND(G456,H456),"PASS_TO_PASS",IF(G456,"PASS_TO_FAIL",IF(H456,"FAIL_TO_PASS","FAIL_TO_FAIL")))</f>
        <v>PASS_TO_PASS</v>
      </c>
    </row>
    <row r="457" customFormat="false" ht="15" hidden="false" customHeight="false" outlineLevel="0" collapsed="false">
      <c r="A457" s="7" t="s">
        <v>82</v>
      </c>
      <c r="B457" s="7" t="s">
        <v>83</v>
      </c>
      <c r="C457" s="7" t="s">
        <v>49</v>
      </c>
      <c r="D457" s="7" t="s">
        <v>102</v>
      </c>
      <c r="E457" s="7" t="s">
        <v>91</v>
      </c>
      <c r="F457" s="7" t="s">
        <v>142</v>
      </c>
      <c r="G457" s="8" t="b">
        <f aca="false">TRUE()</f>
        <v>1</v>
      </c>
      <c r="H457" s="8" t="b">
        <f aca="false">TRUE()</f>
        <v>1</v>
      </c>
      <c r="I457" s="7" t="str">
        <f aca="false">IF(AND(G457,H457),"PASS_TO_PASS",IF(G457,"PASS_TO_FAIL",IF(H457,"FAIL_TO_PASS","FAIL_TO_FAIL")))</f>
        <v>PASS_TO_PASS</v>
      </c>
    </row>
    <row r="458" customFormat="false" ht="15" hidden="false" customHeight="false" outlineLevel="0" collapsed="false">
      <c r="A458" s="7" t="s">
        <v>82</v>
      </c>
      <c r="B458" s="7" t="s">
        <v>83</v>
      </c>
      <c r="C458" s="7" t="s">
        <v>49</v>
      </c>
      <c r="D458" s="7" t="s">
        <v>102</v>
      </c>
      <c r="E458" s="7" t="s">
        <v>91</v>
      </c>
      <c r="F458" s="7" t="s">
        <v>143</v>
      </c>
      <c r="G458" s="8" t="b">
        <f aca="false">TRUE()</f>
        <v>1</v>
      </c>
      <c r="H458" s="8" t="b">
        <f aca="false">FALSE()</f>
        <v>0</v>
      </c>
      <c r="I458" s="7" t="str">
        <f aca="false">IF(AND(G458,H458),"PASS_TO_PASS",IF(G458,"PASS_TO_FAIL",IF(H458,"FAIL_TO_PASS","FAIL_TO_FAIL")))</f>
        <v>PASS_TO_FAIL</v>
      </c>
    </row>
    <row r="459" customFormat="false" ht="15" hidden="false" customHeight="false" outlineLevel="0" collapsed="false">
      <c r="A459" s="7" t="s">
        <v>82</v>
      </c>
      <c r="B459" s="7" t="s">
        <v>83</v>
      </c>
      <c r="C459" s="7" t="s">
        <v>49</v>
      </c>
      <c r="D459" s="7" t="s">
        <v>102</v>
      </c>
      <c r="E459" s="7" t="s">
        <v>91</v>
      </c>
      <c r="F459" s="7" t="s">
        <v>144</v>
      </c>
      <c r="G459" s="8" t="b">
        <f aca="false">TRUE()</f>
        <v>1</v>
      </c>
      <c r="H459" s="8" t="b">
        <f aca="false">TRUE()</f>
        <v>1</v>
      </c>
      <c r="I459" s="7" t="str">
        <f aca="false">IF(AND(G459,H459),"PASS_TO_PASS",IF(G459,"PASS_TO_FAIL",IF(H459,"FAIL_TO_PASS","FAIL_TO_FAIL")))</f>
        <v>PASS_TO_PASS</v>
      </c>
    </row>
    <row r="460" customFormat="false" ht="15" hidden="false" customHeight="false" outlineLevel="0" collapsed="false">
      <c r="A460" s="7" t="s">
        <v>82</v>
      </c>
      <c r="B460" s="7" t="s">
        <v>83</v>
      </c>
      <c r="C460" s="7" t="s">
        <v>49</v>
      </c>
      <c r="D460" s="7" t="s">
        <v>102</v>
      </c>
      <c r="E460" s="7" t="s">
        <v>91</v>
      </c>
      <c r="F460" s="7" t="s">
        <v>145</v>
      </c>
      <c r="G460" s="8" t="b">
        <f aca="false">FALSE()</f>
        <v>0</v>
      </c>
      <c r="H460" s="8" t="b">
        <f aca="false">TRUE()</f>
        <v>1</v>
      </c>
      <c r="I460" s="7" t="str">
        <f aca="false">IF(AND(G460,H460),"PASS_TO_PASS",IF(G460,"PASS_TO_FAIL",IF(H460,"FAIL_TO_PASS","FAIL_TO_FAIL")))</f>
        <v>FAIL_TO_PASS</v>
      </c>
    </row>
    <row r="461" customFormat="false" ht="15" hidden="false" customHeight="false" outlineLevel="0" collapsed="false">
      <c r="A461" s="7" t="s">
        <v>48</v>
      </c>
      <c r="B461" s="7" t="s">
        <v>10</v>
      </c>
      <c r="C461" s="7" t="s">
        <v>49</v>
      </c>
      <c r="D461" s="7" t="s">
        <v>103</v>
      </c>
      <c r="E461" s="7" t="s">
        <v>91</v>
      </c>
      <c r="F461" s="7" t="s">
        <v>134</v>
      </c>
      <c r="G461" s="8" t="b">
        <f aca="false">TRUE()</f>
        <v>1</v>
      </c>
      <c r="H461" s="8" t="b">
        <f aca="false">TRUE()</f>
        <v>1</v>
      </c>
      <c r="I461" s="7" t="str">
        <f aca="false">IF(AND(G461,H461),"PASS_TO_PASS",IF(G461,"PASS_TO_FAIL",IF(H461,"FAIL_TO_PASS","FAIL_TO_FAIL")))</f>
        <v>PASS_TO_PASS</v>
      </c>
    </row>
    <row r="462" customFormat="false" ht="15" hidden="false" customHeight="false" outlineLevel="0" collapsed="false">
      <c r="A462" s="7" t="s">
        <v>48</v>
      </c>
      <c r="B462" s="7" t="s">
        <v>10</v>
      </c>
      <c r="C462" s="7" t="s">
        <v>49</v>
      </c>
      <c r="D462" s="7" t="s">
        <v>103</v>
      </c>
      <c r="E462" s="7" t="s">
        <v>91</v>
      </c>
      <c r="F462" s="7" t="s">
        <v>135</v>
      </c>
      <c r="G462" s="8" t="b">
        <f aca="false">TRUE()</f>
        <v>1</v>
      </c>
      <c r="H462" s="8" t="b">
        <f aca="false">TRUE()</f>
        <v>1</v>
      </c>
      <c r="I462" s="7" t="str">
        <f aca="false">IF(AND(G462,H462),"PASS_TO_PASS",IF(G462,"PASS_TO_FAIL",IF(H462,"FAIL_TO_PASS","FAIL_TO_FAIL")))</f>
        <v>PASS_TO_PASS</v>
      </c>
    </row>
    <row r="463" customFormat="false" ht="15" hidden="false" customHeight="false" outlineLevel="0" collapsed="false">
      <c r="A463" s="7" t="s">
        <v>48</v>
      </c>
      <c r="B463" s="7" t="s">
        <v>10</v>
      </c>
      <c r="C463" s="7" t="s">
        <v>49</v>
      </c>
      <c r="D463" s="7" t="s">
        <v>103</v>
      </c>
      <c r="E463" s="7" t="s">
        <v>91</v>
      </c>
      <c r="F463" s="7" t="s">
        <v>136</v>
      </c>
      <c r="G463" s="8" t="b">
        <f aca="false">TRUE()</f>
        <v>1</v>
      </c>
      <c r="H463" s="8" t="b">
        <f aca="false">TRUE()</f>
        <v>1</v>
      </c>
      <c r="I463" s="7" t="str">
        <f aca="false">IF(AND(G463,H463),"PASS_TO_PASS",IF(G463,"PASS_TO_FAIL",IF(H463,"FAIL_TO_PASS","FAIL_TO_FAIL")))</f>
        <v>PASS_TO_PASS</v>
      </c>
    </row>
    <row r="464" customFormat="false" ht="15" hidden="false" customHeight="false" outlineLevel="0" collapsed="false">
      <c r="A464" s="7" t="s">
        <v>48</v>
      </c>
      <c r="B464" s="7" t="s">
        <v>10</v>
      </c>
      <c r="C464" s="7" t="s">
        <v>49</v>
      </c>
      <c r="D464" s="7" t="s">
        <v>103</v>
      </c>
      <c r="E464" s="7" t="s">
        <v>91</v>
      </c>
      <c r="F464" s="7" t="s">
        <v>137</v>
      </c>
      <c r="G464" s="8" t="b">
        <f aca="false">TRUE()</f>
        <v>1</v>
      </c>
      <c r="H464" s="8" t="b">
        <f aca="false">TRUE()</f>
        <v>1</v>
      </c>
      <c r="I464" s="7" t="str">
        <f aca="false">IF(AND(G464,H464),"PASS_TO_PASS",IF(G464,"PASS_TO_FAIL",IF(H464,"FAIL_TO_PASS","FAIL_TO_FAIL")))</f>
        <v>PASS_TO_PASS</v>
      </c>
    </row>
    <row r="465" customFormat="false" ht="15" hidden="false" customHeight="false" outlineLevel="0" collapsed="false">
      <c r="A465" s="7" t="s">
        <v>48</v>
      </c>
      <c r="B465" s="7" t="s">
        <v>10</v>
      </c>
      <c r="C465" s="7" t="s">
        <v>49</v>
      </c>
      <c r="D465" s="7" t="s">
        <v>103</v>
      </c>
      <c r="E465" s="7" t="s">
        <v>91</v>
      </c>
      <c r="F465" s="7" t="s">
        <v>138</v>
      </c>
      <c r="G465" s="8" t="b">
        <f aca="false">TRUE()</f>
        <v>1</v>
      </c>
      <c r="H465" s="8" t="b">
        <f aca="false">TRUE()</f>
        <v>1</v>
      </c>
      <c r="I465" s="7" t="str">
        <f aca="false">IF(AND(G465,H465),"PASS_TO_PASS",IF(G465,"PASS_TO_FAIL",IF(H465,"FAIL_TO_PASS","FAIL_TO_FAIL")))</f>
        <v>PASS_TO_PASS</v>
      </c>
    </row>
    <row r="466" customFormat="false" ht="15" hidden="false" customHeight="false" outlineLevel="0" collapsed="false">
      <c r="A466" s="7" t="s">
        <v>48</v>
      </c>
      <c r="B466" s="7" t="s">
        <v>10</v>
      </c>
      <c r="C466" s="7" t="s">
        <v>49</v>
      </c>
      <c r="D466" s="7" t="s">
        <v>103</v>
      </c>
      <c r="E466" s="7" t="s">
        <v>91</v>
      </c>
      <c r="F466" s="7" t="s">
        <v>139</v>
      </c>
      <c r="G466" s="8" t="b">
        <f aca="false">TRUE()</f>
        <v>1</v>
      </c>
      <c r="H466" s="8" t="b">
        <f aca="false">TRUE()</f>
        <v>1</v>
      </c>
      <c r="I466" s="7" t="str">
        <f aca="false">IF(AND(G466,H466),"PASS_TO_PASS",IF(G466,"PASS_TO_FAIL",IF(H466,"FAIL_TO_PASS","FAIL_TO_FAIL")))</f>
        <v>PASS_TO_PASS</v>
      </c>
    </row>
    <row r="467" customFormat="false" ht="15" hidden="false" customHeight="false" outlineLevel="0" collapsed="false">
      <c r="A467" s="7" t="s">
        <v>48</v>
      </c>
      <c r="B467" s="7" t="s">
        <v>10</v>
      </c>
      <c r="C467" s="7" t="s">
        <v>49</v>
      </c>
      <c r="D467" s="7" t="s">
        <v>103</v>
      </c>
      <c r="E467" s="7" t="s">
        <v>91</v>
      </c>
      <c r="F467" s="7" t="s">
        <v>140</v>
      </c>
      <c r="G467" s="8" t="b">
        <f aca="false">TRUE()</f>
        <v>1</v>
      </c>
      <c r="H467" s="8" t="b">
        <f aca="false">TRUE()</f>
        <v>1</v>
      </c>
      <c r="I467" s="7" t="str">
        <f aca="false">IF(AND(G467,H467),"PASS_TO_PASS",IF(G467,"PASS_TO_FAIL",IF(H467,"FAIL_TO_PASS","FAIL_TO_FAIL")))</f>
        <v>PASS_TO_PASS</v>
      </c>
    </row>
    <row r="468" customFormat="false" ht="15" hidden="false" customHeight="false" outlineLevel="0" collapsed="false">
      <c r="A468" s="7" t="s">
        <v>48</v>
      </c>
      <c r="B468" s="7" t="s">
        <v>10</v>
      </c>
      <c r="C468" s="7" t="s">
        <v>49</v>
      </c>
      <c r="D468" s="7" t="s">
        <v>103</v>
      </c>
      <c r="E468" s="7" t="s">
        <v>91</v>
      </c>
      <c r="F468" s="7" t="s">
        <v>141</v>
      </c>
      <c r="G468" s="8" t="b">
        <f aca="false">TRUE()</f>
        <v>1</v>
      </c>
      <c r="H468" s="8" t="b">
        <f aca="false">TRUE()</f>
        <v>1</v>
      </c>
      <c r="I468" s="7" t="str">
        <f aca="false">IF(AND(G468,H468),"PASS_TO_PASS",IF(G468,"PASS_TO_FAIL",IF(H468,"FAIL_TO_PASS","FAIL_TO_FAIL")))</f>
        <v>PASS_TO_PASS</v>
      </c>
    </row>
    <row r="469" customFormat="false" ht="15" hidden="false" customHeight="false" outlineLevel="0" collapsed="false">
      <c r="A469" s="7" t="s">
        <v>48</v>
      </c>
      <c r="B469" s="7" t="s">
        <v>10</v>
      </c>
      <c r="C469" s="7" t="s">
        <v>49</v>
      </c>
      <c r="D469" s="7" t="s">
        <v>103</v>
      </c>
      <c r="E469" s="7" t="s">
        <v>91</v>
      </c>
      <c r="F469" s="7" t="s">
        <v>142</v>
      </c>
      <c r="G469" s="8" t="b">
        <f aca="false">TRUE()</f>
        <v>1</v>
      </c>
      <c r="H469" s="8" t="b">
        <f aca="false">TRUE()</f>
        <v>1</v>
      </c>
      <c r="I469" s="7" t="str">
        <f aca="false">IF(AND(G469,H469),"PASS_TO_PASS",IF(G469,"PASS_TO_FAIL",IF(H469,"FAIL_TO_PASS","FAIL_TO_FAIL")))</f>
        <v>PASS_TO_PASS</v>
      </c>
    </row>
    <row r="470" customFormat="false" ht="15" hidden="false" customHeight="false" outlineLevel="0" collapsed="false">
      <c r="A470" s="7" t="s">
        <v>48</v>
      </c>
      <c r="B470" s="7" t="s">
        <v>10</v>
      </c>
      <c r="C470" s="7" t="s">
        <v>49</v>
      </c>
      <c r="D470" s="7" t="s">
        <v>103</v>
      </c>
      <c r="E470" s="7" t="s">
        <v>91</v>
      </c>
      <c r="F470" s="7" t="s">
        <v>143</v>
      </c>
      <c r="G470" s="8" t="b">
        <f aca="false">TRUE()</f>
        <v>1</v>
      </c>
      <c r="H470" s="8" t="b">
        <f aca="false">TRUE()</f>
        <v>1</v>
      </c>
      <c r="I470" s="7" t="str">
        <f aca="false">IF(AND(G470,H470),"PASS_TO_PASS",IF(G470,"PASS_TO_FAIL",IF(H470,"FAIL_TO_PASS","FAIL_TO_FAIL")))</f>
        <v>PASS_TO_PASS</v>
      </c>
    </row>
    <row r="471" customFormat="false" ht="15" hidden="false" customHeight="false" outlineLevel="0" collapsed="false">
      <c r="A471" s="7" t="s">
        <v>48</v>
      </c>
      <c r="B471" s="7" t="s">
        <v>10</v>
      </c>
      <c r="C471" s="7" t="s">
        <v>49</v>
      </c>
      <c r="D471" s="7" t="s">
        <v>103</v>
      </c>
      <c r="E471" s="7" t="s">
        <v>91</v>
      </c>
      <c r="F471" s="7" t="s">
        <v>144</v>
      </c>
      <c r="G471" s="8" t="b">
        <f aca="false">TRUE()</f>
        <v>1</v>
      </c>
      <c r="H471" s="8" t="b">
        <f aca="false">TRUE()</f>
        <v>1</v>
      </c>
      <c r="I471" s="7" t="str">
        <f aca="false">IF(AND(G471,H471),"PASS_TO_PASS",IF(G471,"PASS_TO_FAIL",IF(H471,"FAIL_TO_PASS","FAIL_TO_FAIL")))</f>
        <v>PASS_TO_PASS</v>
      </c>
    </row>
    <row r="472" customFormat="false" ht="15" hidden="false" customHeight="false" outlineLevel="0" collapsed="false">
      <c r="A472" s="7" t="s">
        <v>48</v>
      </c>
      <c r="B472" s="7" t="s">
        <v>10</v>
      </c>
      <c r="C472" s="7" t="s">
        <v>49</v>
      </c>
      <c r="D472" s="7" t="s">
        <v>103</v>
      </c>
      <c r="E472" s="7" t="s">
        <v>91</v>
      </c>
      <c r="F472" s="7" t="s">
        <v>145</v>
      </c>
      <c r="G472" s="8" t="b">
        <f aca="false">TRUE()</f>
        <v>1</v>
      </c>
      <c r="H472" s="8" t="b">
        <f aca="false">TRUE()</f>
        <v>1</v>
      </c>
      <c r="I472" s="7" t="str">
        <f aca="false">IF(AND(G472,H472),"PASS_TO_PASS",IF(G472,"PASS_TO_FAIL",IF(H472,"FAIL_TO_PASS","FAIL_TO_FAIL")))</f>
        <v>PASS_TO_PASS</v>
      </c>
    </row>
    <row r="473" customFormat="false" ht="15" hidden="false" customHeight="false" outlineLevel="0" collapsed="false">
      <c r="A473" s="7" t="s">
        <v>82</v>
      </c>
      <c r="B473" s="7" t="s">
        <v>83</v>
      </c>
      <c r="C473" s="7" t="s">
        <v>49</v>
      </c>
      <c r="D473" s="7" t="s">
        <v>103</v>
      </c>
      <c r="E473" s="7" t="s">
        <v>91</v>
      </c>
      <c r="F473" s="7" t="s">
        <v>134</v>
      </c>
      <c r="G473" s="8" t="b">
        <f aca="false">TRUE()</f>
        <v>1</v>
      </c>
      <c r="H473" s="8" t="b">
        <f aca="false">TRUE()</f>
        <v>1</v>
      </c>
      <c r="I473" s="7" t="str">
        <f aca="false">IF(AND(G473,H473),"PASS_TO_PASS",IF(G473,"PASS_TO_FAIL",IF(H473,"FAIL_TO_PASS","FAIL_TO_FAIL")))</f>
        <v>PASS_TO_PASS</v>
      </c>
    </row>
    <row r="474" customFormat="false" ht="15" hidden="false" customHeight="false" outlineLevel="0" collapsed="false">
      <c r="A474" s="7" t="s">
        <v>82</v>
      </c>
      <c r="B474" s="7" t="s">
        <v>83</v>
      </c>
      <c r="C474" s="7" t="s">
        <v>49</v>
      </c>
      <c r="D474" s="7" t="s">
        <v>103</v>
      </c>
      <c r="E474" s="7" t="s">
        <v>91</v>
      </c>
      <c r="F474" s="7" t="s">
        <v>135</v>
      </c>
      <c r="G474" s="8" t="b">
        <f aca="false">TRUE()</f>
        <v>1</v>
      </c>
      <c r="H474" s="8" t="b">
        <f aca="false">TRUE()</f>
        <v>1</v>
      </c>
      <c r="I474" s="7" t="str">
        <f aca="false">IF(AND(G474,H474),"PASS_TO_PASS",IF(G474,"PASS_TO_FAIL",IF(H474,"FAIL_TO_PASS","FAIL_TO_FAIL")))</f>
        <v>PASS_TO_PASS</v>
      </c>
    </row>
    <row r="475" customFormat="false" ht="15" hidden="false" customHeight="false" outlineLevel="0" collapsed="false">
      <c r="A475" s="7" t="s">
        <v>82</v>
      </c>
      <c r="B475" s="7" t="s">
        <v>83</v>
      </c>
      <c r="C475" s="7" t="s">
        <v>49</v>
      </c>
      <c r="D475" s="7" t="s">
        <v>103</v>
      </c>
      <c r="E475" s="7" t="s">
        <v>91</v>
      </c>
      <c r="F475" s="7" t="s">
        <v>136</v>
      </c>
      <c r="G475" s="8" t="b">
        <f aca="false">TRUE()</f>
        <v>1</v>
      </c>
      <c r="H475" s="8" t="b">
        <f aca="false">TRUE()</f>
        <v>1</v>
      </c>
      <c r="I475" s="7" t="str">
        <f aca="false">IF(AND(G475,H475),"PASS_TO_PASS",IF(G475,"PASS_TO_FAIL",IF(H475,"FAIL_TO_PASS","FAIL_TO_FAIL")))</f>
        <v>PASS_TO_PASS</v>
      </c>
    </row>
    <row r="476" customFormat="false" ht="15" hidden="false" customHeight="false" outlineLevel="0" collapsed="false">
      <c r="A476" s="7" t="s">
        <v>82</v>
      </c>
      <c r="B476" s="7" t="s">
        <v>83</v>
      </c>
      <c r="C476" s="7" t="s">
        <v>49</v>
      </c>
      <c r="D476" s="7" t="s">
        <v>103</v>
      </c>
      <c r="E476" s="7" t="s">
        <v>91</v>
      </c>
      <c r="F476" s="7" t="s">
        <v>137</v>
      </c>
      <c r="G476" s="8" t="b">
        <f aca="false">TRUE()</f>
        <v>1</v>
      </c>
      <c r="H476" s="8" t="b">
        <f aca="false">TRUE()</f>
        <v>1</v>
      </c>
      <c r="I476" s="7" t="str">
        <f aca="false">IF(AND(G476,H476),"PASS_TO_PASS",IF(G476,"PASS_TO_FAIL",IF(H476,"FAIL_TO_PASS","FAIL_TO_FAIL")))</f>
        <v>PASS_TO_PASS</v>
      </c>
    </row>
    <row r="477" customFormat="false" ht="15" hidden="false" customHeight="false" outlineLevel="0" collapsed="false">
      <c r="A477" s="7" t="s">
        <v>82</v>
      </c>
      <c r="B477" s="7" t="s">
        <v>83</v>
      </c>
      <c r="C477" s="7" t="s">
        <v>49</v>
      </c>
      <c r="D477" s="7" t="s">
        <v>103</v>
      </c>
      <c r="E477" s="7" t="s">
        <v>91</v>
      </c>
      <c r="F477" s="7" t="s">
        <v>138</v>
      </c>
      <c r="G477" s="8" t="b">
        <f aca="false">TRUE()</f>
        <v>1</v>
      </c>
      <c r="H477" s="8" t="b">
        <f aca="false">TRUE()</f>
        <v>1</v>
      </c>
      <c r="I477" s="7" t="str">
        <f aca="false">IF(AND(G477,H477),"PASS_TO_PASS",IF(G477,"PASS_TO_FAIL",IF(H477,"FAIL_TO_PASS","FAIL_TO_FAIL")))</f>
        <v>PASS_TO_PASS</v>
      </c>
    </row>
    <row r="478" customFormat="false" ht="15" hidden="false" customHeight="false" outlineLevel="0" collapsed="false">
      <c r="A478" s="7" t="s">
        <v>82</v>
      </c>
      <c r="B478" s="7" t="s">
        <v>83</v>
      </c>
      <c r="C478" s="7" t="s">
        <v>49</v>
      </c>
      <c r="D478" s="7" t="s">
        <v>103</v>
      </c>
      <c r="E478" s="7" t="s">
        <v>91</v>
      </c>
      <c r="F478" s="7" t="s">
        <v>139</v>
      </c>
      <c r="G478" s="8" t="b">
        <f aca="false">TRUE()</f>
        <v>1</v>
      </c>
      <c r="H478" s="8" t="b">
        <f aca="false">TRUE()</f>
        <v>1</v>
      </c>
      <c r="I478" s="7" t="str">
        <f aca="false">IF(AND(G478,H478),"PASS_TO_PASS",IF(G478,"PASS_TO_FAIL",IF(H478,"FAIL_TO_PASS","FAIL_TO_FAIL")))</f>
        <v>PASS_TO_PASS</v>
      </c>
    </row>
    <row r="479" customFormat="false" ht="15" hidden="false" customHeight="false" outlineLevel="0" collapsed="false">
      <c r="A479" s="7" t="s">
        <v>82</v>
      </c>
      <c r="B479" s="7" t="s">
        <v>83</v>
      </c>
      <c r="C479" s="7" t="s">
        <v>49</v>
      </c>
      <c r="D479" s="7" t="s">
        <v>103</v>
      </c>
      <c r="E479" s="7" t="s">
        <v>91</v>
      </c>
      <c r="F479" s="7" t="s">
        <v>140</v>
      </c>
      <c r="G479" s="8" t="b">
        <f aca="false">TRUE()</f>
        <v>1</v>
      </c>
      <c r="H479" s="8" t="b">
        <f aca="false">TRUE()</f>
        <v>1</v>
      </c>
      <c r="I479" s="7" t="str">
        <f aca="false">IF(AND(G479,H479),"PASS_TO_PASS",IF(G479,"PASS_TO_FAIL",IF(H479,"FAIL_TO_PASS","FAIL_TO_FAIL")))</f>
        <v>PASS_TO_PASS</v>
      </c>
    </row>
    <row r="480" customFormat="false" ht="15" hidden="false" customHeight="false" outlineLevel="0" collapsed="false">
      <c r="A480" s="7" t="s">
        <v>82</v>
      </c>
      <c r="B480" s="7" t="s">
        <v>83</v>
      </c>
      <c r="C480" s="7" t="s">
        <v>49</v>
      </c>
      <c r="D480" s="7" t="s">
        <v>103</v>
      </c>
      <c r="E480" s="7" t="s">
        <v>91</v>
      </c>
      <c r="F480" s="7" t="s">
        <v>141</v>
      </c>
      <c r="G480" s="8" t="b">
        <f aca="false">TRUE()</f>
        <v>1</v>
      </c>
      <c r="H480" s="8" t="b">
        <f aca="false">TRUE()</f>
        <v>1</v>
      </c>
      <c r="I480" s="7" t="str">
        <f aca="false">IF(AND(G480,H480),"PASS_TO_PASS",IF(G480,"PASS_TO_FAIL",IF(H480,"FAIL_TO_PASS","FAIL_TO_FAIL")))</f>
        <v>PASS_TO_PASS</v>
      </c>
    </row>
    <row r="481" customFormat="false" ht="15" hidden="false" customHeight="false" outlineLevel="0" collapsed="false">
      <c r="A481" s="7" t="s">
        <v>82</v>
      </c>
      <c r="B481" s="7" t="s">
        <v>83</v>
      </c>
      <c r="C481" s="7" t="s">
        <v>49</v>
      </c>
      <c r="D481" s="7" t="s">
        <v>103</v>
      </c>
      <c r="E481" s="7" t="s">
        <v>91</v>
      </c>
      <c r="F481" s="7" t="s">
        <v>142</v>
      </c>
      <c r="G481" s="8" t="b">
        <f aca="false">TRUE()</f>
        <v>1</v>
      </c>
      <c r="H481" s="8" t="b">
        <f aca="false">TRUE()</f>
        <v>1</v>
      </c>
      <c r="I481" s="7" t="str">
        <f aca="false">IF(AND(G481,H481),"PASS_TO_PASS",IF(G481,"PASS_TO_FAIL",IF(H481,"FAIL_TO_PASS","FAIL_TO_FAIL")))</f>
        <v>PASS_TO_PASS</v>
      </c>
    </row>
    <row r="482" customFormat="false" ht="15" hidden="false" customHeight="false" outlineLevel="0" collapsed="false">
      <c r="A482" s="7" t="s">
        <v>82</v>
      </c>
      <c r="B482" s="7" t="s">
        <v>83</v>
      </c>
      <c r="C482" s="7" t="s">
        <v>49</v>
      </c>
      <c r="D482" s="7" t="s">
        <v>103</v>
      </c>
      <c r="E482" s="7" t="s">
        <v>91</v>
      </c>
      <c r="F482" s="7" t="s">
        <v>143</v>
      </c>
      <c r="G482" s="8" t="b">
        <f aca="false">FALSE()</f>
        <v>0</v>
      </c>
      <c r="H482" s="8" t="b">
        <f aca="false">TRUE()</f>
        <v>1</v>
      </c>
      <c r="I482" s="7" t="str">
        <f aca="false">IF(AND(G482,H482),"PASS_TO_PASS",IF(G482,"PASS_TO_FAIL",IF(H482,"FAIL_TO_PASS","FAIL_TO_FAIL")))</f>
        <v>FAIL_TO_PASS</v>
      </c>
    </row>
    <row r="483" customFormat="false" ht="15" hidden="false" customHeight="false" outlineLevel="0" collapsed="false">
      <c r="A483" s="7" t="s">
        <v>82</v>
      </c>
      <c r="B483" s="7" t="s">
        <v>83</v>
      </c>
      <c r="C483" s="7" t="s">
        <v>49</v>
      </c>
      <c r="D483" s="7" t="s">
        <v>103</v>
      </c>
      <c r="E483" s="7" t="s">
        <v>91</v>
      </c>
      <c r="F483" s="7" t="s">
        <v>144</v>
      </c>
      <c r="G483" s="8" t="b">
        <f aca="false">TRUE()</f>
        <v>1</v>
      </c>
      <c r="H483" s="8" t="b">
        <f aca="false">TRUE()</f>
        <v>1</v>
      </c>
      <c r="I483" s="7" t="str">
        <f aca="false">IF(AND(G483,H483),"PASS_TO_PASS",IF(G483,"PASS_TO_FAIL",IF(H483,"FAIL_TO_PASS","FAIL_TO_FAIL")))</f>
        <v>PASS_TO_PASS</v>
      </c>
    </row>
    <row r="484" customFormat="false" ht="15" hidden="false" customHeight="false" outlineLevel="0" collapsed="false">
      <c r="A484" s="7" t="s">
        <v>82</v>
      </c>
      <c r="B484" s="7" t="s">
        <v>83</v>
      </c>
      <c r="C484" s="7" t="s">
        <v>49</v>
      </c>
      <c r="D484" s="7" t="s">
        <v>103</v>
      </c>
      <c r="E484" s="7" t="s">
        <v>91</v>
      </c>
      <c r="F484" s="7" t="s">
        <v>145</v>
      </c>
      <c r="G484" s="8" t="b">
        <f aca="false">FALSE()</f>
        <v>0</v>
      </c>
      <c r="H484" s="8" t="b">
        <f aca="false">TRUE()</f>
        <v>1</v>
      </c>
      <c r="I484" s="7" t="str">
        <f aca="false">IF(AND(G484,H484),"PASS_TO_PASS",IF(G484,"PASS_TO_FAIL",IF(H484,"FAIL_TO_PASS","FAIL_TO_FAIL")))</f>
        <v>FAIL_TO_PASS</v>
      </c>
    </row>
    <row r="485" customFormat="false" ht="15" hidden="false" customHeight="false" outlineLevel="0" collapsed="false">
      <c r="A485" s="7" t="s">
        <v>48</v>
      </c>
      <c r="B485" s="7" t="s">
        <v>10</v>
      </c>
      <c r="C485" s="7" t="s">
        <v>49</v>
      </c>
      <c r="D485" s="7" t="s">
        <v>104</v>
      </c>
      <c r="E485" s="7" t="s">
        <v>51</v>
      </c>
      <c r="F485" s="7" t="s">
        <v>134</v>
      </c>
      <c r="G485" s="8" t="b">
        <f aca="false">TRUE()</f>
        <v>1</v>
      </c>
      <c r="H485" s="8" t="b">
        <f aca="false">TRUE()</f>
        <v>1</v>
      </c>
      <c r="I485" s="7" t="str">
        <f aca="false">IF(AND(G485,H485),"PASS_TO_PASS",IF(G485,"PASS_TO_FAIL",IF(H485,"FAIL_TO_PASS","FAIL_TO_FAIL")))</f>
        <v>PASS_TO_PASS</v>
      </c>
    </row>
    <row r="486" customFormat="false" ht="15" hidden="false" customHeight="false" outlineLevel="0" collapsed="false">
      <c r="A486" s="7" t="s">
        <v>48</v>
      </c>
      <c r="B486" s="7" t="s">
        <v>10</v>
      </c>
      <c r="C486" s="7" t="s">
        <v>49</v>
      </c>
      <c r="D486" s="7" t="s">
        <v>104</v>
      </c>
      <c r="E486" s="7" t="s">
        <v>51</v>
      </c>
      <c r="F486" s="7" t="s">
        <v>135</v>
      </c>
      <c r="G486" s="8" t="b">
        <f aca="false">TRUE()</f>
        <v>1</v>
      </c>
      <c r="H486" s="8" t="b">
        <f aca="false">TRUE()</f>
        <v>1</v>
      </c>
      <c r="I486" s="7" t="str">
        <f aca="false">IF(AND(G486,H486),"PASS_TO_PASS",IF(G486,"PASS_TO_FAIL",IF(H486,"FAIL_TO_PASS","FAIL_TO_FAIL")))</f>
        <v>PASS_TO_PASS</v>
      </c>
    </row>
    <row r="487" customFormat="false" ht="15" hidden="false" customHeight="false" outlineLevel="0" collapsed="false">
      <c r="A487" s="7" t="s">
        <v>48</v>
      </c>
      <c r="B487" s="7" t="s">
        <v>10</v>
      </c>
      <c r="C487" s="7" t="s">
        <v>49</v>
      </c>
      <c r="D487" s="7" t="s">
        <v>104</v>
      </c>
      <c r="E487" s="7" t="s">
        <v>51</v>
      </c>
      <c r="F487" s="7" t="s">
        <v>136</v>
      </c>
      <c r="G487" s="8" t="b">
        <f aca="false">TRUE()</f>
        <v>1</v>
      </c>
      <c r="H487" s="8" t="b">
        <f aca="false">TRUE()</f>
        <v>1</v>
      </c>
      <c r="I487" s="7" t="str">
        <f aca="false">IF(AND(G487,H487),"PASS_TO_PASS",IF(G487,"PASS_TO_FAIL",IF(H487,"FAIL_TO_PASS","FAIL_TO_FAIL")))</f>
        <v>PASS_TO_PASS</v>
      </c>
    </row>
    <row r="488" customFormat="false" ht="15" hidden="false" customHeight="false" outlineLevel="0" collapsed="false">
      <c r="A488" s="7" t="s">
        <v>48</v>
      </c>
      <c r="B488" s="7" t="s">
        <v>10</v>
      </c>
      <c r="C488" s="7" t="s">
        <v>49</v>
      </c>
      <c r="D488" s="7" t="s">
        <v>104</v>
      </c>
      <c r="E488" s="7" t="s">
        <v>51</v>
      </c>
      <c r="F488" s="7" t="s">
        <v>137</v>
      </c>
      <c r="G488" s="8" t="b">
        <f aca="false">TRUE()</f>
        <v>1</v>
      </c>
      <c r="H488" s="8" t="b">
        <f aca="false">TRUE()</f>
        <v>1</v>
      </c>
      <c r="I488" s="7" t="str">
        <f aca="false">IF(AND(G488,H488),"PASS_TO_PASS",IF(G488,"PASS_TO_FAIL",IF(H488,"FAIL_TO_PASS","FAIL_TO_FAIL")))</f>
        <v>PASS_TO_PASS</v>
      </c>
    </row>
    <row r="489" customFormat="false" ht="15" hidden="false" customHeight="false" outlineLevel="0" collapsed="false">
      <c r="A489" s="7" t="s">
        <v>48</v>
      </c>
      <c r="B489" s="7" t="s">
        <v>10</v>
      </c>
      <c r="C489" s="7" t="s">
        <v>49</v>
      </c>
      <c r="D489" s="7" t="s">
        <v>104</v>
      </c>
      <c r="E489" s="7" t="s">
        <v>51</v>
      </c>
      <c r="F489" s="7" t="s">
        <v>138</v>
      </c>
      <c r="G489" s="8" t="b">
        <f aca="false">TRUE()</f>
        <v>1</v>
      </c>
      <c r="H489" s="8" t="b">
        <f aca="false">TRUE()</f>
        <v>1</v>
      </c>
      <c r="I489" s="7" t="str">
        <f aca="false">IF(AND(G489,H489),"PASS_TO_PASS",IF(G489,"PASS_TO_FAIL",IF(H489,"FAIL_TO_PASS","FAIL_TO_FAIL")))</f>
        <v>PASS_TO_PASS</v>
      </c>
    </row>
    <row r="490" customFormat="false" ht="15" hidden="false" customHeight="false" outlineLevel="0" collapsed="false">
      <c r="A490" s="7" t="s">
        <v>48</v>
      </c>
      <c r="B490" s="7" t="s">
        <v>10</v>
      </c>
      <c r="C490" s="7" t="s">
        <v>49</v>
      </c>
      <c r="D490" s="7" t="s">
        <v>104</v>
      </c>
      <c r="E490" s="7" t="s">
        <v>51</v>
      </c>
      <c r="F490" s="7" t="s">
        <v>139</v>
      </c>
      <c r="G490" s="8" t="b">
        <f aca="false">FALSE()</f>
        <v>0</v>
      </c>
      <c r="H490" s="8" t="b">
        <f aca="false">TRUE()</f>
        <v>1</v>
      </c>
      <c r="I490" s="7" t="str">
        <f aca="false">IF(AND(G490,H490),"PASS_TO_PASS",IF(G490,"PASS_TO_FAIL",IF(H490,"FAIL_TO_PASS","FAIL_TO_FAIL")))</f>
        <v>FAIL_TO_PASS</v>
      </c>
    </row>
    <row r="491" customFormat="false" ht="15" hidden="false" customHeight="false" outlineLevel="0" collapsed="false">
      <c r="A491" s="7" t="s">
        <v>48</v>
      </c>
      <c r="B491" s="7" t="s">
        <v>10</v>
      </c>
      <c r="C491" s="7" t="s">
        <v>49</v>
      </c>
      <c r="D491" s="7" t="s">
        <v>104</v>
      </c>
      <c r="E491" s="7" t="s">
        <v>51</v>
      </c>
      <c r="F491" s="7" t="s">
        <v>140</v>
      </c>
      <c r="G491" s="8" t="b">
        <f aca="false">TRUE()</f>
        <v>1</v>
      </c>
      <c r="H491" s="8" t="b">
        <f aca="false">TRUE()</f>
        <v>1</v>
      </c>
      <c r="I491" s="7" t="str">
        <f aca="false">IF(AND(G491,H491),"PASS_TO_PASS",IF(G491,"PASS_TO_FAIL",IF(H491,"FAIL_TO_PASS","FAIL_TO_FAIL")))</f>
        <v>PASS_TO_PASS</v>
      </c>
    </row>
    <row r="492" customFormat="false" ht="15" hidden="false" customHeight="false" outlineLevel="0" collapsed="false">
      <c r="A492" s="7" t="s">
        <v>48</v>
      </c>
      <c r="B492" s="7" t="s">
        <v>10</v>
      </c>
      <c r="C492" s="7" t="s">
        <v>49</v>
      </c>
      <c r="D492" s="7" t="s">
        <v>104</v>
      </c>
      <c r="E492" s="7" t="s">
        <v>51</v>
      </c>
      <c r="F492" s="7" t="s">
        <v>141</v>
      </c>
      <c r="G492" s="8" t="b">
        <f aca="false">TRUE()</f>
        <v>1</v>
      </c>
      <c r="H492" s="8" t="b">
        <f aca="false">TRUE()</f>
        <v>1</v>
      </c>
      <c r="I492" s="7" t="str">
        <f aca="false">IF(AND(G492,H492),"PASS_TO_PASS",IF(G492,"PASS_TO_FAIL",IF(H492,"FAIL_TO_PASS","FAIL_TO_FAIL")))</f>
        <v>PASS_TO_PASS</v>
      </c>
    </row>
    <row r="493" customFormat="false" ht="15" hidden="false" customHeight="false" outlineLevel="0" collapsed="false">
      <c r="A493" s="7" t="s">
        <v>48</v>
      </c>
      <c r="B493" s="7" t="s">
        <v>10</v>
      </c>
      <c r="C493" s="7" t="s">
        <v>49</v>
      </c>
      <c r="D493" s="7" t="s">
        <v>104</v>
      </c>
      <c r="E493" s="7" t="s">
        <v>51</v>
      </c>
      <c r="F493" s="7" t="s">
        <v>142</v>
      </c>
      <c r="G493" s="8" t="b">
        <f aca="false">TRUE()</f>
        <v>1</v>
      </c>
      <c r="H493" s="8" t="b">
        <f aca="false">TRUE()</f>
        <v>1</v>
      </c>
      <c r="I493" s="7" t="str">
        <f aca="false">IF(AND(G493,H493),"PASS_TO_PASS",IF(G493,"PASS_TO_FAIL",IF(H493,"FAIL_TO_PASS","FAIL_TO_FAIL")))</f>
        <v>PASS_TO_PASS</v>
      </c>
    </row>
    <row r="494" customFormat="false" ht="15" hidden="false" customHeight="false" outlineLevel="0" collapsed="false">
      <c r="A494" s="7" t="s">
        <v>48</v>
      </c>
      <c r="B494" s="7" t="s">
        <v>10</v>
      </c>
      <c r="C494" s="7" t="s">
        <v>49</v>
      </c>
      <c r="D494" s="7" t="s">
        <v>104</v>
      </c>
      <c r="E494" s="7" t="s">
        <v>51</v>
      </c>
      <c r="F494" s="7" t="s">
        <v>143</v>
      </c>
      <c r="G494" s="8" t="b">
        <f aca="false">TRUE()</f>
        <v>1</v>
      </c>
      <c r="H494" s="8" t="b">
        <f aca="false">TRUE()</f>
        <v>1</v>
      </c>
      <c r="I494" s="7" t="str">
        <f aca="false">IF(AND(G494,H494),"PASS_TO_PASS",IF(G494,"PASS_TO_FAIL",IF(H494,"FAIL_TO_PASS","FAIL_TO_FAIL")))</f>
        <v>PASS_TO_PASS</v>
      </c>
    </row>
    <row r="495" customFormat="false" ht="15" hidden="false" customHeight="false" outlineLevel="0" collapsed="false">
      <c r="A495" s="7" t="s">
        <v>48</v>
      </c>
      <c r="B495" s="7" t="s">
        <v>10</v>
      </c>
      <c r="C495" s="7" t="s">
        <v>49</v>
      </c>
      <c r="D495" s="7" t="s">
        <v>104</v>
      </c>
      <c r="E495" s="7" t="s">
        <v>51</v>
      </c>
      <c r="F495" s="7" t="s">
        <v>144</v>
      </c>
      <c r="G495" s="8" t="b">
        <f aca="false">TRUE()</f>
        <v>1</v>
      </c>
      <c r="H495" s="8" t="b">
        <f aca="false">TRUE()</f>
        <v>1</v>
      </c>
      <c r="I495" s="7" t="str">
        <f aca="false">IF(AND(G495,H495),"PASS_TO_PASS",IF(G495,"PASS_TO_FAIL",IF(H495,"FAIL_TO_PASS","FAIL_TO_FAIL")))</f>
        <v>PASS_TO_PASS</v>
      </c>
    </row>
    <row r="496" customFormat="false" ht="15" hidden="false" customHeight="false" outlineLevel="0" collapsed="false">
      <c r="A496" s="7" t="s">
        <v>48</v>
      </c>
      <c r="B496" s="7" t="s">
        <v>10</v>
      </c>
      <c r="C496" s="7" t="s">
        <v>49</v>
      </c>
      <c r="D496" s="7" t="s">
        <v>104</v>
      </c>
      <c r="E496" s="7" t="s">
        <v>51</v>
      </c>
      <c r="F496" s="7" t="s">
        <v>145</v>
      </c>
      <c r="G496" s="8" t="b">
        <f aca="false">TRUE()</f>
        <v>1</v>
      </c>
      <c r="H496" s="8" t="b">
        <f aca="false">TRUE()</f>
        <v>1</v>
      </c>
      <c r="I496" s="7" t="str">
        <f aca="false">IF(AND(G496,H496),"PASS_TO_PASS",IF(G496,"PASS_TO_FAIL",IF(H496,"FAIL_TO_PASS","FAIL_TO_FAIL")))</f>
        <v>PASS_TO_PASS</v>
      </c>
    </row>
    <row r="497" customFormat="false" ht="15" hidden="false" customHeight="false" outlineLevel="0" collapsed="false">
      <c r="A497" s="7" t="s">
        <v>82</v>
      </c>
      <c r="B497" s="7" t="s">
        <v>83</v>
      </c>
      <c r="C497" s="7" t="s">
        <v>49</v>
      </c>
      <c r="D497" s="7" t="s">
        <v>104</v>
      </c>
      <c r="E497" s="7" t="s">
        <v>51</v>
      </c>
      <c r="F497" s="7" t="s">
        <v>134</v>
      </c>
      <c r="G497" s="8" t="b">
        <f aca="false">TRUE()</f>
        <v>1</v>
      </c>
      <c r="H497" s="8" t="b">
        <f aca="false">TRUE()</f>
        <v>1</v>
      </c>
      <c r="I497" s="7" t="str">
        <f aca="false">IF(AND(G497,H497),"PASS_TO_PASS",IF(G497,"PASS_TO_FAIL",IF(H497,"FAIL_TO_PASS","FAIL_TO_FAIL")))</f>
        <v>PASS_TO_PASS</v>
      </c>
    </row>
    <row r="498" customFormat="false" ht="15" hidden="false" customHeight="false" outlineLevel="0" collapsed="false">
      <c r="A498" s="7" t="s">
        <v>82</v>
      </c>
      <c r="B498" s="7" t="s">
        <v>83</v>
      </c>
      <c r="C498" s="7" t="s">
        <v>49</v>
      </c>
      <c r="D498" s="7" t="s">
        <v>104</v>
      </c>
      <c r="E498" s="7" t="s">
        <v>51</v>
      </c>
      <c r="F498" s="7" t="s">
        <v>135</v>
      </c>
      <c r="G498" s="8" t="b">
        <f aca="false">TRUE()</f>
        <v>1</v>
      </c>
      <c r="H498" s="8" t="b">
        <f aca="false">TRUE()</f>
        <v>1</v>
      </c>
      <c r="I498" s="7" t="str">
        <f aca="false">IF(AND(G498,H498),"PASS_TO_PASS",IF(G498,"PASS_TO_FAIL",IF(H498,"FAIL_TO_PASS","FAIL_TO_FAIL")))</f>
        <v>PASS_TO_PASS</v>
      </c>
    </row>
    <row r="499" customFormat="false" ht="15" hidden="false" customHeight="false" outlineLevel="0" collapsed="false">
      <c r="A499" s="7" t="s">
        <v>82</v>
      </c>
      <c r="B499" s="7" t="s">
        <v>83</v>
      </c>
      <c r="C499" s="7" t="s">
        <v>49</v>
      </c>
      <c r="D499" s="7" t="s">
        <v>104</v>
      </c>
      <c r="E499" s="7" t="s">
        <v>51</v>
      </c>
      <c r="F499" s="7" t="s">
        <v>136</v>
      </c>
      <c r="G499" s="8" t="b">
        <f aca="false">FALSE()</f>
        <v>0</v>
      </c>
      <c r="H499" s="8" t="b">
        <f aca="false">TRUE()</f>
        <v>1</v>
      </c>
      <c r="I499" s="7" t="str">
        <f aca="false">IF(AND(G499,H499),"PASS_TO_PASS",IF(G499,"PASS_TO_FAIL",IF(H499,"FAIL_TO_PASS","FAIL_TO_FAIL")))</f>
        <v>FAIL_TO_PASS</v>
      </c>
    </row>
    <row r="500" customFormat="false" ht="15" hidden="false" customHeight="false" outlineLevel="0" collapsed="false">
      <c r="A500" s="7" t="s">
        <v>82</v>
      </c>
      <c r="B500" s="7" t="s">
        <v>83</v>
      </c>
      <c r="C500" s="7" t="s">
        <v>49</v>
      </c>
      <c r="D500" s="7" t="s">
        <v>104</v>
      </c>
      <c r="E500" s="7" t="s">
        <v>51</v>
      </c>
      <c r="F500" s="7" t="s">
        <v>137</v>
      </c>
      <c r="G500" s="8" t="b">
        <f aca="false">TRUE()</f>
        <v>1</v>
      </c>
      <c r="H500" s="8" t="b">
        <f aca="false">TRUE()</f>
        <v>1</v>
      </c>
      <c r="I500" s="7" t="str">
        <f aca="false">IF(AND(G500,H500),"PASS_TO_PASS",IF(G500,"PASS_TO_FAIL",IF(H500,"FAIL_TO_PASS","FAIL_TO_FAIL")))</f>
        <v>PASS_TO_PASS</v>
      </c>
    </row>
    <row r="501" customFormat="false" ht="15" hidden="false" customHeight="false" outlineLevel="0" collapsed="false">
      <c r="A501" s="7" t="s">
        <v>82</v>
      </c>
      <c r="B501" s="7" t="s">
        <v>83</v>
      </c>
      <c r="C501" s="7" t="s">
        <v>49</v>
      </c>
      <c r="D501" s="7" t="s">
        <v>104</v>
      </c>
      <c r="E501" s="7" t="s">
        <v>51</v>
      </c>
      <c r="F501" s="7" t="s">
        <v>138</v>
      </c>
      <c r="G501" s="8" t="b">
        <f aca="false">TRUE()</f>
        <v>1</v>
      </c>
      <c r="H501" s="8" t="b">
        <f aca="false">TRUE()</f>
        <v>1</v>
      </c>
      <c r="I501" s="7" t="str">
        <f aca="false">IF(AND(G501,H501),"PASS_TO_PASS",IF(G501,"PASS_TO_FAIL",IF(H501,"FAIL_TO_PASS","FAIL_TO_FAIL")))</f>
        <v>PASS_TO_PASS</v>
      </c>
    </row>
    <row r="502" customFormat="false" ht="15" hidden="false" customHeight="false" outlineLevel="0" collapsed="false">
      <c r="A502" s="7" t="s">
        <v>82</v>
      </c>
      <c r="B502" s="7" t="s">
        <v>83</v>
      </c>
      <c r="C502" s="7" t="s">
        <v>49</v>
      </c>
      <c r="D502" s="7" t="s">
        <v>104</v>
      </c>
      <c r="E502" s="7" t="s">
        <v>51</v>
      </c>
      <c r="F502" s="7" t="s">
        <v>139</v>
      </c>
      <c r="G502" s="8" t="b">
        <f aca="false">TRUE()</f>
        <v>1</v>
      </c>
      <c r="H502" s="8" t="b">
        <f aca="false">TRUE()</f>
        <v>1</v>
      </c>
      <c r="I502" s="7" t="str">
        <f aca="false">IF(AND(G502,H502),"PASS_TO_PASS",IF(G502,"PASS_TO_FAIL",IF(H502,"FAIL_TO_PASS","FAIL_TO_FAIL")))</f>
        <v>PASS_TO_PASS</v>
      </c>
    </row>
    <row r="503" customFormat="false" ht="15" hidden="false" customHeight="false" outlineLevel="0" collapsed="false">
      <c r="A503" s="7" t="s">
        <v>82</v>
      </c>
      <c r="B503" s="7" t="s">
        <v>83</v>
      </c>
      <c r="C503" s="7" t="s">
        <v>49</v>
      </c>
      <c r="D503" s="7" t="s">
        <v>104</v>
      </c>
      <c r="E503" s="7" t="s">
        <v>51</v>
      </c>
      <c r="F503" s="7" t="s">
        <v>140</v>
      </c>
      <c r="G503" s="8" t="b">
        <f aca="false">TRUE()</f>
        <v>1</v>
      </c>
      <c r="H503" s="8" t="b">
        <f aca="false">TRUE()</f>
        <v>1</v>
      </c>
      <c r="I503" s="7" t="str">
        <f aca="false">IF(AND(G503,H503),"PASS_TO_PASS",IF(G503,"PASS_TO_FAIL",IF(H503,"FAIL_TO_PASS","FAIL_TO_FAIL")))</f>
        <v>PASS_TO_PASS</v>
      </c>
    </row>
    <row r="504" customFormat="false" ht="15" hidden="false" customHeight="false" outlineLevel="0" collapsed="false">
      <c r="A504" s="7" t="s">
        <v>82</v>
      </c>
      <c r="B504" s="7" t="s">
        <v>83</v>
      </c>
      <c r="C504" s="7" t="s">
        <v>49</v>
      </c>
      <c r="D504" s="7" t="s">
        <v>104</v>
      </c>
      <c r="E504" s="7" t="s">
        <v>51</v>
      </c>
      <c r="F504" s="7" t="s">
        <v>141</v>
      </c>
      <c r="G504" s="8" t="b">
        <f aca="false">TRUE()</f>
        <v>1</v>
      </c>
      <c r="H504" s="8" t="b">
        <f aca="false">TRUE()</f>
        <v>1</v>
      </c>
      <c r="I504" s="7" t="str">
        <f aca="false">IF(AND(G504,H504),"PASS_TO_PASS",IF(G504,"PASS_TO_FAIL",IF(H504,"FAIL_TO_PASS","FAIL_TO_FAIL")))</f>
        <v>PASS_TO_PASS</v>
      </c>
    </row>
    <row r="505" customFormat="false" ht="15" hidden="false" customHeight="false" outlineLevel="0" collapsed="false">
      <c r="A505" s="7" t="s">
        <v>82</v>
      </c>
      <c r="B505" s="7" t="s">
        <v>83</v>
      </c>
      <c r="C505" s="7" t="s">
        <v>49</v>
      </c>
      <c r="D505" s="7" t="s">
        <v>104</v>
      </c>
      <c r="E505" s="7" t="s">
        <v>51</v>
      </c>
      <c r="F505" s="7" t="s">
        <v>142</v>
      </c>
      <c r="G505" s="8" t="b">
        <f aca="false">TRUE()</f>
        <v>1</v>
      </c>
      <c r="H505" s="8" t="b">
        <f aca="false">TRUE()</f>
        <v>1</v>
      </c>
      <c r="I505" s="7" t="str">
        <f aca="false">IF(AND(G505,H505),"PASS_TO_PASS",IF(G505,"PASS_TO_FAIL",IF(H505,"FAIL_TO_PASS","FAIL_TO_FAIL")))</f>
        <v>PASS_TO_PASS</v>
      </c>
    </row>
    <row r="506" customFormat="false" ht="15" hidden="false" customHeight="false" outlineLevel="0" collapsed="false">
      <c r="A506" s="7" t="s">
        <v>82</v>
      </c>
      <c r="B506" s="7" t="s">
        <v>83</v>
      </c>
      <c r="C506" s="7" t="s">
        <v>49</v>
      </c>
      <c r="D506" s="7" t="s">
        <v>104</v>
      </c>
      <c r="E506" s="7" t="s">
        <v>51</v>
      </c>
      <c r="F506" s="7" t="s">
        <v>143</v>
      </c>
      <c r="G506" s="8" t="b">
        <f aca="false">FALSE()</f>
        <v>0</v>
      </c>
      <c r="H506" s="8" t="b">
        <f aca="false">TRUE()</f>
        <v>1</v>
      </c>
      <c r="I506" s="7" t="str">
        <f aca="false">IF(AND(G506,H506),"PASS_TO_PASS",IF(G506,"PASS_TO_FAIL",IF(H506,"FAIL_TO_PASS","FAIL_TO_FAIL")))</f>
        <v>FAIL_TO_PASS</v>
      </c>
    </row>
    <row r="507" customFormat="false" ht="15" hidden="false" customHeight="false" outlineLevel="0" collapsed="false">
      <c r="A507" s="7" t="s">
        <v>82</v>
      </c>
      <c r="B507" s="7" t="s">
        <v>83</v>
      </c>
      <c r="C507" s="7" t="s">
        <v>49</v>
      </c>
      <c r="D507" s="7" t="s">
        <v>104</v>
      </c>
      <c r="E507" s="7" t="s">
        <v>51</v>
      </c>
      <c r="F507" s="7" t="s">
        <v>144</v>
      </c>
      <c r="G507" s="8" t="b">
        <f aca="false">TRUE()</f>
        <v>1</v>
      </c>
      <c r="H507" s="8" t="b">
        <f aca="false">TRUE()</f>
        <v>1</v>
      </c>
      <c r="I507" s="7" t="str">
        <f aca="false">IF(AND(G507,H507),"PASS_TO_PASS",IF(G507,"PASS_TO_FAIL",IF(H507,"FAIL_TO_PASS","FAIL_TO_FAIL")))</f>
        <v>PASS_TO_PASS</v>
      </c>
    </row>
    <row r="508" customFormat="false" ht="15" hidden="false" customHeight="false" outlineLevel="0" collapsed="false">
      <c r="A508" s="7" t="s">
        <v>82</v>
      </c>
      <c r="B508" s="7" t="s">
        <v>83</v>
      </c>
      <c r="C508" s="7" t="s">
        <v>49</v>
      </c>
      <c r="D508" s="7" t="s">
        <v>104</v>
      </c>
      <c r="E508" s="7" t="s">
        <v>51</v>
      </c>
      <c r="F508" s="7" t="s">
        <v>145</v>
      </c>
      <c r="G508" s="8" t="b">
        <f aca="false">FALSE()</f>
        <v>0</v>
      </c>
      <c r="H508" s="8" t="b">
        <f aca="false">TRUE()</f>
        <v>1</v>
      </c>
      <c r="I508" s="7" t="str">
        <f aca="false">IF(AND(G508,H508),"PASS_TO_PASS",IF(G508,"PASS_TO_FAIL",IF(H508,"FAIL_TO_PASS","FAIL_TO_FAIL")))</f>
        <v>FAIL_TO_PASS</v>
      </c>
    </row>
    <row r="509" customFormat="false" ht="15" hidden="false" customHeight="false" outlineLevel="0" collapsed="false">
      <c r="A509" s="7" t="s">
        <v>48</v>
      </c>
      <c r="B509" s="7" t="s">
        <v>10</v>
      </c>
      <c r="C509" s="7" t="s">
        <v>49</v>
      </c>
      <c r="D509" s="7" t="s">
        <v>105</v>
      </c>
      <c r="E509" s="7" t="s">
        <v>51</v>
      </c>
      <c r="F509" s="7" t="s">
        <v>134</v>
      </c>
      <c r="G509" s="8" t="b">
        <f aca="false">TRUE()</f>
        <v>1</v>
      </c>
      <c r="H509" s="8" t="b">
        <f aca="false">TRUE()</f>
        <v>1</v>
      </c>
      <c r="I509" s="7" t="str">
        <f aca="false">IF(AND(G509,H509),"PASS_TO_PASS",IF(G509,"PASS_TO_FAIL",IF(H509,"FAIL_TO_PASS","FAIL_TO_FAIL")))</f>
        <v>PASS_TO_PASS</v>
      </c>
    </row>
    <row r="510" customFormat="false" ht="15" hidden="false" customHeight="false" outlineLevel="0" collapsed="false">
      <c r="A510" s="7" t="s">
        <v>48</v>
      </c>
      <c r="B510" s="7" t="s">
        <v>10</v>
      </c>
      <c r="C510" s="7" t="s">
        <v>49</v>
      </c>
      <c r="D510" s="7" t="s">
        <v>105</v>
      </c>
      <c r="E510" s="7" t="s">
        <v>51</v>
      </c>
      <c r="F510" s="7" t="s">
        <v>135</v>
      </c>
      <c r="G510" s="8" t="b">
        <f aca="false">TRUE()</f>
        <v>1</v>
      </c>
      <c r="H510" s="8" t="b">
        <f aca="false">TRUE()</f>
        <v>1</v>
      </c>
      <c r="I510" s="7" t="str">
        <f aca="false">IF(AND(G510,H510),"PASS_TO_PASS",IF(G510,"PASS_TO_FAIL",IF(H510,"FAIL_TO_PASS","FAIL_TO_FAIL")))</f>
        <v>PASS_TO_PASS</v>
      </c>
    </row>
    <row r="511" customFormat="false" ht="15" hidden="false" customHeight="false" outlineLevel="0" collapsed="false">
      <c r="A511" s="7" t="s">
        <v>48</v>
      </c>
      <c r="B511" s="7" t="s">
        <v>10</v>
      </c>
      <c r="C511" s="7" t="s">
        <v>49</v>
      </c>
      <c r="D511" s="7" t="s">
        <v>105</v>
      </c>
      <c r="E511" s="7" t="s">
        <v>51</v>
      </c>
      <c r="F511" s="7" t="s">
        <v>136</v>
      </c>
      <c r="G511" s="8" t="b">
        <f aca="false">TRUE()</f>
        <v>1</v>
      </c>
      <c r="H511" s="8" t="b">
        <f aca="false">TRUE()</f>
        <v>1</v>
      </c>
      <c r="I511" s="7" t="str">
        <f aca="false">IF(AND(G511,H511),"PASS_TO_PASS",IF(G511,"PASS_TO_FAIL",IF(H511,"FAIL_TO_PASS","FAIL_TO_FAIL")))</f>
        <v>PASS_TO_PASS</v>
      </c>
    </row>
    <row r="512" customFormat="false" ht="15" hidden="false" customHeight="false" outlineLevel="0" collapsed="false">
      <c r="A512" s="7" t="s">
        <v>48</v>
      </c>
      <c r="B512" s="7" t="s">
        <v>10</v>
      </c>
      <c r="C512" s="7" t="s">
        <v>49</v>
      </c>
      <c r="D512" s="7" t="s">
        <v>105</v>
      </c>
      <c r="E512" s="7" t="s">
        <v>51</v>
      </c>
      <c r="F512" s="7" t="s">
        <v>137</v>
      </c>
      <c r="G512" s="8" t="b">
        <f aca="false">FALSE()</f>
        <v>0</v>
      </c>
      <c r="H512" s="8" t="b">
        <f aca="false">FALSE()</f>
        <v>0</v>
      </c>
      <c r="I512" s="7" t="str">
        <f aca="false">IF(AND(G512,H512),"PASS_TO_PASS",IF(G512,"PASS_TO_FAIL",IF(H512,"FAIL_TO_PASS","FAIL_TO_FAIL")))</f>
        <v>FAIL_TO_FAIL</v>
      </c>
    </row>
    <row r="513" customFormat="false" ht="15" hidden="false" customHeight="false" outlineLevel="0" collapsed="false">
      <c r="A513" s="7" t="s">
        <v>48</v>
      </c>
      <c r="B513" s="7" t="s">
        <v>10</v>
      </c>
      <c r="C513" s="7" t="s">
        <v>49</v>
      </c>
      <c r="D513" s="7" t="s">
        <v>105</v>
      </c>
      <c r="E513" s="7" t="s">
        <v>51</v>
      </c>
      <c r="F513" s="7" t="s">
        <v>138</v>
      </c>
      <c r="G513" s="8" t="b">
        <f aca="false">FALSE()</f>
        <v>0</v>
      </c>
      <c r="H513" s="8" t="b">
        <f aca="false">TRUE()</f>
        <v>1</v>
      </c>
      <c r="I513" s="7" t="str">
        <f aca="false">IF(AND(G513,H513),"PASS_TO_PASS",IF(G513,"PASS_TO_FAIL",IF(H513,"FAIL_TO_PASS","FAIL_TO_FAIL")))</f>
        <v>FAIL_TO_PASS</v>
      </c>
    </row>
    <row r="514" customFormat="false" ht="15" hidden="false" customHeight="false" outlineLevel="0" collapsed="false">
      <c r="A514" s="7" t="s">
        <v>48</v>
      </c>
      <c r="B514" s="7" t="s">
        <v>10</v>
      </c>
      <c r="C514" s="7" t="s">
        <v>49</v>
      </c>
      <c r="D514" s="7" t="s">
        <v>105</v>
      </c>
      <c r="E514" s="7" t="s">
        <v>51</v>
      </c>
      <c r="F514" s="7" t="s">
        <v>139</v>
      </c>
      <c r="G514" s="8" t="b">
        <f aca="false">TRUE()</f>
        <v>1</v>
      </c>
      <c r="H514" s="8" t="b">
        <f aca="false">TRUE()</f>
        <v>1</v>
      </c>
      <c r="I514" s="7" t="str">
        <f aca="false">IF(AND(G514,H514),"PASS_TO_PASS",IF(G514,"PASS_TO_FAIL",IF(H514,"FAIL_TO_PASS","FAIL_TO_FAIL")))</f>
        <v>PASS_TO_PASS</v>
      </c>
    </row>
    <row r="515" customFormat="false" ht="15" hidden="false" customHeight="false" outlineLevel="0" collapsed="false">
      <c r="A515" s="7" t="s">
        <v>48</v>
      </c>
      <c r="B515" s="7" t="s">
        <v>10</v>
      </c>
      <c r="C515" s="7" t="s">
        <v>49</v>
      </c>
      <c r="D515" s="7" t="s">
        <v>105</v>
      </c>
      <c r="E515" s="7" t="s">
        <v>51</v>
      </c>
      <c r="F515" s="7" t="s">
        <v>140</v>
      </c>
      <c r="G515" s="8" t="b">
        <f aca="false">TRUE()</f>
        <v>1</v>
      </c>
      <c r="H515" s="8" t="b">
        <f aca="false">TRUE()</f>
        <v>1</v>
      </c>
      <c r="I515" s="7" t="str">
        <f aca="false">IF(AND(G515,H515),"PASS_TO_PASS",IF(G515,"PASS_TO_FAIL",IF(H515,"FAIL_TO_PASS","FAIL_TO_FAIL")))</f>
        <v>PASS_TO_PASS</v>
      </c>
    </row>
    <row r="516" customFormat="false" ht="15" hidden="false" customHeight="false" outlineLevel="0" collapsed="false">
      <c r="A516" s="7" t="s">
        <v>48</v>
      </c>
      <c r="B516" s="7" t="s">
        <v>10</v>
      </c>
      <c r="C516" s="7" t="s">
        <v>49</v>
      </c>
      <c r="D516" s="7" t="s">
        <v>105</v>
      </c>
      <c r="E516" s="7" t="s">
        <v>51</v>
      </c>
      <c r="F516" s="7" t="s">
        <v>141</v>
      </c>
      <c r="G516" s="8" t="b">
        <f aca="false">TRUE()</f>
        <v>1</v>
      </c>
      <c r="H516" s="8" t="b">
        <f aca="false">TRUE()</f>
        <v>1</v>
      </c>
      <c r="I516" s="7" t="str">
        <f aca="false">IF(AND(G516,H516),"PASS_TO_PASS",IF(G516,"PASS_TO_FAIL",IF(H516,"FAIL_TO_PASS","FAIL_TO_FAIL")))</f>
        <v>PASS_TO_PASS</v>
      </c>
    </row>
    <row r="517" customFormat="false" ht="15" hidden="false" customHeight="false" outlineLevel="0" collapsed="false">
      <c r="A517" s="7" t="s">
        <v>48</v>
      </c>
      <c r="B517" s="7" t="s">
        <v>10</v>
      </c>
      <c r="C517" s="7" t="s">
        <v>49</v>
      </c>
      <c r="D517" s="7" t="s">
        <v>105</v>
      </c>
      <c r="E517" s="7" t="s">
        <v>51</v>
      </c>
      <c r="F517" s="7" t="s">
        <v>142</v>
      </c>
      <c r="G517" s="8" t="b">
        <f aca="false">TRUE()</f>
        <v>1</v>
      </c>
      <c r="H517" s="8" t="b">
        <f aca="false">TRUE()</f>
        <v>1</v>
      </c>
      <c r="I517" s="7" t="str">
        <f aca="false">IF(AND(G517,H517),"PASS_TO_PASS",IF(G517,"PASS_TO_FAIL",IF(H517,"FAIL_TO_PASS","FAIL_TO_FAIL")))</f>
        <v>PASS_TO_PASS</v>
      </c>
    </row>
    <row r="518" customFormat="false" ht="15" hidden="false" customHeight="false" outlineLevel="0" collapsed="false">
      <c r="A518" s="7" t="s">
        <v>48</v>
      </c>
      <c r="B518" s="7" t="s">
        <v>10</v>
      </c>
      <c r="C518" s="7" t="s">
        <v>49</v>
      </c>
      <c r="D518" s="7" t="s">
        <v>105</v>
      </c>
      <c r="E518" s="7" t="s">
        <v>51</v>
      </c>
      <c r="F518" s="7" t="s">
        <v>143</v>
      </c>
      <c r="G518" s="8" t="b">
        <f aca="false">TRUE()</f>
        <v>1</v>
      </c>
      <c r="H518" s="8" t="b">
        <f aca="false">TRUE()</f>
        <v>1</v>
      </c>
      <c r="I518" s="7" t="str">
        <f aca="false">IF(AND(G518,H518),"PASS_TO_PASS",IF(G518,"PASS_TO_FAIL",IF(H518,"FAIL_TO_PASS","FAIL_TO_FAIL")))</f>
        <v>PASS_TO_PASS</v>
      </c>
    </row>
    <row r="519" customFormat="false" ht="15" hidden="false" customHeight="false" outlineLevel="0" collapsed="false">
      <c r="A519" s="7" t="s">
        <v>48</v>
      </c>
      <c r="B519" s="7" t="s">
        <v>10</v>
      </c>
      <c r="C519" s="7" t="s">
        <v>49</v>
      </c>
      <c r="D519" s="7" t="s">
        <v>105</v>
      </c>
      <c r="E519" s="7" t="s">
        <v>51</v>
      </c>
      <c r="F519" s="7" t="s">
        <v>144</v>
      </c>
      <c r="G519" s="8" t="b">
        <f aca="false">TRUE()</f>
        <v>1</v>
      </c>
      <c r="H519" s="8" t="b">
        <f aca="false">TRUE()</f>
        <v>1</v>
      </c>
      <c r="I519" s="7" t="str">
        <f aca="false">IF(AND(G519,H519),"PASS_TO_PASS",IF(G519,"PASS_TO_FAIL",IF(H519,"FAIL_TO_PASS","FAIL_TO_FAIL")))</f>
        <v>PASS_TO_PASS</v>
      </c>
    </row>
    <row r="520" customFormat="false" ht="15" hidden="false" customHeight="false" outlineLevel="0" collapsed="false">
      <c r="A520" s="7" t="s">
        <v>48</v>
      </c>
      <c r="B520" s="7" t="s">
        <v>10</v>
      </c>
      <c r="C520" s="7" t="s">
        <v>49</v>
      </c>
      <c r="D520" s="7" t="s">
        <v>105</v>
      </c>
      <c r="E520" s="7" t="s">
        <v>51</v>
      </c>
      <c r="F520" s="7" t="s">
        <v>145</v>
      </c>
      <c r="G520" s="8" t="b">
        <f aca="false">TRUE()</f>
        <v>1</v>
      </c>
      <c r="H520" s="8" t="b">
        <f aca="false">TRUE()</f>
        <v>1</v>
      </c>
      <c r="I520" s="7" t="str">
        <f aca="false">IF(AND(G520,H520),"PASS_TO_PASS",IF(G520,"PASS_TO_FAIL",IF(H520,"FAIL_TO_PASS","FAIL_TO_FAIL")))</f>
        <v>PASS_TO_PASS</v>
      </c>
    </row>
    <row r="521" customFormat="false" ht="15" hidden="false" customHeight="false" outlineLevel="0" collapsed="false">
      <c r="A521" s="7" t="s">
        <v>82</v>
      </c>
      <c r="B521" s="7" t="s">
        <v>83</v>
      </c>
      <c r="C521" s="7" t="s">
        <v>49</v>
      </c>
      <c r="D521" s="7" t="s">
        <v>105</v>
      </c>
      <c r="E521" s="7" t="s">
        <v>51</v>
      </c>
      <c r="F521" s="7" t="s">
        <v>134</v>
      </c>
      <c r="G521" s="8" t="b">
        <f aca="false">TRUE()</f>
        <v>1</v>
      </c>
      <c r="H521" s="8" t="b">
        <f aca="false">TRUE()</f>
        <v>1</v>
      </c>
      <c r="I521" s="7" t="str">
        <f aca="false">IF(AND(G521,H521),"PASS_TO_PASS",IF(G521,"PASS_TO_FAIL",IF(H521,"FAIL_TO_PASS","FAIL_TO_FAIL")))</f>
        <v>PASS_TO_PASS</v>
      </c>
    </row>
    <row r="522" customFormat="false" ht="15" hidden="false" customHeight="false" outlineLevel="0" collapsed="false">
      <c r="A522" s="7" t="s">
        <v>82</v>
      </c>
      <c r="B522" s="7" t="s">
        <v>83</v>
      </c>
      <c r="C522" s="7" t="s">
        <v>49</v>
      </c>
      <c r="D522" s="7" t="s">
        <v>105</v>
      </c>
      <c r="E522" s="7" t="s">
        <v>51</v>
      </c>
      <c r="F522" s="7" t="s">
        <v>135</v>
      </c>
      <c r="G522" s="8" t="b">
        <f aca="false">TRUE()</f>
        <v>1</v>
      </c>
      <c r="H522" s="8" t="b">
        <f aca="false">TRUE()</f>
        <v>1</v>
      </c>
      <c r="I522" s="7" t="str">
        <f aca="false">IF(AND(G522,H522),"PASS_TO_PASS",IF(G522,"PASS_TO_FAIL",IF(H522,"FAIL_TO_PASS","FAIL_TO_FAIL")))</f>
        <v>PASS_TO_PASS</v>
      </c>
    </row>
    <row r="523" customFormat="false" ht="15" hidden="false" customHeight="false" outlineLevel="0" collapsed="false">
      <c r="A523" s="7" t="s">
        <v>82</v>
      </c>
      <c r="B523" s="7" t="s">
        <v>83</v>
      </c>
      <c r="C523" s="7" t="s">
        <v>49</v>
      </c>
      <c r="D523" s="7" t="s">
        <v>105</v>
      </c>
      <c r="E523" s="7" t="s">
        <v>51</v>
      </c>
      <c r="F523" s="7" t="s">
        <v>136</v>
      </c>
      <c r="G523" s="8" t="b">
        <f aca="false">TRUE()</f>
        <v>1</v>
      </c>
      <c r="H523" s="8" t="b">
        <f aca="false">TRUE()</f>
        <v>1</v>
      </c>
      <c r="I523" s="7" t="str">
        <f aca="false">IF(AND(G523,H523),"PASS_TO_PASS",IF(G523,"PASS_TO_FAIL",IF(H523,"FAIL_TO_PASS","FAIL_TO_FAIL")))</f>
        <v>PASS_TO_PASS</v>
      </c>
    </row>
    <row r="524" customFormat="false" ht="15" hidden="false" customHeight="false" outlineLevel="0" collapsed="false">
      <c r="A524" s="7" t="s">
        <v>82</v>
      </c>
      <c r="B524" s="7" t="s">
        <v>83</v>
      </c>
      <c r="C524" s="7" t="s">
        <v>49</v>
      </c>
      <c r="D524" s="7" t="s">
        <v>105</v>
      </c>
      <c r="E524" s="7" t="s">
        <v>51</v>
      </c>
      <c r="F524" s="7" t="s">
        <v>137</v>
      </c>
      <c r="G524" s="8" t="b">
        <f aca="false">TRUE()</f>
        <v>1</v>
      </c>
      <c r="H524" s="8" t="b">
        <f aca="false">FALSE()</f>
        <v>0</v>
      </c>
      <c r="I524" s="7" t="str">
        <f aca="false">IF(AND(G524,H524),"PASS_TO_PASS",IF(G524,"PASS_TO_FAIL",IF(H524,"FAIL_TO_PASS","FAIL_TO_FAIL")))</f>
        <v>PASS_TO_FAIL</v>
      </c>
    </row>
    <row r="525" customFormat="false" ht="15" hidden="false" customHeight="false" outlineLevel="0" collapsed="false">
      <c r="A525" s="7" t="s">
        <v>82</v>
      </c>
      <c r="B525" s="7" t="s">
        <v>83</v>
      </c>
      <c r="C525" s="7" t="s">
        <v>49</v>
      </c>
      <c r="D525" s="7" t="s">
        <v>105</v>
      </c>
      <c r="E525" s="7" t="s">
        <v>51</v>
      </c>
      <c r="F525" s="7" t="s">
        <v>138</v>
      </c>
      <c r="G525" s="8" t="b">
        <f aca="false">TRUE()</f>
        <v>1</v>
      </c>
      <c r="H525" s="8" t="b">
        <f aca="false">TRUE()</f>
        <v>1</v>
      </c>
      <c r="I525" s="7" t="str">
        <f aca="false">IF(AND(G525,H525),"PASS_TO_PASS",IF(G525,"PASS_TO_FAIL",IF(H525,"FAIL_TO_PASS","FAIL_TO_FAIL")))</f>
        <v>PASS_TO_PASS</v>
      </c>
    </row>
    <row r="526" customFormat="false" ht="15" hidden="false" customHeight="false" outlineLevel="0" collapsed="false">
      <c r="A526" s="7" t="s">
        <v>82</v>
      </c>
      <c r="B526" s="7" t="s">
        <v>83</v>
      </c>
      <c r="C526" s="7" t="s">
        <v>49</v>
      </c>
      <c r="D526" s="7" t="s">
        <v>105</v>
      </c>
      <c r="E526" s="7" t="s">
        <v>51</v>
      </c>
      <c r="F526" s="7" t="s">
        <v>139</v>
      </c>
      <c r="G526" s="8" t="b">
        <f aca="false">TRUE()</f>
        <v>1</v>
      </c>
      <c r="H526" s="8" t="b">
        <f aca="false">TRUE()</f>
        <v>1</v>
      </c>
      <c r="I526" s="7" t="str">
        <f aca="false">IF(AND(G526,H526),"PASS_TO_PASS",IF(G526,"PASS_TO_FAIL",IF(H526,"FAIL_TO_PASS","FAIL_TO_FAIL")))</f>
        <v>PASS_TO_PASS</v>
      </c>
    </row>
    <row r="527" customFormat="false" ht="15" hidden="false" customHeight="false" outlineLevel="0" collapsed="false">
      <c r="A527" s="7" t="s">
        <v>82</v>
      </c>
      <c r="B527" s="7" t="s">
        <v>83</v>
      </c>
      <c r="C527" s="7" t="s">
        <v>49</v>
      </c>
      <c r="D527" s="7" t="s">
        <v>105</v>
      </c>
      <c r="E527" s="7" t="s">
        <v>51</v>
      </c>
      <c r="F527" s="7" t="s">
        <v>140</v>
      </c>
      <c r="G527" s="8" t="b">
        <f aca="false">TRUE()</f>
        <v>1</v>
      </c>
      <c r="H527" s="8" t="b">
        <f aca="false">TRUE()</f>
        <v>1</v>
      </c>
      <c r="I527" s="7" t="str">
        <f aca="false">IF(AND(G527,H527),"PASS_TO_PASS",IF(G527,"PASS_TO_FAIL",IF(H527,"FAIL_TO_PASS","FAIL_TO_FAIL")))</f>
        <v>PASS_TO_PASS</v>
      </c>
    </row>
    <row r="528" customFormat="false" ht="15" hidden="false" customHeight="false" outlineLevel="0" collapsed="false">
      <c r="A528" s="7" t="s">
        <v>82</v>
      </c>
      <c r="B528" s="7" t="s">
        <v>83</v>
      </c>
      <c r="C528" s="7" t="s">
        <v>49</v>
      </c>
      <c r="D528" s="7" t="s">
        <v>105</v>
      </c>
      <c r="E528" s="7" t="s">
        <v>51</v>
      </c>
      <c r="F528" s="7" t="s">
        <v>141</v>
      </c>
      <c r="G528" s="8" t="b">
        <f aca="false">TRUE()</f>
        <v>1</v>
      </c>
      <c r="H528" s="8" t="b">
        <f aca="false">TRUE()</f>
        <v>1</v>
      </c>
      <c r="I528" s="7" t="str">
        <f aca="false">IF(AND(G528,H528),"PASS_TO_PASS",IF(G528,"PASS_TO_FAIL",IF(H528,"FAIL_TO_PASS","FAIL_TO_FAIL")))</f>
        <v>PASS_TO_PASS</v>
      </c>
    </row>
    <row r="529" customFormat="false" ht="15" hidden="false" customHeight="false" outlineLevel="0" collapsed="false">
      <c r="A529" s="7" t="s">
        <v>82</v>
      </c>
      <c r="B529" s="7" t="s">
        <v>83</v>
      </c>
      <c r="C529" s="7" t="s">
        <v>49</v>
      </c>
      <c r="D529" s="7" t="s">
        <v>105</v>
      </c>
      <c r="E529" s="7" t="s">
        <v>51</v>
      </c>
      <c r="F529" s="7" t="s">
        <v>142</v>
      </c>
      <c r="G529" s="8" t="b">
        <f aca="false">TRUE()</f>
        <v>1</v>
      </c>
      <c r="H529" s="8" t="b">
        <f aca="false">TRUE()</f>
        <v>1</v>
      </c>
      <c r="I529" s="7" t="str">
        <f aca="false">IF(AND(G529,H529),"PASS_TO_PASS",IF(G529,"PASS_TO_FAIL",IF(H529,"FAIL_TO_PASS","FAIL_TO_FAIL")))</f>
        <v>PASS_TO_PASS</v>
      </c>
    </row>
    <row r="530" customFormat="false" ht="15" hidden="false" customHeight="false" outlineLevel="0" collapsed="false">
      <c r="A530" s="7" t="s">
        <v>82</v>
      </c>
      <c r="B530" s="7" t="s">
        <v>83</v>
      </c>
      <c r="C530" s="7" t="s">
        <v>49</v>
      </c>
      <c r="D530" s="7" t="s">
        <v>105</v>
      </c>
      <c r="E530" s="7" t="s">
        <v>51</v>
      </c>
      <c r="F530" s="7" t="s">
        <v>143</v>
      </c>
      <c r="G530" s="8" t="b">
        <f aca="false">TRUE()</f>
        <v>1</v>
      </c>
      <c r="H530" s="8" t="b">
        <f aca="false">TRUE()</f>
        <v>1</v>
      </c>
      <c r="I530" s="7" t="str">
        <f aca="false">IF(AND(G530,H530),"PASS_TO_PASS",IF(G530,"PASS_TO_FAIL",IF(H530,"FAIL_TO_PASS","FAIL_TO_FAIL")))</f>
        <v>PASS_TO_PASS</v>
      </c>
    </row>
    <row r="531" customFormat="false" ht="15" hidden="false" customHeight="false" outlineLevel="0" collapsed="false">
      <c r="A531" s="7" t="s">
        <v>82</v>
      </c>
      <c r="B531" s="7" t="s">
        <v>83</v>
      </c>
      <c r="C531" s="7" t="s">
        <v>49</v>
      </c>
      <c r="D531" s="7" t="s">
        <v>105</v>
      </c>
      <c r="E531" s="7" t="s">
        <v>51</v>
      </c>
      <c r="F531" s="7" t="s">
        <v>144</v>
      </c>
      <c r="G531" s="8" t="b">
        <f aca="false">TRUE()</f>
        <v>1</v>
      </c>
      <c r="H531" s="8" t="b">
        <f aca="false">TRUE()</f>
        <v>1</v>
      </c>
      <c r="I531" s="7" t="str">
        <f aca="false">IF(AND(G531,H531),"PASS_TO_PASS",IF(G531,"PASS_TO_FAIL",IF(H531,"FAIL_TO_PASS","FAIL_TO_FAIL")))</f>
        <v>PASS_TO_PASS</v>
      </c>
    </row>
    <row r="532" customFormat="false" ht="15" hidden="false" customHeight="false" outlineLevel="0" collapsed="false">
      <c r="A532" s="7" t="s">
        <v>82</v>
      </c>
      <c r="B532" s="7" t="s">
        <v>83</v>
      </c>
      <c r="C532" s="7" t="s">
        <v>49</v>
      </c>
      <c r="D532" s="7" t="s">
        <v>105</v>
      </c>
      <c r="E532" s="7" t="s">
        <v>51</v>
      </c>
      <c r="F532" s="7" t="s">
        <v>145</v>
      </c>
      <c r="G532" s="8" t="b">
        <f aca="false">TRUE()</f>
        <v>1</v>
      </c>
      <c r="H532" s="8" t="b">
        <f aca="false">TRUE()</f>
        <v>1</v>
      </c>
      <c r="I532" s="7" t="str">
        <f aca="false">IF(AND(G532,H532),"PASS_TO_PASS",IF(G532,"PASS_TO_FAIL",IF(H532,"FAIL_TO_PASS","FAIL_TO_FAIL")))</f>
        <v>PASS_TO_PASS</v>
      </c>
    </row>
    <row r="533" customFormat="false" ht="15" hidden="false" customHeight="false" outlineLevel="0" collapsed="false">
      <c r="A533" s="7" t="s">
        <v>48</v>
      </c>
      <c r="B533" s="7" t="s">
        <v>10</v>
      </c>
      <c r="C533" s="7" t="s">
        <v>49</v>
      </c>
      <c r="D533" s="7" t="s">
        <v>106</v>
      </c>
      <c r="E533" s="7" t="s">
        <v>51</v>
      </c>
      <c r="F533" s="7" t="s">
        <v>134</v>
      </c>
      <c r="G533" s="8" t="b">
        <f aca="false">TRUE()</f>
        <v>1</v>
      </c>
      <c r="H533" s="8" t="b">
        <f aca="false">TRUE()</f>
        <v>1</v>
      </c>
      <c r="I533" s="7" t="str">
        <f aca="false">IF(AND(G533,H533),"PASS_TO_PASS",IF(G533,"PASS_TO_FAIL",IF(H533,"FAIL_TO_PASS","FAIL_TO_FAIL")))</f>
        <v>PASS_TO_PASS</v>
      </c>
    </row>
    <row r="534" customFormat="false" ht="15" hidden="false" customHeight="false" outlineLevel="0" collapsed="false">
      <c r="A534" s="7" t="s">
        <v>48</v>
      </c>
      <c r="B534" s="7" t="s">
        <v>10</v>
      </c>
      <c r="C534" s="7" t="s">
        <v>49</v>
      </c>
      <c r="D534" s="7" t="s">
        <v>106</v>
      </c>
      <c r="E534" s="7" t="s">
        <v>51</v>
      </c>
      <c r="F534" s="7" t="s">
        <v>135</v>
      </c>
      <c r="G534" s="8" t="b">
        <f aca="false">TRUE()</f>
        <v>1</v>
      </c>
      <c r="H534" s="8" t="b">
        <f aca="false">TRUE()</f>
        <v>1</v>
      </c>
      <c r="I534" s="7" t="str">
        <f aca="false">IF(AND(G534,H534),"PASS_TO_PASS",IF(G534,"PASS_TO_FAIL",IF(H534,"FAIL_TO_PASS","FAIL_TO_FAIL")))</f>
        <v>PASS_TO_PASS</v>
      </c>
    </row>
    <row r="535" customFormat="false" ht="15" hidden="false" customHeight="false" outlineLevel="0" collapsed="false">
      <c r="A535" s="7" t="s">
        <v>48</v>
      </c>
      <c r="B535" s="7" t="s">
        <v>10</v>
      </c>
      <c r="C535" s="7" t="s">
        <v>49</v>
      </c>
      <c r="D535" s="7" t="s">
        <v>106</v>
      </c>
      <c r="E535" s="7" t="s">
        <v>51</v>
      </c>
      <c r="F535" s="7" t="s">
        <v>136</v>
      </c>
      <c r="G535" s="8" t="b">
        <f aca="false">TRUE()</f>
        <v>1</v>
      </c>
      <c r="H535" s="8" t="b">
        <f aca="false">TRUE()</f>
        <v>1</v>
      </c>
      <c r="I535" s="7" t="str">
        <f aca="false">IF(AND(G535,H535),"PASS_TO_PASS",IF(G535,"PASS_TO_FAIL",IF(H535,"FAIL_TO_PASS","FAIL_TO_FAIL")))</f>
        <v>PASS_TO_PASS</v>
      </c>
    </row>
    <row r="536" customFormat="false" ht="15" hidden="false" customHeight="false" outlineLevel="0" collapsed="false">
      <c r="A536" s="7" t="s">
        <v>48</v>
      </c>
      <c r="B536" s="7" t="s">
        <v>10</v>
      </c>
      <c r="C536" s="7" t="s">
        <v>49</v>
      </c>
      <c r="D536" s="7" t="s">
        <v>106</v>
      </c>
      <c r="E536" s="7" t="s">
        <v>51</v>
      </c>
      <c r="F536" s="7" t="s">
        <v>137</v>
      </c>
      <c r="G536" s="8" t="b">
        <f aca="false">TRUE()</f>
        <v>1</v>
      </c>
      <c r="H536" s="8" t="b">
        <f aca="false">TRUE()</f>
        <v>1</v>
      </c>
      <c r="I536" s="7" t="str">
        <f aca="false">IF(AND(G536,H536),"PASS_TO_PASS",IF(G536,"PASS_TO_FAIL",IF(H536,"FAIL_TO_PASS","FAIL_TO_FAIL")))</f>
        <v>PASS_TO_PASS</v>
      </c>
    </row>
    <row r="537" customFormat="false" ht="15" hidden="false" customHeight="false" outlineLevel="0" collapsed="false">
      <c r="A537" s="7" t="s">
        <v>48</v>
      </c>
      <c r="B537" s="7" t="s">
        <v>10</v>
      </c>
      <c r="C537" s="7" t="s">
        <v>49</v>
      </c>
      <c r="D537" s="7" t="s">
        <v>106</v>
      </c>
      <c r="E537" s="7" t="s">
        <v>51</v>
      </c>
      <c r="F537" s="7" t="s">
        <v>138</v>
      </c>
      <c r="G537" s="8" t="b">
        <f aca="false">TRUE()</f>
        <v>1</v>
      </c>
      <c r="H537" s="8" t="b">
        <f aca="false">TRUE()</f>
        <v>1</v>
      </c>
      <c r="I537" s="7" t="str">
        <f aca="false">IF(AND(G537,H537),"PASS_TO_PASS",IF(G537,"PASS_TO_FAIL",IF(H537,"FAIL_TO_PASS","FAIL_TO_FAIL")))</f>
        <v>PASS_TO_PASS</v>
      </c>
    </row>
    <row r="538" customFormat="false" ht="15" hidden="false" customHeight="false" outlineLevel="0" collapsed="false">
      <c r="A538" s="7" t="s">
        <v>48</v>
      </c>
      <c r="B538" s="7" t="s">
        <v>10</v>
      </c>
      <c r="C538" s="7" t="s">
        <v>49</v>
      </c>
      <c r="D538" s="7" t="s">
        <v>106</v>
      </c>
      <c r="E538" s="7" t="s">
        <v>51</v>
      </c>
      <c r="F538" s="7" t="s">
        <v>139</v>
      </c>
      <c r="G538" s="8" t="b">
        <f aca="false">TRUE()</f>
        <v>1</v>
      </c>
      <c r="H538" s="8" t="b">
        <f aca="false">TRUE()</f>
        <v>1</v>
      </c>
      <c r="I538" s="7" t="str">
        <f aca="false">IF(AND(G538,H538),"PASS_TO_PASS",IF(G538,"PASS_TO_FAIL",IF(H538,"FAIL_TO_PASS","FAIL_TO_FAIL")))</f>
        <v>PASS_TO_PASS</v>
      </c>
    </row>
    <row r="539" customFormat="false" ht="15" hidden="false" customHeight="false" outlineLevel="0" collapsed="false">
      <c r="A539" s="7" t="s">
        <v>48</v>
      </c>
      <c r="B539" s="7" t="s">
        <v>10</v>
      </c>
      <c r="C539" s="7" t="s">
        <v>49</v>
      </c>
      <c r="D539" s="7" t="s">
        <v>106</v>
      </c>
      <c r="E539" s="7" t="s">
        <v>51</v>
      </c>
      <c r="F539" s="7" t="s">
        <v>140</v>
      </c>
      <c r="G539" s="8" t="b">
        <f aca="false">TRUE()</f>
        <v>1</v>
      </c>
      <c r="H539" s="8" t="b">
        <f aca="false">TRUE()</f>
        <v>1</v>
      </c>
      <c r="I539" s="7" t="str">
        <f aca="false">IF(AND(G539,H539),"PASS_TO_PASS",IF(G539,"PASS_TO_FAIL",IF(H539,"FAIL_TO_PASS","FAIL_TO_FAIL")))</f>
        <v>PASS_TO_PASS</v>
      </c>
    </row>
    <row r="540" customFormat="false" ht="15" hidden="false" customHeight="false" outlineLevel="0" collapsed="false">
      <c r="A540" s="7" t="s">
        <v>48</v>
      </c>
      <c r="B540" s="7" t="s">
        <v>10</v>
      </c>
      <c r="C540" s="7" t="s">
        <v>49</v>
      </c>
      <c r="D540" s="7" t="s">
        <v>106</v>
      </c>
      <c r="E540" s="7" t="s">
        <v>51</v>
      </c>
      <c r="F540" s="7" t="s">
        <v>141</v>
      </c>
      <c r="G540" s="8" t="b">
        <f aca="false">TRUE()</f>
        <v>1</v>
      </c>
      <c r="H540" s="8" t="b">
        <f aca="false">TRUE()</f>
        <v>1</v>
      </c>
      <c r="I540" s="7" t="str">
        <f aca="false">IF(AND(G540,H540),"PASS_TO_PASS",IF(G540,"PASS_TO_FAIL",IF(H540,"FAIL_TO_PASS","FAIL_TO_FAIL")))</f>
        <v>PASS_TO_PASS</v>
      </c>
    </row>
    <row r="541" customFormat="false" ht="15" hidden="false" customHeight="false" outlineLevel="0" collapsed="false">
      <c r="A541" s="7" t="s">
        <v>48</v>
      </c>
      <c r="B541" s="7" t="s">
        <v>10</v>
      </c>
      <c r="C541" s="7" t="s">
        <v>49</v>
      </c>
      <c r="D541" s="7" t="s">
        <v>106</v>
      </c>
      <c r="E541" s="7" t="s">
        <v>51</v>
      </c>
      <c r="F541" s="7" t="s">
        <v>142</v>
      </c>
      <c r="G541" s="8" t="b">
        <f aca="false">TRUE()</f>
        <v>1</v>
      </c>
      <c r="H541" s="8" t="b">
        <f aca="false">TRUE()</f>
        <v>1</v>
      </c>
      <c r="I541" s="7" t="str">
        <f aca="false">IF(AND(G541,H541),"PASS_TO_PASS",IF(G541,"PASS_TO_FAIL",IF(H541,"FAIL_TO_PASS","FAIL_TO_FAIL")))</f>
        <v>PASS_TO_PASS</v>
      </c>
    </row>
    <row r="542" customFormat="false" ht="15" hidden="false" customHeight="false" outlineLevel="0" collapsed="false">
      <c r="A542" s="7" t="s">
        <v>48</v>
      </c>
      <c r="B542" s="7" t="s">
        <v>10</v>
      </c>
      <c r="C542" s="7" t="s">
        <v>49</v>
      </c>
      <c r="D542" s="7" t="s">
        <v>106</v>
      </c>
      <c r="E542" s="7" t="s">
        <v>51</v>
      </c>
      <c r="F542" s="7" t="s">
        <v>143</v>
      </c>
      <c r="G542" s="8" t="b">
        <f aca="false">FALSE()</f>
        <v>0</v>
      </c>
      <c r="H542" s="8" t="b">
        <f aca="false">TRUE()</f>
        <v>1</v>
      </c>
      <c r="I542" s="7" t="str">
        <f aca="false">IF(AND(G542,H542),"PASS_TO_PASS",IF(G542,"PASS_TO_FAIL",IF(H542,"FAIL_TO_PASS","FAIL_TO_FAIL")))</f>
        <v>FAIL_TO_PASS</v>
      </c>
    </row>
    <row r="543" customFormat="false" ht="15" hidden="false" customHeight="false" outlineLevel="0" collapsed="false">
      <c r="A543" s="7" t="s">
        <v>48</v>
      </c>
      <c r="B543" s="7" t="s">
        <v>10</v>
      </c>
      <c r="C543" s="7" t="s">
        <v>49</v>
      </c>
      <c r="D543" s="7" t="s">
        <v>106</v>
      </c>
      <c r="E543" s="7" t="s">
        <v>51</v>
      </c>
      <c r="F543" s="7" t="s">
        <v>144</v>
      </c>
      <c r="G543" s="8" t="b">
        <f aca="false">TRUE()</f>
        <v>1</v>
      </c>
      <c r="H543" s="8" t="b">
        <f aca="false">TRUE()</f>
        <v>1</v>
      </c>
      <c r="I543" s="7" t="str">
        <f aca="false">IF(AND(G543,H543),"PASS_TO_PASS",IF(G543,"PASS_TO_FAIL",IF(H543,"FAIL_TO_PASS","FAIL_TO_FAIL")))</f>
        <v>PASS_TO_PASS</v>
      </c>
    </row>
    <row r="544" customFormat="false" ht="15" hidden="false" customHeight="false" outlineLevel="0" collapsed="false">
      <c r="A544" s="7" t="s">
        <v>48</v>
      </c>
      <c r="B544" s="7" t="s">
        <v>10</v>
      </c>
      <c r="C544" s="7" t="s">
        <v>49</v>
      </c>
      <c r="D544" s="7" t="s">
        <v>106</v>
      </c>
      <c r="E544" s="7" t="s">
        <v>51</v>
      </c>
      <c r="F544" s="7" t="s">
        <v>145</v>
      </c>
      <c r="G544" s="8" t="b">
        <f aca="false">TRUE()</f>
        <v>1</v>
      </c>
      <c r="H544" s="8" t="b">
        <f aca="false">TRUE()</f>
        <v>1</v>
      </c>
      <c r="I544" s="7" t="str">
        <f aca="false">IF(AND(G544,H544),"PASS_TO_PASS",IF(G544,"PASS_TO_FAIL",IF(H544,"FAIL_TO_PASS","FAIL_TO_FAIL")))</f>
        <v>PASS_TO_PASS</v>
      </c>
    </row>
    <row r="545" customFormat="false" ht="15" hidden="false" customHeight="false" outlineLevel="0" collapsed="false">
      <c r="A545" s="7" t="s">
        <v>82</v>
      </c>
      <c r="B545" s="7" t="s">
        <v>83</v>
      </c>
      <c r="C545" s="7" t="s">
        <v>49</v>
      </c>
      <c r="D545" s="7" t="s">
        <v>106</v>
      </c>
      <c r="E545" s="7" t="s">
        <v>51</v>
      </c>
      <c r="F545" s="7" t="s">
        <v>134</v>
      </c>
      <c r="G545" s="8" t="b">
        <f aca="false">TRUE()</f>
        <v>1</v>
      </c>
      <c r="H545" s="8" t="b">
        <f aca="false">TRUE()</f>
        <v>1</v>
      </c>
      <c r="I545" s="7" t="str">
        <f aca="false">IF(AND(G545,H545),"PASS_TO_PASS",IF(G545,"PASS_TO_FAIL",IF(H545,"FAIL_TO_PASS","FAIL_TO_FAIL")))</f>
        <v>PASS_TO_PASS</v>
      </c>
    </row>
    <row r="546" customFormat="false" ht="15" hidden="false" customHeight="false" outlineLevel="0" collapsed="false">
      <c r="A546" s="7" t="s">
        <v>82</v>
      </c>
      <c r="B546" s="7" t="s">
        <v>83</v>
      </c>
      <c r="C546" s="7" t="s">
        <v>49</v>
      </c>
      <c r="D546" s="7" t="s">
        <v>106</v>
      </c>
      <c r="E546" s="7" t="s">
        <v>51</v>
      </c>
      <c r="F546" s="7" t="s">
        <v>135</v>
      </c>
      <c r="G546" s="8" t="b">
        <f aca="false">TRUE()</f>
        <v>1</v>
      </c>
      <c r="H546" s="8" t="b">
        <f aca="false">TRUE()</f>
        <v>1</v>
      </c>
      <c r="I546" s="7" t="str">
        <f aca="false">IF(AND(G546,H546),"PASS_TO_PASS",IF(G546,"PASS_TO_FAIL",IF(H546,"FAIL_TO_PASS","FAIL_TO_FAIL")))</f>
        <v>PASS_TO_PASS</v>
      </c>
    </row>
    <row r="547" customFormat="false" ht="15" hidden="false" customHeight="false" outlineLevel="0" collapsed="false">
      <c r="A547" s="7" t="s">
        <v>82</v>
      </c>
      <c r="B547" s="7" t="s">
        <v>83</v>
      </c>
      <c r="C547" s="7" t="s">
        <v>49</v>
      </c>
      <c r="D547" s="7" t="s">
        <v>106</v>
      </c>
      <c r="E547" s="7" t="s">
        <v>51</v>
      </c>
      <c r="F547" s="7" t="s">
        <v>136</v>
      </c>
      <c r="G547" s="8" t="b">
        <f aca="false">TRUE()</f>
        <v>1</v>
      </c>
      <c r="H547" s="8" t="b">
        <f aca="false">TRUE()</f>
        <v>1</v>
      </c>
      <c r="I547" s="7" t="str">
        <f aca="false">IF(AND(G547,H547),"PASS_TO_PASS",IF(G547,"PASS_TO_FAIL",IF(H547,"FAIL_TO_PASS","FAIL_TO_FAIL")))</f>
        <v>PASS_TO_PASS</v>
      </c>
    </row>
    <row r="548" customFormat="false" ht="15" hidden="false" customHeight="false" outlineLevel="0" collapsed="false">
      <c r="A548" s="7" t="s">
        <v>82</v>
      </c>
      <c r="B548" s="7" t="s">
        <v>83</v>
      </c>
      <c r="C548" s="7" t="s">
        <v>49</v>
      </c>
      <c r="D548" s="7" t="s">
        <v>106</v>
      </c>
      <c r="E548" s="7" t="s">
        <v>51</v>
      </c>
      <c r="F548" s="7" t="s">
        <v>137</v>
      </c>
      <c r="G548" s="8" t="b">
        <f aca="false">TRUE()</f>
        <v>1</v>
      </c>
      <c r="H548" s="8" t="b">
        <f aca="false">TRUE()</f>
        <v>1</v>
      </c>
      <c r="I548" s="7" t="str">
        <f aca="false">IF(AND(G548,H548),"PASS_TO_PASS",IF(G548,"PASS_TO_FAIL",IF(H548,"FAIL_TO_PASS","FAIL_TO_FAIL")))</f>
        <v>PASS_TO_PASS</v>
      </c>
    </row>
    <row r="549" customFormat="false" ht="15" hidden="false" customHeight="false" outlineLevel="0" collapsed="false">
      <c r="A549" s="7" t="s">
        <v>82</v>
      </c>
      <c r="B549" s="7" t="s">
        <v>83</v>
      </c>
      <c r="C549" s="7" t="s">
        <v>49</v>
      </c>
      <c r="D549" s="7" t="s">
        <v>106</v>
      </c>
      <c r="E549" s="7" t="s">
        <v>51</v>
      </c>
      <c r="F549" s="7" t="s">
        <v>138</v>
      </c>
      <c r="G549" s="8" t="b">
        <f aca="false">TRUE()</f>
        <v>1</v>
      </c>
      <c r="H549" s="8" t="b">
        <f aca="false">TRUE()</f>
        <v>1</v>
      </c>
      <c r="I549" s="7" t="str">
        <f aca="false">IF(AND(G549,H549),"PASS_TO_PASS",IF(G549,"PASS_TO_FAIL",IF(H549,"FAIL_TO_PASS","FAIL_TO_FAIL")))</f>
        <v>PASS_TO_PASS</v>
      </c>
    </row>
    <row r="550" customFormat="false" ht="15" hidden="false" customHeight="false" outlineLevel="0" collapsed="false">
      <c r="A550" s="7" t="s">
        <v>82</v>
      </c>
      <c r="B550" s="7" t="s">
        <v>83</v>
      </c>
      <c r="C550" s="7" t="s">
        <v>49</v>
      </c>
      <c r="D550" s="7" t="s">
        <v>106</v>
      </c>
      <c r="E550" s="7" t="s">
        <v>51</v>
      </c>
      <c r="F550" s="7" t="s">
        <v>139</v>
      </c>
      <c r="G550" s="8" t="b">
        <f aca="false">TRUE()</f>
        <v>1</v>
      </c>
      <c r="H550" s="8" t="b">
        <f aca="false">TRUE()</f>
        <v>1</v>
      </c>
      <c r="I550" s="7" t="str">
        <f aca="false">IF(AND(G550,H550),"PASS_TO_PASS",IF(G550,"PASS_TO_FAIL",IF(H550,"FAIL_TO_PASS","FAIL_TO_FAIL")))</f>
        <v>PASS_TO_PASS</v>
      </c>
    </row>
    <row r="551" customFormat="false" ht="15" hidden="false" customHeight="false" outlineLevel="0" collapsed="false">
      <c r="A551" s="7" t="s">
        <v>82</v>
      </c>
      <c r="B551" s="7" t="s">
        <v>83</v>
      </c>
      <c r="C551" s="7" t="s">
        <v>49</v>
      </c>
      <c r="D551" s="7" t="s">
        <v>106</v>
      </c>
      <c r="E551" s="7" t="s">
        <v>51</v>
      </c>
      <c r="F551" s="7" t="s">
        <v>140</v>
      </c>
      <c r="G551" s="8" t="b">
        <f aca="false">TRUE()</f>
        <v>1</v>
      </c>
      <c r="H551" s="8" t="b">
        <f aca="false">TRUE()</f>
        <v>1</v>
      </c>
      <c r="I551" s="7" t="str">
        <f aca="false">IF(AND(G551,H551),"PASS_TO_PASS",IF(G551,"PASS_TO_FAIL",IF(H551,"FAIL_TO_PASS","FAIL_TO_FAIL")))</f>
        <v>PASS_TO_PASS</v>
      </c>
    </row>
    <row r="552" customFormat="false" ht="15" hidden="false" customHeight="false" outlineLevel="0" collapsed="false">
      <c r="A552" s="7" t="s">
        <v>82</v>
      </c>
      <c r="B552" s="7" t="s">
        <v>83</v>
      </c>
      <c r="C552" s="7" t="s">
        <v>49</v>
      </c>
      <c r="D552" s="7" t="s">
        <v>106</v>
      </c>
      <c r="E552" s="7" t="s">
        <v>51</v>
      </c>
      <c r="F552" s="7" t="s">
        <v>141</v>
      </c>
      <c r="G552" s="8" t="b">
        <f aca="false">TRUE()</f>
        <v>1</v>
      </c>
      <c r="H552" s="8" t="b">
        <f aca="false">TRUE()</f>
        <v>1</v>
      </c>
      <c r="I552" s="7" t="str">
        <f aca="false">IF(AND(G552,H552),"PASS_TO_PASS",IF(G552,"PASS_TO_FAIL",IF(H552,"FAIL_TO_PASS","FAIL_TO_FAIL")))</f>
        <v>PASS_TO_PASS</v>
      </c>
    </row>
    <row r="553" customFormat="false" ht="15" hidden="false" customHeight="false" outlineLevel="0" collapsed="false">
      <c r="A553" s="7" t="s">
        <v>82</v>
      </c>
      <c r="B553" s="7" t="s">
        <v>83</v>
      </c>
      <c r="C553" s="7" t="s">
        <v>49</v>
      </c>
      <c r="D553" s="7" t="s">
        <v>106</v>
      </c>
      <c r="E553" s="7" t="s">
        <v>51</v>
      </c>
      <c r="F553" s="7" t="s">
        <v>142</v>
      </c>
      <c r="G553" s="8" t="b">
        <f aca="false">TRUE()</f>
        <v>1</v>
      </c>
      <c r="H553" s="8" t="b">
        <f aca="false">TRUE()</f>
        <v>1</v>
      </c>
      <c r="I553" s="7" t="str">
        <f aca="false">IF(AND(G553,H553),"PASS_TO_PASS",IF(G553,"PASS_TO_FAIL",IF(H553,"FAIL_TO_PASS","FAIL_TO_FAIL")))</f>
        <v>PASS_TO_PASS</v>
      </c>
    </row>
    <row r="554" customFormat="false" ht="15" hidden="false" customHeight="false" outlineLevel="0" collapsed="false">
      <c r="A554" s="7" t="s">
        <v>82</v>
      </c>
      <c r="B554" s="7" t="s">
        <v>83</v>
      </c>
      <c r="C554" s="7" t="s">
        <v>49</v>
      </c>
      <c r="D554" s="7" t="s">
        <v>106</v>
      </c>
      <c r="E554" s="7" t="s">
        <v>51</v>
      </c>
      <c r="F554" s="7" t="s">
        <v>143</v>
      </c>
      <c r="G554" s="8" t="b">
        <f aca="false">FALSE()</f>
        <v>0</v>
      </c>
      <c r="H554" s="8" t="b">
        <f aca="false">TRUE()</f>
        <v>1</v>
      </c>
      <c r="I554" s="7" t="str">
        <f aca="false">IF(AND(G554,H554),"PASS_TO_PASS",IF(G554,"PASS_TO_FAIL",IF(H554,"FAIL_TO_PASS","FAIL_TO_FAIL")))</f>
        <v>FAIL_TO_PASS</v>
      </c>
    </row>
    <row r="555" customFormat="false" ht="15" hidden="false" customHeight="false" outlineLevel="0" collapsed="false">
      <c r="A555" s="7" t="s">
        <v>82</v>
      </c>
      <c r="B555" s="7" t="s">
        <v>83</v>
      </c>
      <c r="C555" s="7" t="s">
        <v>49</v>
      </c>
      <c r="D555" s="7" t="s">
        <v>106</v>
      </c>
      <c r="E555" s="7" t="s">
        <v>51</v>
      </c>
      <c r="F555" s="7" t="s">
        <v>144</v>
      </c>
      <c r="G555" s="8" t="b">
        <f aca="false">TRUE()</f>
        <v>1</v>
      </c>
      <c r="H555" s="8" t="b">
        <f aca="false">TRUE()</f>
        <v>1</v>
      </c>
      <c r="I555" s="7" t="str">
        <f aca="false">IF(AND(G555,H555),"PASS_TO_PASS",IF(G555,"PASS_TO_FAIL",IF(H555,"FAIL_TO_PASS","FAIL_TO_FAIL")))</f>
        <v>PASS_TO_PASS</v>
      </c>
    </row>
    <row r="556" customFormat="false" ht="15" hidden="false" customHeight="false" outlineLevel="0" collapsed="false">
      <c r="A556" s="7" t="s">
        <v>82</v>
      </c>
      <c r="B556" s="7" t="s">
        <v>83</v>
      </c>
      <c r="C556" s="7" t="s">
        <v>49</v>
      </c>
      <c r="D556" s="7" t="s">
        <v>106</v>
      </c>
      <c r="E556" s="7" t="s">
        <v>51</v>
      </c>
      <c r="F556" s="7" t="s">
        <v>145</v>
      </c>
      <c r="G556" s="8" t="b">
        <f aca="false">FALSE()</f>
        <v>0</v>
      </c>
      <c r="H556" s="8" t="b">
        <f aca="false">TRUE()</f>
        <v>1</v>
      </c>
      <c r="I556" s="7" t="str">
        <f aca="false">IF(AND(G556,H556),"PASS_TO_PASS",IF(G556,"PASS_TO_FAIL",IF(H556,"FAIL_TO_PASS","FAIL_TO_FAIL")))</f>
        <v>FAIL_TO_PASS</v>
      </c>
    </row>
    <row r="557" customFormat="false" ht="15" hidden="false" customHeight="false" outlineLevel="0" collapsed="false">
      <c r="A557" s="7" t="s">
        <v>48</v>
      </c>
      <c r="B557" s="7" t="s">
        <v>10</v>
      </c>
      <c r="C557" s="7" t="s">
        <v>49</v>
      </c>
      <c r="D557" s="7" t="s">
        <v>107</v>
      </c>
      <c r="E557" s="7" t="s">
        <v>51</v>
      </c>
      <c r="F557" s="7" t="s">
        <v>134</v>
      </c>
      <c r="G557" s="8" t="b">
        <f aca="false">TRUE()</f>
        <v>1</v>
      </c>
      <c r="H557" s="8" t="b">
        <f aca="false">TRUE()</f>
        <v>1</v>
      </c>
      <c r="I557" s="7" t="str">
        <f aca="false">IF(AND(G557,H557),"PASS_TO_PASS",IF(G557,"PASS_TO_FAIL",IF(H557,"FAIL_TO_PASS","FAIL_TO_FAIL")))</f>
        <v>PASS_TO_PASS</v>
      </c>
    </row>
    <row r="558" customFormat="false" ht="15" hidden="false" customHeight="false" outlineLevel="0" collapsed="false">
      <c r="A558" s="7" t="s">
        <v>48</v>
      </c>
      <c r="B558" s="7" t="s">
        <v>10</v>
      </c>
      <c r="C558" s="7" t="s">
        <v>49</v>
      </c>
      <c r="D558" s="7" t="s">
        <v>107</v>
      </c>
      <c r="E558" s="7" t="s">
        <v>51</v>
      </c>
      <c r="F558" s="7" t="s">
        <v>135</v>
      </c>
      <c r="G558" s="8" t="b">
        <f aca="false">TRUE()</f>
        <v>1</v>
      </c>
      <c r="H558" s="8" t="b">
        <f aca="false">TRUE()</f>
        <v>1</v>
      </c>
      <c r="I558" s="7" t="str">
        <f aca="false">IF(AND(G558,H558),"PASS_TO_PASS",IF(G558,"PASS_TO_FAIL",IF(H558,"FAIL_TO_PASS","FAIL_TO_FAIL")))</f>
        <v>PASS_TO_PASS</v>
      </c>
    </row>
    <row r="559" customFormat="false" ht="15" hidden="false" customHeight="false" outlineLevel="0" collapsed="false">
      <c r="A559" s="7" t="s">
        <v>48</v>
      </c>
      <c r="B559" s="7" t="s">
        <v>10</v>
      </c>
      <c r="C559" s="7" t="s">
        <v>49</v>
      </c>
      <c r="D559" s="7" t="s">
        <v>107</v>
      </c>
      <c r="E559" s="7" t="s">
        <v>51</v>
      </c>
      <c r="F559" s="7" t="s">
        <v>136</v>
      </c>
      <c r="G559" s="8" t="b">
        <f aca="false">TRUE()</f>
        <v>1</v>
      </c>
      <c r="H559" s="8" t="b">
        <f aca="false">TRUE()</f>
        <v>1</v>
      </c>
      <c r="I559" s="7" t="str">
        <f aca="false">IF(AND(G559,H559),"PASS_TO_PASS",IF(G559,"PASS_TO_FAIL",IF(H559,"FAIL_TO_PASS","FAIL_TO_FAIL")))</f>
        <v>PASS_TO_PASS</v>
      </c>
    </row>
    <row r="560" customFormat="false" ht="15" hidden="false" customHeight="false" outlineLevel="0" collapsed="false">
      <c r="A560" s="7" t="s">
        <v>48</v>
      </c>
      <c r="B560" s="7" t="s">
        <v>10</v>
      </c>
      <c r="C560" s="7" t="s">
        <v>49</v>
      </c>
      <c r="D560" s="7" t="s">
        <v>107</v>
      </c>
      <c r="E560" s="7" t="s">
        <v>51</v>
      </c>
      <c r="F560" s="7" t="s">
        <v>137</v>
      </c>
      <c r="G560" s="8" t="b">
        <f aca="false">TRUE()</f>
        <v>1</v>
      </c>
      <c r="H560" s="8" t="b">
        <f aca="false">FALSE()</f>
        <v>0</v>
      </c>
      <c r="I560" s="7" t="str">
        <f aca="false">IF(AND(G560,H560),"PASS_TO_PASS",IF(G560,"PASS_TO_FAIL",IF(H560,"FAIL_TO_PASS","FAIL_TO_FAIL")))</f>
        <v>PASS_TO_FAIL</v>
      </c>
    </row>
    <row r="561" customFormat="false" ht="15" hidden="false" customHeight="false" outlineLevel="0" collapsed="false">
      <c r="A561" s="7" t="s">
        <v>48</v>
      </c>
      <c r="B561" s="7" t="s">
        <v>10</v>
      </c>
      <c r="C561" s="7" t="s">
        <v>49</v>
      </c>
      <c r="D561" s="7" t="s">
        <v>107</v>
      </c>
      <c r="E561" s="7" t="s">
        <v>51</v>
      </c>
      <c r="F561" s="7" t="s">
        <v>138</v>
      </c>
      <c r="G561" s="8" t="b">
        <f aca="false">TRUE()</f>
        <v>1</v>
      </c>
      <c r="H561" s="8" t="b">
        <f aca="false">TRUE()</f>
        <v>1</v>
      </c>
      <c r="I561" s="7" t="str">
        <f aca="false">IF(AND(G561,H561),"PASS_TO_PASS",IF(G561,"PASS_TO_FAIL",IF(H561,"FAIL_TO_PASS","FAIL_TO_FAIL")))</f>
        <v>PASS_TO_PASS</v>
      </c>
    </row>
    <row r="562" customFormat="false" ht="15" hidden="false" customHeight="false" outlineLevel="0" collapsed="false">
      <c r="A562" s="7" t="s">
        <v>48</v>
      </c>
      <c r="B562" s="7" t="s">
        <v>10</v>
      </c>
      <c r="C562" s="7" t="s">
        <v>49</v>
      </c>
      <c r="D562" s="7" t="s">
        <v>107</v>
      </c>
      <c r="E562" s="7" t="s">
        <v>51</v>
      </c>
      <c r="F562" s="7" t="s">
        <v>139</v>
      </c>
      <c r="G562" s="8" t="b">
        <f aca="false">TRUE()</f>
        <v>1</v>
      </c>
      <c r="H562" s="8" t="b">
        <f aca="false">TRUE()</f>
        <v>1</v>
      </c>
      <c r="I562" s="7" t="str">
        <f aca="false">IF(AND(G562,H562),"PASS_TO_PASS",IF(G562,"PASS_TO_FAIL",IF(H562,"FAIL_TO_PASS","FAIL_TO_FAIL")))</f>
        <v>PASS_TO_PASS</v>
      </c>
    </row>
    <row r="563" customFormat="false" ht="15" hidden="false" customHeight="false" outlineLevel="0" collapsed="false">
      <c r="A563" s="7" t="s">
        <v>48</v>
      </c>
      <c r="B563" s="7" t="s">
        <v>10</v>
      </c>
      <c r="C563" s="7" t="s">
        <v>49</v>
      </c>
      <c r="D563" s="7" t="s">
        <v>107</v>
      </c>
      <c r="E563" s="7" t="s">
        <v>51</v>
      </c>
      <c r="F563" s="7" t="s">
        <v>140</v>
      </c>
      <c r="G563" s="8" t="b">
        <f aca="false">TRUE()</f>
        <v>1</v>
      </c>
      <c r="H563" s="8" t="b">
        <f aca="false">TRUE()</f>
        <v>1</v>
      </c>
      <c r="I563" s="7" t="str">
        <f aca="false">IF(AND(G563,H563),"PASS_TO_PASS",IF(G563,"PASS_TO_FAIL",IF(H563,"FAIL_TO_PASS","FAIL_TO_FAIL")))</f>
        <v>PASS_TO_PASS</v>
      </c>
    </row>
    <row r="564" customFormat="false" ht="15" hidden="false" customHeight="false" outlineLevel="0" collapsed="false">
      <c r="A564" s="7" t="s">
        <v>48</v>
      </c>
      <c r="B564" s="7" t="s">
        <v>10</v>
      </c>
      <c r="C564" s="7" t="s">
        <v>49</v>
      </c>
      <c r="D564" s="7" t="s">
        <v>107</v>
      </c>
      <c r="E564" s="7" t="s">
        <v>51</v>
      </c>
      <c r="F564" s="7" t="s">
        <v>141</v>
      </c>
      <c r="G564" s="8" t="b">
        <f aca="false">TRUE()</f>
        <v>1</v>
      </c>
      <c r="H564" s="8" t="b">
        <f aca="false">TRUE()</f>
        <v>1</v>
      </c>
      <c r="I564" s="7" t="str">
        <f aca="false">IF(AND(G564,H564),"PASS_TO_PASS",IF(G564,"PASS_TO_FAIL",IF(H564,"FAIL_TO_PASS","FAIL_TO_FAIL")))</f>
        <v>PASS_TO_PASS</v>
      </c>
    </row>
    <row r="565" customFormat="false" ht="15" hidden="false" customHeight="false" outlineLevel="0" collapsed="false">
      <c r="A565" s="7" t="s">
        <v>48</v>
      </c>
      <c r="B565" s="7" t="s">
        <v>10</v>
      </c>
      <c r="C565" s="7" t="s">
        <v>49</v>
      </c>
      <c r="D565" s="7" t="s">
        <v>107</v>
      </c>
      <c r="E565" s="7" t="s">
        <v>51</v>
      </c>
      <c r="F565" s="7" t="s">
        <v>142</v>
      </c>
      <c r="G565" s="8" t="b">
        <f aca="false">TRUE()</f>
        <v>1</v>
      </c>
      <c r="H565" s="8" t="b">
        <f aca="false">TRUE()</f>
        <v>1</v>
      </c>
      <c r="I565" s="7" t="str">
        <f aca="false">IF(AND(G565,H565),"PASS_TO_PASS",IF(G565,"PASS_TO_FAIL",IF(H565,"FAIL_TO_PASS","FAIL_TO_FAIL")))</f>
        <v>PASS_TO_PASS</v>
      </c>
    </row>
    <row r="566" customFormat="false" ht="15" hidden="false" customHeight="false" outlineLevel="0" collapsed="false">
      <c r="A566" s="7" t="s">
        <v>48</v>
      </c>
      <c r="B566" s="7" t="s">
        <v>10</v>
      </c>
      <c r="C566" s="7" t="s">
        <v>49</v>
      </c>
      <c r="D566" s="7" t="s">
        <v>107</v>
      </c>
      <c r="E566" s="7" t="s">
        <v>51</v>
      </c>
      <c r="F566" s="7" t="s">
        <v>143</v>
      </c>
      <c r="G566" s="8" t="b">
        <f aca="false">TRUE()</f>
        <v>1</v>
      </c>
      <c r="H566" s="8" t="b">
        <f aca="false">TRUE()</f>
        <v>1</v>
      </c>
      <c r="I566" s="7" t="str">
        <f aca="false">IF(AND(G566,H566),"PASS_TO_PASS",IF(G566,"PASS_TO_FAIL",IF(H566,"FAIL_TO_PASS","FAIL_TO_FAIL")))</f>
        <v>PASS_TO_PASS</v>
      </c>
    </row>
    <row r="567" customFormat="false" ht="15" hidden="false" customHeight="false" outlineLevel="0" collapsed="false">
      <c r="A567" s="7" t="s">
        <v>48</v>
      </c>
      <c r="B567" s="7" t="s">
        <v>10</v>
      </c>
      <c r="C567" s="7" t="s">
        <v>49</v>
      </c>
      <c r="D567" s="7" t="s">
        <v>107</v>
      </c>
      <c r="E567" s="7" t="s">
        <v>51</v>
      </c>
      <c r="F567" s="7" t="s">
        <v>144</v>
      </c>
      <c r="G567" s="8" t="b">
        <f aca="false">TRUE()</f>
        <v>1</v>
      </c>
      <c r="H567" s="8" t="b">
        <f aca="false">TRUE()</f>
        <v>1</v>
      </c>
      <c r="I567" s="7" t="str">
        <f aca="false">IF(AND(G567,H567),"PASS_TO_PASS",IF(G567,"PASS_TO_FAIL",IF(H567,"FAIL_TO_PASS","FAIL_TO_FAIL")))</f>
        <v>PASS_TO_PASS</v>
      </c>
    </row>
    <row r="568" customFormat="false" ht="15" hidden="false" customHeight="false" outlineLevel="0" collapsed="false">
      <c r="A568" s="7" t="s">
        <v>48</v>
      </c>
      <c r="B568" s="7" t="s">
        <v>10</v>
      </c>
      <c r="C568" s="7" t="s">
        <v>49</v>
      </c>
      <c r="D568" s="7" t="s">
        <v>107</v>
      </c>
      <c r="E568" s="7" t="s">
        <v>51</v>
      </c>
      <c r="F568" s="7" t="s">
        <v>145</v>
      </c>
      <c r="G568" s="8" t="b">
        <f aca="false">TRUE()</f>
        <v>1</v>
      </c>
      <c r="H568" s="8" t="b">
        <f aca="false">TRUE()</f>
        <v>1</v>
      </c>
      <c r="I568" s="7" t="str">
        <f aca="false">IF(AND(G568,H568),"PASS_TO_PASS",IF(G568,"PASS_TO_FAIL",IF(H568,"FAIL_TO_PASS","FAIL_TO_FAIL")))</f>
        <v>PASS_TO_PASS</v>
      </c>
    </row>
    <row r="569" customFormat="false" ht="15" hidden="false" customHeight="false" outlineLevel="0" collapsed="false">
      <c r="A569" s="7" t="s">
        <v>82</v>
      </c>
      <c r="B569" s="7" t="s">
        <v>83</v>
      </c>
      <c r="C569" s="7" t="s">
        <v>49</v>
      </c>
      <c r="D569" s="7" t="s">
        <v>107</v>
      </c>
      <c r="E569" s="7" t="s">
        <v>51</v>
      </c>
      <c r="F569" s="7" t="s">
        <v>134</v>
      </c>
      <c r="G569" s="8" t="b">
        <f aca="false">TRUE()</f>
        <v>1</v>
      </c>
      <c r="H569" s="8" t="b">
        <f aca="false">TRUE()</f>
        <v>1</v>
      </c>
      <c r="I569" s="7" t="str">
        <f aca="false">IF(AND(G569,H569),"PASS_TO_PASS",IF(G569,"PASS_TO_FAIL",IF(H569,"FAIL_TO_PASS","FAIL_TO_FAIL")))</f>
        <v>PASS_TO_PASS</v>
      </c>
    </row>
    <row r="570" customFormat="false" ht="15" hidden="false" customHeight="false" outlineLevel="0" collapsed="false">
      <c r="A570" s="7" t="s">
        <v>82</v>
      </c>
      <c r="B570" s="7" t="s">
        <v>83</v>
      </c>
      <c r="C570" s="7" t="s">
        <v>49</v>
      </c>
      <c r="D570" s="7" t="s">
        <v>107</v>
      </c>
      <c r="E570" s="7" t="s">
        <v>51</v>
      </c>
      <c r="F570" s="7" t="s">
        <v>135</v>
      </c>
      <c r="G570" s="8" t="b">
        <f aca="false">TRUE()</f>
        <v>1</v>
      </c>
      <c r="H570" s="8" t="b">
        <f aca="false">TRUE()</f>
        <v>1</v>
      </c>
      <c r="I570" s="7" t="str">
        <f aca="false">IF(AND(G570,H570),"PASS_TO_PASS",IF(G570,"PASS_TO_FAIL",IF(H570,"FAIL_TO_PASS","FAIL_TO_FAIL")))</f>
        <v>PASS_TO_PASS</v>
      </c>
    </row>
    <row r="571" customFormat="false" ht="15" hidden="false" customHeight="false" outlineLevel="0" collapsed="false">
      <c r="A571" s="7" t="s">
        <v>82</v>
      </c>
      <c r="B571" s="7" t="s">
        <v>83</v>
      </c>
      <c r="C571" s="7" t="s">
        <v>49</v>
      </c>
      <c r="D571" s="7" t="s">
        <v>107</v>
      </c>
      <c r="E571" s="7" t="s">
        <v>51</v>
      </c>
      <c r="F571" s="7" t="s">
        <v>136</v>
      </c>
      <c r="G571" s="8" t="b">
        <f aca="false">TRUE()</f>
        <v>1</v>
      </c>
      <c r="H571" s="8" t="b">
        <f aca="false">TRUE()</f>
        <v>1</v>
      </c>
      <c r="I571" s="7" t="str">
        <f aca="false">IF(AND(G571,H571),"PASS_TO_PASS",IF(G571,"PASS_TO_FAIL",IF(H571,"FAIL_TO_PASS","FAIL_TO_FAIL")))</f>
        <v>PASS_TO_PASS</v>
      </c>
    </row>
    <row r="572" customFormat="false" ht="15" hidden="false" customHeight="false" outlineLevel="0" collapsed="false">
      <c r="A572" s="7" t="s">
        <v>82</v>
      </c>
      <c r="B572" s="7" t="s">
        <v>83</v>
      </c>
      <c r="C572" s="7" t="s">
        <v>49</v>
      </c>
      <c r="D572" s="7" t="s">
        <v>107</v>
      </c>
      <c r="E572" s="7" t="s">
        <v>51</v>
      </c>
      <c r="F572" s="7" t="s">
        <v>137</v>
      </c>
      <c r="G572" s="8" t="b">
        <f aca="false">FALSE()</f>
        <v>0</v>
      </c>
      <c r="H572" s="8" t="b">
        <f aca="false">FALSE()</f>
        <v>0</v>
      </c>
      <c r="I572" s="7" t="str">
        <f aca="false">IF(AND(G572,H572),"PASS_TO_PASS",IF(G572,"PASS_TO_FAIL",IF(H572,"FAIL_TO_PASS","FAIL_TO_FAIL")))</f>
        <v>FAIL_TO_FAIL</v>
      </c>
    </row>
    <row r="573" customFormat="false" ht="15" hidden="false" customHeight="false" outlineLevel="0" collapsed="false">
      <c r="A573" s="7" t="s">
        <v>82</v>
      </c>
      <c r="B573" s="7" t="s">
        <v>83</v>
      </c>
      <c r="C573" s="7" t="s">
        <v>49</v>
      </c>
      <c r="D573" s="7" t="s">
        <v>107</v>
      </c>
      <c r="E573" s="7" t="s">
        <v>51</v>
      </c>
      <c r="F573" s="7" t="s">
        <v>138</v>
      </c>
      <c r="G573" s="8" t="b">
        <f aca="false">TRUE()</f>
        <v>1</v>
      </c>
      <c r="H573" s="8" t="b">
        <f aca="false">TRUE()</f>
        <v>1</v>
      </c>
      <c r="I573" s="7" t="str">
        <f aca="false">IF(AND(G573,H573),"PASS_TO_PASS",IF(G573,"PASS_TO_FAIL",IF(H573,"FAIL_TO_PASS","FAIL_TO_FAIL")))</f>
        <v>PASS_TO_PASS</v>
      </c>
    </row>
    <row r="574" customFormat="false" ht="15" hidden="false" customHeight="false" outlineLevel="0" collapsed="false">
      <c r="A574" s="7" t="s">
        <v>82</v>
      </c>
      <c r="B574" s="7" t="s">
        <v>83</v>
      </c>
      <c r="C574" s="7" t="s">
        <v>49</v>
      </c>
      <c r="D574" s="7" t="s">
        <v>107</v>
      </c>
      <c r="E574" s="7" t="s">
        <v>51</v>
      </c>
      <c r="F574" s="7" t="s">
        <v>139</v>
      </c>
      <c r="G574" s="8" t="b">
        <f aca="false">TRUE()</f>
        <v>1</v>
      </c>
      <c r="H574" s="8" t="b">
        <f aca="false">TRUE()</f>
        <v>1</v>
      </c>
      <c r="I574" s="7" t="str">
        <f aca="false">IF(AND(G574,H574),"PASS_TO_PASS",IF(G574,"PASS_TO_FAIL",IF(H574,"FAIL_TO_PASS","FAIL_TO_FAIL")))</f>
        <v>PASS_TO_PASS</v>
      </c>
    </row>
    <row r="575" customFormat="false" ht="15" hidden="false" customHeight="false" outlineLevel="0" collapsed="false">
      <c r="A575" s="7" t="s">
        <v>82</v>
      </c>
      <c r="B575" s="7" t="s">
        <v>83</v>
      </c>
      <c r="C575" s="7" t="s">
        <v>49</v>
      </c>
      <c r="D575" s="7" t="s">
        <v>107</v>
      </c>
      <c r="E575" s="7" t="s">
        <v>51</v>
      </c>
      <c r="F575" s="7" t="s">
        <v>140</v>
      </c>
      <c r="G575" s="8" t="b">
        <f aca="false">TRUE()</f>
        <v>1</v>
      </c>
      <c r="H575" s="8" t="b">
        <f aca="false">TRUE()</f>
        <v>1</v>
      </c>
      <c r="I575" s="7" t="str">
        <f aca="false">IF(AND(G575,H575),"PASS_TO_PASS",IF(G575,"PASS_TO_FAIL",IF(H575,"FAIL_TO_PASS","FAIL_TO_FAIL")))</f>
        <v>PASS_TO_PASS</v>
      </c>
    </row>
    <row r="576" customFormat="false" ht="15" hidden="false" customHeight="false" outlineLevel="0" collapsed="false">
      <c r="A576" s="7" t="s">
        <v>82</v>
      </c>
      <c r="B576" s="7" t="s">
        <v>83</v>
      </c>
      <c r="C576" s="7" t="s">
        <v>49</v>
      </c>
      <c r="D576" s="7" t="s">
        <v>107</v>
      </c>
      <c r="E576" s="7" t="s">
        <v>51</v>
      </c>
      <c r="F576" s="7" t="s">
        <v>141</v>
      </c>
      <c r="G576" s="8" t="b">
        <f aca="false">TRUE()</f>
        <v>1</v>
      </c>
      <c r="H576" s="8" t="b">
        <f aca="false">TRUE()</f>
        <v>1</v>
      </c>
      <c r="I576" s="7" t="str">
        <f aca="false">IF(AND(G576,H576),"PASS_TO_PASS",IF(G576,"PASS_TO_FAIL",IF(H576,"FAIL_TO_PASS","FAIL_TO_FAIL")))</f>
        <v>PASS_TO_PASS</v>
      </c>
    </row>
    <row r="577" customFormat="false" ht="15" hidden="false" customHeight="false" outlineLevel="0" collapsed="false">
      <c r="A577" s="7" t="s">
        <v>82</v>
      </c>
      <c r="B577" s="7" t="s">
        <v>83</v>
      </c>
      <c r="C577" s="7" t="s">
        <v>49</v>
      </c>
      <c r="D577" s="7" t="s">
        <v>107</v>
      </c>
      <c r="E577" s="7" t="s">
        <v>51</v>
      </c>
      <c r="F577" s="7" t="s">
        <v>142</v>
      </c>
      <c r="G577" s="8" t="b">
        <f aca="false">TRUE()</f>
        <v>1</v>
      </c>
      <c r="H577" s="8" t="b">
        <f aca="false">TRUE()</f>
        <v>1</v>
      </c>
      <c r="I577" s="7" t="str">
        <f aca="false">IF(AND(G577,H577),"PASS_TO_PASS",IF(G577,"PASS_TO_FAIL",IF(H577,"FAIL_TO_PASS","FAIL_TO_FAIL")))</f>
        <v>PASS_TO_PASS</v>
      </c>
    </row>
    <row r="578" customFormat="false" ht="15" hidden="false" customHeight="false" outlineLevel="0" collapsed="false">
      <c r="A578" s="7" t="s">
        <v>82</v>
      </c>
      <c r="B578" s="7" t="s">
        <v>83</v>
      </c>
      <c r="C578" s="7" t="s">
        <v>49</v>
      </c>
      <c r="D578" s="7" t="s">
        <v>107</v>
      </c>
      <c r="E578" s="7" t="s">
        <v>51</v>
      </c>
      <c r="F578" s="7" t="s">
        <v>143</v>
      </c>
      <c r="G578" s="8" t="b">
        <f aca="false">TRUE()</f>
        <v>1</v>
      </c>
      <c r="H578" s="8" t="b">
        <f aca="false">TRUE()</f>
        <v>1</v>
      </c>
      <c r="I578" s="7" t="str">
        <f aca="false">IF(AND(G578,H578),"PASS_TO_PASS",IF(G578,"PASS_TO_FAIL",IF(H578,"FAIL_TO_PASS","FAIL_TO_FAIL")))</f>
        <v>PASS_TO_PASS</v>
      </c>
    </row>
    <row r="579" customFormat="false" ht="15" hidden="false" customHeight="false" outlineLevel="0" collapsed="false">
      <c r="A579" s="7" t="s">
        <v>82</v>
      </c>
      <c r="B579" s="7" t="s">
        <v>83</v>
      </c>
      <c r="C579" s="7" t="s">
        <v>49</v>
      </c>
      <c r="D579" s="7" t="s">
        <v>107</v>
      </c>
      <c r="E579" s="7" t="s">
        <v>51</v>
      </c>
      <c r="F579" s="7" t="s">
        <v>144</v>
      </c>
      <c r="G579" s="8" t="b">
        <f aca="false">TRUE()</f>
        <v>1</v>
      </c>
      <c r="H579" s="8" t="b">
        <f aca="false">TRUE()</f>
        <v>1</v>
      </c>
      <c r="I579" s="7" t="str">
        <f aca="false">IF(AND(G579,H579),"PASS_TO_PASS",IF(G579,"PASS_TO_FAIL",IF(H579,"FAIL_TO_PASS","FAIL_TO_FAIL")))</f>
        <v>PASS_TO_PASS</v>
      </c>
    </row>
    <row r="580" customFormat="false" ht="15" hidden="false" customHeight="false" outlineLevel="0" collapsed="false">
      <c r="A580" s="7" t="s">
        <v>82</v>
      </c>
      <c r="B580" s="7" t="s">
        <v>83</v>
      </c>
      <c r="C580" s="7" t="s">
        <v>49</v>
      </c>
      <c r="D580" s="7" t="s">
        <v>107</v>
      </c>
      <c r="E580" s="7" t="s">
        <v>51</v>
      </c>
      <c r="F580" s="7" t="s">
        <v>145</v>
      </c>
      <c r="G580" s="8" t="b">
        <f aca="false">TRUE()</f>
        <v>1</v>
      </c>
      <c r="H580" s="8" t="b">
        <f aca="false">TRUE()</f>
        <v>1</v>
      </c>
      <c r="I580" s="7" t="str">
        <f aca="false">IF(AND(G580,H580),"PASS_TO_PASS",IF(G580,"PASS_TO_FAIL",IF(H580,"FAIL_TO_PASS","FAIL_TO_FAIL")))</f>
        <v>PASS_TO_PASS</v>
      </c>
    </row>
    <row r="581" customFormat="false" ht="15" hidden="false" customHeight="false" outlineLevel="0" collapsed="false">
      <c r="A581" s="7" t="s">
        <v>48</v>
      </c>
      <c r="B581" s="7" t="s">
        <v>10</v>
      </c>
      <c r="C581" s="7" t="s">
        <v>49</v>
      </c>
      <c r="D581" s="7" t="s">
        <v>108</v>
      </c>
      <c r="E581" s="7" t="s">
        <v>51</v>
      </c>
      <c r="F581" s="7" t="s">
        <v>134</v>
      </c>
      <c r="G581" s="8" t="b">
        <f aca="false">TRUE()</f>
        <v>1</v>
      </c>
      <c r="H581" s="8" t="b">
        <f aca="false">TRUE()</f>
        <v>1</v>
      </c>
      <c r="I581" s="7" t="str">
        <f aca="false">IF(AND(G581,H581),"PASS_TO_PASS",IF(G581,"PASS_TO_FAIL",IF(H581,"FAIL_TO_PASS","FAIL_TO_FAIL")))</f>
        <v>PASS_TO_PASS</v>
      </c>
    </row>
    <row r="582" customFormat="false" ht="15" hidden="false" customHeight="false" outlineLevel="0" collapsed="false">
      <c r="A582" s="7" t="s">
        <v>48</v>
      </c>
      <c r="B582" s="7" t="s">
        <v>10</v>
      </c>
      <c r="C582" s="7" t="s">
        <v>49</v>
      </c>
      <c r="D582" s="7" t="s">
        <v>108</v>
      </c>
      <c r="E582" s="7" t="s">
        <v>51</v>
      </c>
      <c r="F582" s="7" t="s">
        <v>135</v>
      </c>
      <c r="G582" s="8" t="b">
        <f aca="false">TRUE()</f>
        <v>1</v>
      </c>
      <c r="H582" s="8" t="b">
        <f aca="false">TRUE()</f>
        <v>1</v>
      </c>
      <c r="I582" s="7" t="str">
        <f aca="false">IF(AND(G582,H582),"PASS_TO_PASS",IF(G582,"PASS_TO_FAIL",IF(H582,"FAIL_TO_PASS","FAIL_TO_FAIL")))</f>
        <v>PASS_TO_PASS</v>
      </c>
    </row>
    <row r="583" customFormat="false" ht="15" hidden="false" customHeight="false" outlineLevel="0" collapsed="false">
      <c r="A583" s="7" t="s">
        <v>48</v>
      </c>
      <c r="B583" s="7" t="s">
        <v>10</v>
      </c>
      <c r="C583" s="7" t="s">
        <v>49</v>
      </c>
      <c r="D583" s="7" t="s">
        <v>108</v>
      </c>
      <c r="E583" s="7" t="s">
        <v>51</v>
      </c>
      <c r="F583" s="7" t="s">
        <v>136</v>
      </c>
      <c r="G583" s="8" t="b">
        <f aca="false">TRUE()</f>
        <v>1</v>
      </c>
      <c r="H583" s="8" t="b">
        <f aca="false">TRUE()</f>
        <v>1</v>
      </c>
      <c r="I583" s="7" t="str">
        <f aca="false">IF(AND(G583,H583),"PASS_TO_PASS",IF(G583,"PASS_TO_FAIL",IF(H583,"FAIL_TO_PASS","FAIL_TO_FAIL")))</f>
        <v>PASS_TO_PASS</v>
      </c>
    </row>
    <row r="584" customFormat="false" ht="15" hidden="false" customHeight="false" outlineLevel="0" collapsed="false">
      <c r="A584" s="7" t="s">
        <v>48</v>
      </c>
      <c r="B584" s="7" t="s">
        <v>10</v>
      </c>
      <c r="C584" s="7" t="s">
        <v>49</v>
      </c>
      <c r="D584" s="7" t="s">
        <v>108</v>
      </c>
      <c r="E584" s="7" t="s">
        <v>51</v>
      </c>
      <c r="F584" s="7" t="s">
        <v>137</v>
      </c>
      <c r="G584" s="8" t="b">
        <f aca="false">TRUE()</f>
        <v>1</v>
      </c>
      <c r="H584" s="8" t="b">
        <f aca="false">TRUE()</f>
        <v>1</v>
      </c>
      <c r="I584" s="7" t="str">
        <f aca="false">IF(AND(G584,H584),"PASS_TO_PASS",IF(G584,"PASS_TO_FAIL",IF(H584,"FAIL_TO_PASS","FAIL_TO_FAIL")))</f>
        <v>PASS_TO_PASS</v>
      </c>
    </row>
    <row r="585" customFormat="false" ht="15" hidden="false" customHeight="false" outlineLevel="0" collapsed="false">
      <c r="A585" s="7" t="s">
        <v>48</v>
      </c>
      <c r="B585" s="7" t="s">
        <v>10</v>
      </c>
      <c r="C585" s="7" t="s">
        <v>49</v>
      </c>
      <c r="D585" s="7" t="s">
        <v>108</v>
      </c>
      <c r="E585" s="7" t="s">
        <v>51</v>
      </c>
      <c r="F585" s="7" t="s">
        <v>138</v>
      </c>
      <c r="G585" s="8" t="b">
        <f aca="false">FALSE()</f>
        <v>0</v>
      </c>
      <c r="H585" s="8" t="b">
        <f aca="false">TRUE()</f>
        <v>1</v>
      </c>
      <c r="I585" s="7" t="str">
        <f aca="false">IF(AND(G585,H585),"PASS_TO_PASS",IF(G585,"PASS_TO_FAIL",IF(H585,"FAIL_TO_PASS","FAIL_TO_FAIL")))</f>
        <v>FAIL_TO_PASS</v>
      </c>
    </row>
    <row r="586" customFormat="false" ht="15" hidden="false" customHeight="false" outlineLevel="0" collapsed="false">
      <c r="A586" s="7" t="s">
        <v>48</v>
      </c>
      <c r="B586" s="7" t="s">
        <v>10</v>
      </c>
      <c r="C586" s="7" t="s">
        <v>49</v>
      </c>
      <c r="D586" s="7" t="s">
        <v>108</v>
      </c>
      <c r="E586" s="7" t="s">
        <v>51</v>
      </c>
      <c r="F586" s="7" t="s">
        <v>139</v>
      </c>
      <c r="G586" s="8" t="b">
        <f aca="false">TRUE()</f>
        <v>1</v>
      </c>
      <c r="H586" s="8" t="b">
        <f aca="false">TRUE()</f>
        <v>1</v>
      </c>
      <c r="I586" s="7" t="str">
        <f aca="false">IF(AND(G586,H586),"PASS_TO_PASS",IF(G586,"PASS_TO_FAIL",IF(H586,"FAIL_TO_PASS","FAIL_TO_FAIL")))</f>
        <v>PASS_TO_PASS</v>
      </c>
    </row>
    <row r="587" customFormat="false" ht="15" hidden="false" customHeight="false" outlineLevel="0" collapsed="false">
      <c r="A587" s="7" t="s">
        <v>48</v>
      </c>
      <c r="B587" s="7" t="s">
        <v>10</v>
      </c>
      <c r="C587" s="7" t="s">
        <v>49</v>
      </c>
      <c r="D587" s="7" t="s">
        <v>108</v>
      </c>
      <c r="E587" s="7" t="s">
        <v>51</v>
      </c>
      <c r="F587" s="7" t="s">
        <v>140</v>
      </c>
      <c r="G587" s="8" t="b">
        <f aca="false">TRUE()</f>
        <v>1</v>
      </c>
      <c r="H587" s="8" t="b">
        <f aca="false">TRUE()</f>
        <v>1</v>
      </c>
      <c r="I587" s="7" t="str">
        <f aca="false">IF(AND(G587,H587),"PASS_TO_PASS",IF(G587,"PASS_TO_FAIL",IF(H587,"FAIL_TO_PASS","FAIL_TO_FAIL")))</f>
        <v>PASS_TO_PASS</v>
      </c>
    </row>
    <row r="588" customFormat="false" ht="15" hidden="false" customHeight="false" outlineLevel="0" collapsed="false">
      <c r="A588" s="7" t="s">
        <v>48</v>
      </c>
      <c r="B588" s="7" t="s">
        <v>10</v>
      </c>
      <c r="C588" s="7" t="s">
        <v>49</v>
      </c>
      <c r="D588" s="7" t="s">
        <v>108</v>
      </c>
      <c r="E588" s="7" t="s">
        <v>51</v>
      </c>
      <c r="F588" s="7" t="s">
        <v>141</v>
      </c>
      <c r="G588" s="8" t="b">
        <f aca="false">TRUE()</f>
        <v>1</v>
      </c>
      <c r="H588" s="8" t="b">
        <f aca="false">TRUE()</f>
        <v>1</v>
      </c>
      <c r="I588" s="7" t="str">
        <f aca="false">IF(AND(G588,H588),"PASS_TO_PASS",IF(G588,"PASS_TO_FAIL",IF(H588,"FAIL_TO_PASS","FAIL_TO_FAIL")))</f>
        <v>PASS_TO_PASS</v>
      </c>
    </row>
    <row r="589" customFormat="false" ht="15" hidden="false" customHeight="false" outlineLevel="0" collapsed="false">
      <c r="A589" s="7" t="s">
        <v>48</v>
      </c>
      <c r="B589" s="7" t="s">
        <v>10</v>
      </c>
      <c r="C589" s="7" t="s">
        <v>49</v>
      </c>
      <c r="D589" s="7" t="s">
        <v>108</v>
      </c>
      <c r="E589" s="7" t="s">
        <v>51</v>
      </c>
      <c r="F589" s="7" t="s">
        <v>142</v>
      </c>
      <c r="G589" s="8" t="b">
        <f aca="false">TRUE()</f>
        <v>1</v>
      </c>
      <c r="H589" s="8" t="b">
        <f aca="false">TRUE()</f>
        <v>1</v>
      </c>
      <c r="I589" s="7" t="str">
        <f aca="false">IF(AND(G589,H589),"PASS_TO_PASS",IF(G589,"PASS_TO_FAIL",IF(H589,"FAIL_TO_PASS","FAIL_TO_FAIL")))</f>
        <v>PASS_TO_PASS</v>
      </c>
    </row>
    <row r="590" customFormat="false" ht="15" hidden="false" customHeight="false" outlineLevel="0" collapsed="false">
      <c r="A590" s="7" t="s">
        <v>48</v>
      </c>
      <c r="B590" s="7" t="s">
        <v>10</v>
      </c>
      <c r="C590" s="7" t="s">
        <v>49</v>
      </c>
      <c r="D590" s="7" t="s">
        <v>108</v>
      </c>
      <c r="E590" s="7" t="s">
        <v>51</v>
      </c>
      <c r="F590" s="7" t="s">
        <v>143</v>
      </c>
      <c r="G590" s="8" t="b">
        <f aca="false">TRUE()</f>
        <v>1</v>
      </c>
      <c r="H590" s="8" t="b">
        <f aca="false">FALSE()</f>
        <v>0</v>
      </c>
      <c r="I590" s="7" t="str">
        <f aca="false">IF(AND(G590,H590),"PASS_TO_PASS",IF(G590,"PASS_TO_FAIL",IF(H590,"FAIL_TO_PASS","FAIL_TO_FAIL")))</f>
        <v>PASS_TO_FAIL</v>
      </c>
    </row>
    <row r="591" customFormat="false" ht="15" hidden="false" customHeight="false" outlineLevel="0" collapsed="false">
      <c r="A591" s="7" t="s">
        <v>48</v>
      </c>
      <c r="B591" s="7" t="s">
        <v>10</v>
      </c>
      <c r="C591" s="7" t="s">
        <v>49</v>
      </c>
      <c r="D591" s="7" t="s">
        <v>108</v>
      </c>
      <c r="E591" s="7" t="s">
        <v>51</v>
      </c>
      <c r="F591" s="7" t="s">
        <v>144</v>
      </c>
      <c r="G591" s="8" t="b">
        <f aca="false">TRUE()</f>
        <v>1</v>
      </c>
      <c r="H591" s="8" t="b">
        <f aca="false">TRUE()</f>
        <v>1</v>
      </c>
      <c r="I591" s="7" t="str">
        <f aca="false">IF(AND(G591,H591),"PASS_TO_PASS",IF(G591,"PASS_TO_FAIL",IF(H591,"FAIL_TO_PASS","FAIL_TO_FAIL")))</f>
        <v>PASS_TO_PASS</v>
      </c>
    </row>
    <row r="592" customFormat="false" ht="15" hidden="false" customHeight="false" outlineLevel="0" collapsed="false">
      <c r="A592" s="7" t="s">
        <v>48</v>
      </c>
      <c r="B592" s="7" t="s">
        <v>10</v>
      </c>
      <c r="C592" s="7" t="s">
        <v>49</v>
      </c>
      <c r="D592" s="7" t="s">
        <v>108</v>
      </c>
      <c r="E592" s="7" t="s">
        <v>51</v>
      </c>
      <c r="F592" s="7" t="s">
        <v>145</v>
      </c>
      <c r="G592" s="8" t="b">
        <f aca="false">TRUE()</f>
        <v>1</v>
      </c>
      <c r="H592" s="8" t="b">
        <f aca="false">TRUE()</f>
        <v>1</v>
      </c>
      <c r="I592" s="7" t="str">
        <f aca="false">IF(AND(G592,H592),"PASS_TO_PASS",IF(G592,"PASS_TO_FAIL",IF(H592,"FAIL_TO_PASS","FAIL_TO_FAIL")))</f>
        <v>PASS_TO_PASS</v>
      </c>
    </row>
    <row r="593" customFormat="false" ht="15" hidden="false" customHeight="false" outlineLevel="0" collapsed="false">
      <c r="A593" s="7" t="s">
        <v>82</v>
      </c>
      <c r="B593" s="7" t="s">
        <v>83</v>
      </c>
      <c r="C593" s="7" t="s">
        <v>49</v>
      </c>
      <c r="D593" s="7" t="s">
        <v>108</v>
      </c>
      <c r="E593" s="7" t="s">
        <v>51</v>
      </c>
      <c r="F593" s="7" t="s">
        <v>134</v>
      </c>
      <c r="G593" s="8" t="b">
        <f aca="false">TRUE()</f>
        <v>1</v>
      </c>
      <c r="H593" s="8" t="b">
        <f aca="false">TRUE()</f>
        <v>1</v>
      </c>
      <c r="I593" s="7" t="str">
        <f aca="false">IF(AND(G593,H593),"PASS_TO_PASS",IF(G593,"PASS_TO_FAIL",IF(H593,"FAIL_TO_PASS","FAIL_TO_FAIL")))</f>
        <v>PASS_TO_PASS</v>
      </c>
    </row>
    <row r="594" customFormat="false" ht="15" hidden="false" customHeight="false" outlineLevel="0" collapsed="false">
      <c r="A594" s="7" t="s">
        <v>82</v>
      </c>
      <c r="B594" s="7" t="s">
        <v>83</v>
      </c>
      <c r="C594" s="7" t="s">
        <v>49</v>
      </c>
      <c r="D594" s="7" t="s">
        <v>108</v>
      </c>
      <c r="E594" s="7" t="s">
        <v>51</v>
      </c>
      <c r="F594" s="7" t="s">
        <v>135</v>
      </c>
      <c r="G594" s="8" t="b">
        <f aca="false">TRUE()</f>
        <v>1</v>
      </c>
      <c r="H594" s="8" t="b">
        <f aca="false">TRUE()</f>
        <v>1</v>
      </c>
      <c r="I594" s="7" t="str">
        <f aca="false">IF(AND(G594,H594),"PASS_TO_PASS",IF(G594,"PASS_TO_FAIL",IF(H594,"FAIL_TO_PASS","FAIL_TO_FAIL")))</f>
        <v>PASS_TO_PASS</v>
      </c>
    </row>
    <row r="595" customFormat="false" ht="15" hidden="false" customHeight="false" outlineLevel="0" collapsed="false">
      <c r="A595" s="7" t="s">
        <v>82</v>
      </c>
      <c r="B595" s="7" t="s">
        <v>83</v>
      </c>
      <c r="C595" s="7" t="s">
        <v>49</v>
      </c>
      <c r="D595" s="7" t="s">
        <v>108</v>
      </c>
      <c r="E595" s="7" t="s">
        <v>51</v>
      </c>
      <c r="F595" s="7" t="s">
        <v>136</v>
      </c>
      <c r="G595" s="8" t="b">
        <f aca="false">TRUE()</f>
        <v>1</v>
      </c>
      <c r="H595" s="8" t="b">
        <f aca="false">TRUE()</f>
        <v>1</v>
      </c>
      <c r="I595" s="7" t="str">
        <f aca="false">IF(AND(G595,H595),"PASS_TO_PASS",IF(G595,"PASS_TO_FAIL",IF(H595,"FAIL_TO_PASS","FAIL_TO_FAIL")))</f>
        <v>PASS_TO_PASS</v>
      </c>
    </row>
    <row r="596" customFormat="false" ht="15" hidden="false" customHeight="false" outlineLevel="0" collapsed="false">
      <c r="A596" s="7" t="s">
        <v>82</v>
      </c>
      <c r="B596" s="7" t="s">
        <v>83</v>
      </c>
      <c r="C596" s="7" t="s">
        <v>49</v>
      </c>
      <c r="D596" s="7" t="s">
        <v>108</v>
      </c>
      <c r="E596" s="7" t="s">
        <v>51</v>
      </c>
      <c r="F596" s="7" t="s">
        <v>137</v>
      </c>
      <c r="G596" s="8" t="b">
        <f aca="false">TRUE()</f>
        <v>1</v>
      </c>
      <c r="H596" s="8" t="b">
        <f aca="false">TRUE()</f>
        <v>1</v>
      </c>
      <c r="I596" s="7" t="str">
        <f aca="false">IF(AND(G596,H596),"PASS_TO_PASS",IF(G596,"PASS_TO_FAIL",IF(H596,"FAIL_TO_PASS","FAIL_TO_FAIL")))</f>
        <v>PASS_TO_PASS</v>
      </c>
    </row>
    <row r="597" customFormat="false" ht="15" hidden="false" customHeight="false" outlineLevel="0" collapsed="false">
      <c r="A597" s="7" t="s">
        <v>82</v>
      </c>
      <c r="B597" s="7" t="s">
        <v>83</v>
      </c>
      <c r="C597" s="7" t="s">
        <v>49</v>
      </c>
      <c r="D597" s="7" t="s">
        <v>108</v>
      </c>
      <c r="E597" s="7" t="s">
        <v>51</v>
      </c>
      <c r="F597" s="7" t="s">
        <v>138</v>
      </c>
      <c r="G597" s="8" t="b">
        <f aca="false">TRUE()</f>
        <v>1</v>
      </c>
      <c r="H597" s="8" t="b">
        <f aca="false">TRUE()</f>
        <v>1</v>
      </c>
      <c r="I597" s="7" t="str">
        <f aca="false">IF(AND(G597,H597),"PASS_TO_PASS",IF(G597,"PASS_TO_FAIL",IF(H597,"FAIL_TO_PASS","FAIL_TO_FAIL")))</f>
        <v>PASS_TO_PASS</v>
      </c>
    </row>
    <row r="598" customFormat="false" ht="15" hidden="false" customHeight="false" outlineLevel="0" collapsed="false">
      <c r="A598" s="7" t="s">
        <v>82</v>
      </c>
      <c r="B598" s="7" t="s">
        <v>83</v>
      </c>
      <c r="C598" s="7" t="s">
        <v>49</v>
      </c>
      <c r="D598" s="7" t="s">
        <v>108</v>
      </c>
      <c r="E598" s="7" t="s">
        <v>51</v>
      </c>
      <c r="F598" s="7" t="s">
        <v>139</v>
      </c>
      <c r="G598" s="8" t="b">
        <f aca="false">TRUE()</f>
        <v>1</v>
      </c>
      <c r="H598" s="8" t="b">
        <f aca="false">TRUE()</f>
        <v>1</v>
      </c>
      <c r="I598" s="7" t="str">
        <f aca="false">IF(AND(G598,H598),"PASS_TO_PASS",IF(G598,"PASS_TO_FAIL",IF(H598,"FAIL_TO_PASS","FAIL_TO_FAIL")))</f>
        <v>PASS_TO_PASS</v>
      </c>
    </row>
    <row r="599" customFormat="false" ht="15" hidden="false" customHeight="false" outlineLevel="0" collapsed="false">
      <c r="A599" s="7" t="s">
        <v>82</v>
      </c>
      <c r="B599" s="7" t="s">
        <v>83</v>
      </c>
      <c r="C599" s="7" t="s">
        <v>49</v>
      </c>
      <c r="D599" s="7" t="s">
        <v>108</v>
      </c>
      <c r="E599" s="7" t="s">
        <v>51</v>
      </c>
      <c r="F599" s="7" t="s">
        <v>140</v>
      </c>
      <c r="G599" s="8" t="b">
        <f aca="false">TRUE()</f>
        <v>1</v>
      </c>
      <c r="H599" s="8" t="b">
        <f aca="false">TRUE()</f>
        <v>1</v>
      </c>
      <c r="I599" s="7" t="str">
        <f aca="false">IF(AND(G599,H599),"PASS_TO_PASS",IF(G599,"PASS_TO_FAIL",IF(H599,"FAIL_TO_PASS","FAIL_TO_FAIL")))</f>
        <v>PASS_TO_PASS</v>
      </c>
    </row>
    <row r="600" customFormat="false" ht="15" hidden="false" customHeight="false" outlineLevel="0" collapsed="false">
      <c r="A600" s="7" t="s">
        <v>82</v>
      </c>
      <c r="B600" s="7" t="s">
        <v>83</v>
      </c>
      <c r="C600" s="7" t="s">
        <v>49</v>
      </c>
      <c r="D600" s="7" t="s">
        <v>108</v>
      </c>
      <c r="E600" s="7" t="s">
        <v>51</v>
      </c>
      <c r="F600" s="7" t="s">
        <v>141</v>
      </c>
      <c r="G600" s="8" t="b">
        <f aca="false">TRUE()</f>
        <v>1</v>
      </c>
      <c r="H600" s="8" t="b">
        <f aca="false">TRUE()</f>
        <v>1</v>
      </c>
      <c r="I600" s="7" t="str">
        <f aca="false">IF(AND(G600,H600),"PASS_TO_PASS",IF(G600,"PASS_TO_FAIL",IF(H600,"FAIL_TO_PASS","FAIL_TO_FAIL")))</f>
        <v>PASS_TO_PASS</v>
      </c>
    </row>
    <row r="601" customFormat="false" ht="15" hidden="false" customHeight="false" outlineLevel="0" collapsed="false">
      <c r="A601" s="7" t="s">
        <v>82</v>
      </c>
      <c r="B601" s="7" t="s">
        <v>83</v>
      </c>
      <c r="C601" s="7" t="s">
        <v>49</v>
      </c>
      <c r="D601" s="7" t="s">
        <v>108</v>
      </c>
      <c r="E601" s="7" t="s">
        <v>51</v>
      </c>
      <c r="F601" s="7" t="s">
        <v>142</v>
      </c>
      <c r="G601" s="8" t="b">
        <f aca="false">TRUE()</f>
        <v>1</v>
      </c>
      <c r="H601" s="8" t="b">
        <f aca="false">TRUE()</f>
        <v>1</v>
      </c>
      <c r="I601" s="7" t="str">
        <f aca="false">IF(AND(G601,H601),"PASS_TO_PASS",IF(G601,"PASS_TO_FAIL",IF(H601,"FAIL_TO_PASS","FAIL_TO_FAIL")))</f>
        <v>PASS_TO_PASS</v>
      </c>
    </row>
    <row r="602" customFormat="false" ht="15" hidden="false" customHeight="false" outlineLevel="0" collapsed="false">
      <c r="A602" s="7" t="s">
        <v>82</v>
      </c>
      <c r="B602" s="7" t="s">
        <v>83</v>
      </c>
      <c r="C602" s="7" t="s">
        <v>49</v>
      </c>
      <c r="D602" s="7" t="s">
        <v>108</v>
      </c>
      <c r="E602" s="7" t="s">
        <v>51</v>
      </c>
      <c r="F602" s="7" t="s">
        <v>143</v>
      </c>
      <c r="G602" s="8" t="b">
        <f aca="false">FALSE()</f>
        <v>0</v>
      </c>
      <c r="H602" s="8" t="b">
        <f aca="false">FALSE()</f>
        <v>0</v>
      </c>
      <c r="I602" s="7" t="str">
        <f aca="false">IF(AND(G602,H602),"PASS_TO_PASS",IF(G602,"PASS_TO_FAIL",IF(H602,"FAIL_TO_PASS","FAIL_TO_FAIL")))</f>
        <v>FAIL_TO_FAIL</v>
      </c>
    </row>
    <row r="603" customFormat="false" ht="15" hidden="false" customHeight="false" outlineLevel="0" collapsed="false">
      <c r="A603" s="7" t="s">
        <v>82</v>
      </c>
      <c r="B603" s="7" t="s">
        <v>83</v>
      </c>
      <c r="C603" s="7" t="s">
        <v>49</v>
      </c>
      <c r="D603" s="7" t="s">
        <v>108</v>
      </c>
      <c r="E603" s="7" t="s">
        <v>51</v>
      </c>
      <c r="F603" s="7" t="s">
        <v>144</v>
      </c>
      <c r="G603" s="8" t="b">
        <f aca="false">TRUE()</f>
        <v>1</v>
      </c>
      <c r="H603" s="8" t="b">
        <f aca="false">TRUE()</f>
        <v>1</v>
      </c>
      <c r="I603" s="7" t="str">
        <f aca="false">IF(AND(G603,H603),"PASS_TO_PASS",IF(G603,"PASS_TO_FAIL",IF(H603,"FAIL_TO_PASS","FAIL_TO_FAIL")))</f>
        <v>PASS_TO_PASS</v>
      </c>
    </row>
    <row r="604" customFormat="false" ht="15" hidden="false" customHeight="false" outlineLevel="0" collapsed="false">
      <c r="A604" s="7" t="s">
        <v>82</v>
      </c>
      <c r="B604" s="7" t="s">
        <v>83</v>
      </c>
      <c r="C604" s="7" t="s">
        <v>49</v>
      </c>
      <c r="D604" s="7" t="s">
        <v>108</v>
      </c>
      <c r="E604" s="7" t="s">
        <v>51</v>
      </c>
      <c r="F604" s="7" t="s">
        <v>145</v>
      </c>
      <c r="G604" s="8" t="b">
        <f aca="false">TRUE()</f>
        <v>1</v>
      </c>
      <c r="H604" s="8" t="b">
        <f aca="false">TRUE()</f>
        <v>1</v>
      </c>
      <c r="I604" s="7" t="str">
        <f aca="false">IF(AND(G604,H604),"PASS_TO_PASS",IF(G604,"PASS_TO_FAIL",IF(H604,"FAIL_TO_PASS","FAIL_TO_FAIL")))</f>
        <v>PASS_TO_PASS</v>
      </c>
    </row>
    <row r="605" customFormat="false" ht="15" hidden="false" customHeight="false" outlineLevel="0" collapsed="false">
      <c r="A605" s="7" t="s">
        <v>48</v>
      </c>
      <c r="B605" s="7" t="s">
        <v>10</v>
      </c>
      <c r="C605" s="7" t="s">
        <v>49</v>
      </c>
      <c r="D605" s="7" t="s">
        <v>109</v>
      </c>
      <c r="E605" s="7" t="s">
        <v>51</v>
      </c>
      <c r="F605" s="7" t="s">
        <v>134</v>
      </c>
      <c r="G605" s="8" t="b">
        <f aca="false">TRUE()</f>
        <v>1</v>
      </c>
      <c r="H605" s="8" t="b">
        <f aca="false">TRUE()</f>
        <v>1</v>
      </c>
      <c r="I605" s="7" t="str">
        <f aca="false">IF(AND(G605,H605),"PASS_TO_PASS",IF(G605,"PASS_TO_FAIL",IF(H605,"FAIL_TO_PASS","FAIL_TO_FAIL")))</f>
        <v>PASS_TO_PASS</v>
      </c>
    </row>
    <row r="606" customFormat="false" ht="15" hidden="false" customHeight="false" outlineLevel="0" collapsed="false">
      <c r="A606" s="7" t="s">
        <v>48</v>
      </c>
      <c r="B606" s="7" t="s">
        <v>10</v>
      </c>
      <c r="C606" s="7" t="s">
        <v>49</v>
      </c>
      <c r="D606" s="7" t="s">
        <v>109</v>
      </c>
      <c r="E606" s="7" t="s">
        <v>51</v>
      </c>
      <c r="F606" s="7" t="s">
        <v>135</v>
      </c>
      <c r="G606" s="8" t="b">
        <f aca="false">TRUE()</f>
        <v>1</v>
      </c>
      <c r="H606" s="8" t="b">
        <f aca="false">TRUE()</f>
        <v>1</v>
      </c>
      <c r="I606" s="7" t="str">
        <f aca="false">IF(AND(G606,H606),"PASS_TO_PASS",IF(G606,"PASS_TO_FAIL",IF(H606,"FAIL_TO_PASS","FAIL_TO_FAIL")))</f>
        <v>PASS_TO_PASS</v>
      </c>
    </row>
    <row r="607" customFormat="false" ht="15" hidden="false" customHeight="false" outlineLevel="0" collapsed="false">
      <c r="A607" s="7" t="s">
        <v>48</v>
      </c>
      <c r="B607" s="7" t="s">
        <v>10</v>
      </c>
      <c r="C607" s="7" t="s">
        <v>49</v>
      </c>
      <c r="D607" s="7" t="s">
        <v>109</v>
      </c>
      <c r="E607" s="7" t="s">
        <v>51</v>
      </c>
      <c r="F607" s="7" t="s">
        <v>136</v>
      </c>
      <c r="G607" s="8" t="b">
        <f aca="false">TRUE()</f>
        <v>1</v>
      </c>
      <c r="H607" s="8" t="b">
        <f aca="false">TRUE()</f>
        <v>1</v>
      </c>
      <c r="I607" s="7" t="str">
        <f aca="false">IF(AND(G607,H607),"PASS_TO_PASS",IF(G607,"PASS_TO_FAIL",IF(H607,"FAIL_TO_PASS","FAIL_TO_FAIL")))</f>
        <v>PASS_TO_PASS</v>
      </c>
    </row>
    <row r="608" customFormat="false" ht="15" hidden="false" customHeight="false" outlineLevel="0" collapsed="false">
      <c r="A608" s="7" t="s">
        <v>48</v>
      </c>
      <c r="B608" s="7" t="s">
        <v>10</v>
      </c>
      <c r="C608" s="7" t="s">
        <v>49</v>
      </c>
      <c r="D608" s="7" t="s">
        <v>109</v>
      </c>
      <c r="E608" s="7" t="s">
        <v>51</v>
      </c>
      <c r="F608" s="7" t="s">
        <v>137</v>
      </c>
      <c r="G608" s="8" t="b">
        <f aca="false">TRUE()</f>
        <v>1</v>
      </c>
      <c r="H608" s="8" t="b">
        <f aca="false">TRUE()</f>
        <v>1</v>
      </c>
      <c r="I608" s="7" t="str">
        <f aca="false">IF(AND(G608,H608),"PASS_TO_PASS",IF(G608,"PASS_TO_FAIL",IF(H608,"FAIL_TO_PASS","FAIL_TO_FAIL")))</f>
        <v>PASS_TO_PASS</v>
      </c>
    </row>
    <row r="609" customFormat="false" ht="15" hidden="false" customHeight="false" outlineLevel="0" collapsed="false">
      <c r="A609" s="7" t="s">
        <v>48</v>
      </c>
      <c r="B609" s="7" t="s">
        <v>10</v>
      </c>
      <c r="C609" s="7" t="s">
        <v>49</v>
      </c>
      <c r="D609" s="7" t="s">
        <v>109</v>
      </c>
      <c r="E609" s="7" t="s">
        <v>51</v>
      </c>
      <c r="F609" s="7" t="s">
        <v>138</v>
      </c>
      <c r="G609" s="8" t="b">
        <f aca="false">TRUE()</f>
        <v>1</v>
      </c>
      <c r="H609" s="8" t="b">
        <f aca="false">TRUE()</f>
        <v>1</v>
      </c>
      <c r="I609" s="7" t="str">
        <f aca="false">IF(AND(G609,H609),"PASS_TO_PASS",IF(G609,"PASS_TO_FAIL",IF(H609,"FAIL_TO_PASS","FAIL_TO_FAIL")))</f>
        <v>PASS_TO_PASS</v>
      </c>
    </row>
    <row r="610" customFormat="false" ht="15" hidden="false" customHeight="false" outlineLevel="0" collapsed="false">
      <c r="A610" s="7" t="s">
        <v>48</v>
      </c>
      <c r="B610" s="7" t="s">
        <v>10</v>
      </c>
      <c r="C610" s="7" t="s">
        <v>49</v>
      </c>
      <c r="D610" s="7" t="s">
        <v>109</v>
      </c>
      <c r="E610" s="7" t="s">
        <v>51</v>
      </c>
      <c r="F610" s="7" t="s">
        <v>139</v>
      </c>
      <c r="G610" s="8" t="b">
        <f aca="false">FALSE()</f>
        <v>0</v>
      </c>
      <c r="H610" s="8" t="b">
        <f aca="false">TRUE()</f>
        <v>1</v>
      </c>
      <c r="I610" s="7" t="str">
        <f aca="false">IF(AND(G610,H610),"PASS_TO_PASS",IF(G610,"PASS_TO_FAIL",IF(H610,"FAIL_TO_PASS","FAIL_TO_FAIL")))</f>
        <v>FAIL_TO_PASS</v>
      </c>
    </row>
    <row r="611" customFormat="false" ht="15" hidden="false" customHeight="false" outlineLevel="0" collapsed="false">
      <c r="A611" s="7" t="s">
        <v>48</v>
      </c>
      <c r="B611" s="7" t="s">
        <v>10</v>
      </c>
      <c r="C611" s="7" t="s">
        <v>49</v>
      </c>
      <c r="D611" s="7" t="s">
        <v>109</v>
      </c>
      <c r="E611" s="7" t="s">
        <v>51</v>
      </c>
      <c r="F611" s="7" t="s">
        <v>140</v>
      </c>
      <c r="G611" s="8" t="b">
        <f aca="false">TRUE()</f>
        <v>1</v>
      </c>
      <c r="H611" s="8" t="b">
        <f aca="false">TRUE()</f>
        <v>1</v>
      </c>
      <c r="I611" s="7" t="str">
        <f aca="false">IF(AND(G611,H611),"PASS_TO_PASS",IF(G611,"PASS_TO_FAIL",IF(H611,"FAIL_TO_PASS","FAIL_TO_FAIL")))</f>
        <v>PASS_TO_PASS</v>
      </c>
    </row>
    <row r="612" customFormat="false" ht="15" hidden="false" customHeight="false" outlineLevel="0" collapsed="false">
      <c r="A612" s="7" t="s">
        <v>48</v>
      </c>
      <c r="B612" s="7" t="s">
        <v>10</v>
      </c>
      <c r="C612" s="7" t="s">
        <v>49</v>
      </c>
      <c r="D612" s="7" t="s">
        <v>109</v>
      </c>
      <c r="E612" s="7" t="s">
        <v>51</v>
      </c>
      <c r="F612" s="7" t="s">
        <v>141</v>
      </c>
      <c r="G612" s="8" t="b">
        <f aca="false">TRUE()</f>
        <v>1</v>
      </c>
      <c r="H612" s="8" t="b">
        <f aca="false">TRUE()</f>
        <v>1</v>
      </c>
      <c r="I612" s="7" t="str">
        <f aca="false">IF(AND(G612,H612),"PASS_TO_PASS",IF(G612,"PASS_TO_FAIL",IF(H612,"FAIL_TO_PASS","FAIL_TO_FAIL")))</f>
        <v>PASS_TO_PASS</v>
      </c>
    </row>
    <row r="613" customFormat="false" ht="15" hidden="false" customHeight="false" outlineLevel="0" collapsed="false">
      <c r="A613" s="7" t="s">
        <v>48</v>
      </c>
      <c r="B613" s="7" t="s">
        <v>10</v>
      </c>
      <c r="C613" s="7" t="s">
        <v>49</v>
      </c>
      <c r="D613" s="7" t="s">
        <v>109</v>
      </c>
      <c r="E613" s="7" t="s">
        <v>51</v>
      </c>
      <c r="F613" s="7" t="s">
        <v>142</v>
      </c>
      <c r="G613" s="8" t="b">
        <f aca="false">TRUE()</f>
        <v>1</v>
      </c>
      <c r="H613" s="8" t="b">
        <f aca="false">TRUE()</f>
        <v>1</v>
      </c>
      <c r="I613" s="7" t="str">
        <f aca="false">IF(AND(G613,H613),"PASS_TO_PASS",IF(G613,"PASS_TO_FAIL",IF(H613,"FAIL_TO_PASS","FAIL_TO_FAIL")))</f>
        <v>PASS_TO_PASS</v>
      </c>
    </row>
    <row r="614" customFormat="false" ht="15" hidden="false" customHeight="false" outlineLevel="0" collapsed="false">
      <c r="A614" s="7" t="s">
        <v>48</v>
      </c>
      <c r="B614" s="7" t="s">
        <v>10</v>
      </c>
      <c r="C614" s="7" t="s">
        <v>49</v>
      </c>
      <c r="D614" s="7" t="s">
        <v>109</v>
      </c>
      <c r="E614" s="7" t="s">
        <v>51</v>
      </c>
      <c r="F614" s="7" t="s">
        <v>143</v>
      </c>
      <c r="G614" s="8" t="b">
        <f aca="false">TRUE()</f>
        <v>1</v>
      </c>
      <c r="H614" s="8" t="b">
        <f aca="false">FALSE()</f>
        <v>0</v>
      </c>
      <c r="I614" s="7" t="str">
        <f aca="false">IF(AND(G614,H614),"PASS_TO_PASS",IF(G614,"PASS_TO_FAIL",IF(H614,"FAIL_TO_PASS","FAIL_TO_FAIL")))</f>
        <v>PASS_TO_FAIL</v>
      </c>
    </row>
    <row r="615" customFormat="false" ht="15" hidden="false" customHeight="false" outlineLevel="0" collapsed="false">
      <c r="A615" s="7" t="s">
        <v>48</v>
      </c>
      <c r="B615" s="7" t="s">
        <v>10</v>
      </c>
      <c r="C615" s="7" t="s">
        <v>49</v>
      </c>
      <c r="D615" s="7" t="s">
        <v>109</v>
      </c>
      <c r="E615" s="7" t="s">
        <v>51</v>
      </c>
      <c r="F615" s="7" t="s">
        <v>144</v>
      </c>
      <c r="G615" s="8" t="b">
        <f aca="false">TRUE()</f>
        <v>1</v>
      </c>
      <c r="H615" s="8" t="b">
        <f aca="false">TRUE()</f>
        <v>1</v>
      </c>
      <c r="I615" s="7" t="str">
        <f aca="false">IF(AND(G615,H615),"PASS_TO_PASS",IF(G615,"PASS_TO_FAIL",IF(H615,"FAIL_TO_PASS","FAIL_TO_FAIL")))</f>
        <v>PASS_TO_PASS</v>
      </c>
    </row>
    <row r="616" customFormat="false" ht="15" hidden="false" customHeight="false" outlineLevel="0" collapsed="false">
      <c r="A616" s="7" t="s">
        <v>48</v>
      </c>
      <c r="B616" s="7" t="s">
        <v>10</v>
      </c>
      <c r="C616" s="7" t="s">
        <v>49</v>
      </c>
      <c r="D616" s="7" t="s">
        <v>109</v>
      </c>
      <c r="E616" s="7" t="s">
        <v>51</v>
      </c>
      <c r="F616" s="7" t="s">
        <v>145</v>
      </c>
      <c r="G616" s="8" t="b">
        <f aca="false">TRUE()</f>
        <v>1</v>
      </c>
      <c r="H616" s="8" t="b">
        <f aca="false">TRUE()</f>
        <v>1</v>
      </c>
      <c r="I616" s="7" t="str">
        <f aca="false">IF(AND(G616,H616),"PASS_TO_PASS",IF(G616,"PASS_TO_FAIL",IF(H616,"FAIL_TO_PASS","FAIL_TO_FAIL")))</f>
        <v>PASS_TO_PASS</v>
      </c>
    </row>
    <row r="617" customFormat="false" ht="15" hidden="false" customHeight="false" outlineLevel="0" collapsed="false">
      <c r="A617" s="7" t="s">
        <v>82</v>
      </c>
      <c r="B617" s="7" t="s">
        <v>83</v>
      </c>
      <c r="C617" s="7" t="s">
        <v>49</v>
      </c>
      <c r="D617" s="7" t="s">
        <v>109</v>
      </c>
      <c r="E617" s="7" t="s">
        <v>51</v>
      </c>
      <c r="F617" s="7" t="s">
        <v>134</v>
      </c>
      <c r="G617" s="8" t="b">
        <f aca="false">TRUE()</f>
        <v>1</v>
      </c>
      <c r="H617" s="8" t="b">
        <f aca="false">TRUE()</f>
        <v>1</v>
      </c>
      <c r="I617" s="7" t="str">
        <f aca="false">IF(AND(G617,H617),"PASS_TO_PASS",IF(G617,"PASS_TO_FAIL",IF(H617,"FAIL_TO_PASS","FAIL_TO_FAIL")))</f>
        <v>PASS_TO_PASS</v>
      </c>
    </row>
    <row r="618" customFormat="false" ht="15" hidden="false" customHeight="false" outlineLevel="0" collapsed="false">
      <c r="A618" s="7" t="s">
        <v>82</v>
      </c>
      <c r="B618" s="7" t="s">
        <v>83</v>
      </c>
      <c r="C618" s="7" t="s">
        <v>49</v>
      </c>
      <c r="D618" s="7" t="s">
        <v>109</v>
      </c>
      <c r="E618" s="7" t="s">
        <v>51</v>
      </c>
      <c r="F618" s="7" t="s">
        <v>135</v>
      </c>
      <c r="G618" s="8" t="b">
        <f aca="false">TRUE()</f>
        <v>1</v>
      </c>
      <c r="H618" s="8" t="b">
        <f aca="false">TRUE()</f>
        <v>1</v>
      </c>
      <c r="I618" s="7" t="str">
        <f aca="false">IF(AND(G618,H618),"PASS_TO_PASS",IF(G618,"PASS_TO_FAIL",IF(H618,"FAIL_TO_PASS","FAIL_TO_FAIL")))</f>
        <v>PASS_TO_PASS</v>
      </c>
    </row>
    <row r="619" customFormat="false" ht="15" hidden="false" customHeight="false" outlineLevel="0" collapsed="false">
      <c r="A619" s="7" t="s">
        <v>82</v>
      </c>
      <c r="B619" s="7" t="s">
        <v>83</v>
      </c>
      <c r="C619" s="7" t="s">
        <v>49</v>
      </c>
      <c r="D619" s="7" t="s">
        <v>109</v>
      </c>
      <c r="E619" s="7" t="s">
        <v>51</v>
      </c>
      <c r="F619" s="7" t="s">
        <v>136</v>
      </c>
      <c r="G619" s="8" t="b">
        <f aca="false">TRUE()</f>
        <v>1</v>
      </c>
      <c r="H619" s="8" t="b">
        <f aca="false">TRUE()</f>
        <v>1</v>
      </c>
      <c r="I619" s="7" t="str">
        <f aca="false">IF(AND(G619,H619),"PASS_TO_PASS",IF(G619,"PASS_TO_FAIL",IF(H619,"FAIL_TO_PASS","FAIL_TO_FAIL")))</f>
        <v>PASS_TO_PASS</v>
      </c>
    </row>
    <row r="620" customFormat="false" ht="15" hidden="false" customHeight="false" outlineLevel="0" collapsed="false">
      <c r="A620" s="7" t="s">
        <v>82</v>
      </c>
      <c r="B620" s="7" t="s">
        <v>83</v>
      </c>
      <c r="C620" s="7" t="s">
        <v>49</v>
      </c>
      <c r="D620" s="7" t="s">
        <v>109</v>
      </c>
      <c r="E620" s="7" t="s">
        <v>51</v>
      </c>
      <c r="F620" s="7" t="s">
        <v>137</v>
      </c>
      <c r="G620" s="8" t="b">
        <f aca="false">TRUE()</f>
        <v>1</v>
      </c>
      <c r="H620" s="8" t="b">
        <f aca="false">TRUE()</f>
        <v>1</v>
      </c>
      <c r="I620" s="7" t="str">
        <f aca="false">IF(AND(G620,H620),"PASS_TO_PASS",IF(G620,"PASS_TO_FAIL",IF(H620,"FAIL_TO_PASS","FAIL_TO_FAIL")))</f>
        <v>PASS_TO_PASS</v>
      </c>
    </row>
    <row r="621" customFormat="false" ht="15" hidden="false" customHeight="false" outlineLevel="0" collapsed="false">
      <c r="A621" s="7" t="s">
        <v>82</v>
      </c>
      <c r="B621" s="7" t="s">
        <v>83</v>
      </c>
      <c r="C621" s="7" t="s">
        <v>49</v>
      </c>
      <c r="D621" s="7" t="s">
        <v>109</v>
      </c>
      <c r="E621" s="7" t="s">
        <v>51</v>
      </c>
      <c r="F621" s="7" t="s">
        <v>138</v>
      </c>
      <c r="G621" s="8" t="b">
        <f aca="false">TRUE()</f>
        <v>1</v>
      </c>
      <c r="H621" s="8" t="b">
        <f aca="false">TRUE()</f>
        <v>1</v>
      </c>
      <c r="I621" s="7" t="str">
        <f aca="false">IF(AND(G621,H621),"PASS_TO_PASS",IF(G621,"PASS_TO_FAIL",IF(H621,"FAIL_TO_PASS","FAIL_TO_FAIL")))</f>
        <v>PASS_TO_PASS</v>
      </c>
    </row>
    <row r="622" customFormat="false" ht="15" hidden="false" customHeight="false" outlineLevel="0" collapsed="false">
      <c r="A622" s="7" t="s">
        <v>82</v>
      </c>
      <c r="B622" s="7" t="s">
        <v>83</v>
      </c>
      <c r="C622" s="7" t="s">
        <v>49</v>
      </c>
      <c r="D622" s="7" t="s">
        <v>109</v>
      </c>
      <c r="E622" s="7" t="s">
        <v>51</v>
      </c>
      <c r="F622" s="7" t="s">
        <v>139</v>
      </c>
      <c r="G622" s="8" t="b">
        <f aca="false">FALSE()</f>
        <v>0</v>
      </c>
      <c r="H622" s="8" t="b">
        <f aca="false">TRUE()</f>
        <v>1</v>
      </c>
      <c r="I622" s="7" t="str">
        <f aca="false">IF(AND(G622,H622),"PASS_TO_PASS",IF(G622,"PASS_TO_FAIL",IF(H622,"FAIL_TO_PASS","FAIL_TO_FAIL")))</f>
        <v>FAIL_TO_PASS</v>
      </c>
    </row>
    <row r="623" customFormat="false" ht="15" hidden="false" customHeight="false" outlineLevel="0" collapsed="false">
      <c r="A623" s="7" t="s">
        <v>82</v>
      </c>
      <c r="B623" s="7" t="s">
        <v>83</v>
      </c>
      <c r="C623" s="7" t="s">
        <v>49</v>
      </c>
      <c r="D623" s="7" t="s">
        <v>109</v>
      </c>
      <c r="E623" s="7" t="s">
        <v>51</v>
      </c>
      <c r="F623" s="7" t="s">
        <v>140</v>
      </c>
      <c r="G623" s="8" t="b">
        <f aca="false">TRUE()</f>
        <v>1</v>
      </c>
      <c r="H623" s="8" t="b">
        <f aca="false">TRUE()</f>
        <v>1</v>
      </c>
      <c r="I623" s="7" t="str">
        <f aca="false">IF(AND(G623,H623),"PASS_TO_PASS",IF(G623,"PASS_TO_FAIL",IF(H623,"FAIL_TO_PASS","FAIL_TO_FAIL")))</f>
        <v>PASS_TO_PASS</v>
      </c>
    </row>
    <row r="624" customFormat="false" ht="15" hidden="false" customHeight="false" outlineLevel="0" collapsed="false">
      <c r="A624" s="7" t="s">
        <v>82</v>
      </c>
      <c r="B624" s="7" t="s">
        <v>83</v>
      </c>
      <c r="C624" s="7" t="s">
        <v>49</v>
      </c>
      <c r="D624" s="7" t="s">
        <v>109</v>
      </c>
      <c r="E624" s="7" t="s">
        <v>51</v>
      </c>
      <c r="F624" s="7" t="s">
        <v>141</v>
      </c>
      <c r="G624" s="8" t="b">
        <f aca="false">TRUE()</f>
        <v>1</v>
      </c>
      <c r="H624" s="8" t="b">
        <f aca="false">TRUE()</f>
        <v>1</v>
      </c>
      <c r="I624" s="7" t="str">
        <f aca="false">IF(AND(G624,H624),"PASS_TO_PASS",IF(G624,"PASS_TO_FAIL",IF(H624,"FAIL_TO_PASS","FAIL_TO_FAIL")))</f>
        <v>PASS_TO_PASS</v>
      </c>
    </row>
    <row r="625" customFormat="false" ht="15" hidden="false" customHeight="false" outlineLevel="0" collapsed="false">
      <c r="A625" s="7" t="s">
        <v>82</v>
      </c>
      <c r="B625" s="7" t="s">
        <v>83</v>
      </c>
      <c r="C625" s="7" t="s">
        <v>49</v>
      </c>
      <c r="D625" s="7" t="s">
        <v>109</v>
      </c>
      <c r="E625" s="7" t="s">
        <v>51</v>
      </c>
      <c r="F625" s="7" t="s">
        <v>142</v>
      </c>
      <c r="G625" s="8" t="b">
        <f aca="false">TRUE()</f>
        <v>1</v>
      </c>
      <c r="H625" s="8" t="b">
        <f aca="false">TRUE()</f>
        <v>1</v>
      </c>
      <c r="I625" s="7" t="str">
        <f aca="false">IF(AND(G625,H625),"PASS_TO_PASS",IF(G625,"PASS_TO_FAIL",IF(H625,"FAIL_TO_PASS","FAIL_TO_FAIL")))</f>
        <v>PASS_TO_PASS</v>
      </c>
    </row>
    <row r="626" customFormat="false" ht="15" hidden="false" customHeight="false" outlineLevel="0" collapsed="false">
      <c r="A626" s="7" t="s">
        <v>82</v>
      </c>
      <c r="B626" s="7" t="s">
        <v>83</v>
      </c>
      <c r="C626" s="7" t="s">
        <v>49</v>
      </c>
      <c r="D626" s="7" t="s">
        <v>109</v>
      </c>
      <c r="E626" s="7" t="s">
        <v>51</v>
      </c>
      <c r="F626" s="7" t="s">
        <v>143</v>
      </c>
      <c r="G626" s="8" t="b">
        <f aca="false">TRUE()</f>
        <v>1</v>
      </c>
      <c r="H626" s="8" t="b">
        <f aca="false">FALSE()</f>
        <v>0</v>
      </c>
      <c r="I626" s="7" t="str">
        <f aca="false">IF(AND(G626,H626),"PASS_TO_PASS",IF(G626,"PASS_TO_FAIL",IF(H626,"FAIL_TO_PASS","FAIL_TO_FAIL")))</f>
        <v>PASS_TO_FAIL</v>
      </c>
    </row>
    <row r="627" customFormat="false" ht="15" hidden="false" customHeight="false" outlineLevel="0" collapsed="false">
      <c r="A627" s="7" t="s">
        <v>82</v>
      </c>
      <c r="B627" s="7" t="s">
        <v>83</v>
      </c>
      <c r="C627" s="7" t="s">
        <v>49</v>
      </c>
      <c r="D627" s="7" t="s">
        <v>109</v>
      </c>
      <c r="E627" s="7" t="s">
        <v>51</v>
      </c>
      <c r="F627" s="7" t="s">
        <v>144</v>
      </c>
      <c r="G627" s="8" t="b">
        <f aca="false">TRUE()</f>
        <v>1</v>
      </c>
      <c r="H627" s="8" t="b">
        <f aca="false">TRUE()</f>
        <v>1</v>
      </c>
      <c r="I627" s="7" t="str">
        <f aca="false">IF(AND(G627,H627),"PASS_TO_PASS",IF(G627,"PASS_TO_FAIL",IF(H627,"FAIL_TO_PASS","FAIL_TO_FAIL")))</f>
        <v>PASS_TO_PASS</v>
      </c>
    </row>
    <row r="628" customFormat="false" ht="15" hidden="false" customHeight="false" outlineLevel="0" collapsed="false">
      <c r="A628" s="7" t="s">
        <v>82</v>
      </c>
      <c r="B628" s="7" t="s">
        <v>83</v>
      </c>
      <c r="C628" s="7" t="s">
        <v>49</v>
      </c>
      <c r="D628" s="7" t="s">
        <v>109</v>
      </c>
      <c r="E628" s="7" t="s">
        <v>51</v>
      </c>
      <c r="F628" s="7" t="s">
        <v>145</v>
      </c>
      <c r="G628" s="8" t="b">
        <f aca="false">TRUE()</f>
        <v>1</v>
      </c>
      <c r="H628" s="8" t="b">
        <f aca="false">TRUE()</f>
        <v>1</v>
      </c>
      <c r="I628" s="7" t="str">
        <f aca="false">IF(AND(G628,H628),"PASS_TO_PASS",IF(G628,"PASS_TO_FAIL",IF(H628,"FAIL_TO_PASS","FAIL_TO_FAIL")))</f>
        <v>PASS_TO_PASS</v>
      </c>
    </row>
    <row r="629" customFormat="false" ht="15" hidden="false" customHeight="false" outlineLevel="0" collapsed="false">
      <c r="A629" s="7" t="s">
        <v>48</v>
      </c>
      <c r="B629" s="7" t="s">
        <v>10</v>
      </c>
      <c r="C629" s="7" t="s">
        <v>49</v>
      </c>
      <c r="D629" s="7" t="s">
        <v>110</v>
      </c>
      <c r="E629" s="7" t="s">
        <v>51</v>
      </c>
      <c r="F629" s="7" t="s">
        <v>134</v>
      </c>
      <c r="G629" s="8" t="b">
        <f aca="false">TRUE()</f>
        <v>1</v>
      </c>
      <c r="H629" s="8" t="b">
        <f aca="false">TRUE()</f>
        <v>1</v>
      </c>
      <c r="I629" s="7" t="str">
        <f aca="false">IF(AND(G629,H629),"PASS_TO_PASS",IF(G629,"PASS_TO_FAIL",IF(H629,"FAIL_TO_PASS","FAIL_TO_FAIL")))</f>
        <v>PASS_TO_PASS</v>
      </c>
    </row>
    <row r="630" customFormat="false" ht="15" hidden="false" customHeight="false" outlineLevel="0" collapsed="false">
      <c r="A630" s="7" t="s">
        <v>48</v>
      </c>
      <c r="B630" s="7" t="s">
        <v>10</v>
      </c>
      <c r="C630" s="7" t="s">
        <v>49</v>
      </c>
      <c r="D630" s="7" t="s">
        <v>110</v>
      </c>
      <c r="E630" s="7" t="s">
        <v>51</v>
      </c>
      <c r="F630" s="7" t="s">
        <v>135</v>
      </c>
      <c r="G630" s="8" t="b">
        <f aca="false">TRUE()</f>
        <v>1</v>
      </c>
      <c r="H630" s="8" t="b">
        <f aca="false">TRUE()</f>
        <v>1</v>
      </c>
      <c r="I630" s="7" t="str">
        <f aca="false">IF(AND(G630,H630),"PASS_TO_PASS",IF(G630,"PASS_TO_FAIL",IF(H630,"FAIL_TO_PASS","FAIL_TO_FAIL")))</f>
        <v>PASS_TO_PASS</v>
      </c>
    </row>
    <row r="631" customFormat="false" ht="15" hidden="false" customHeight="false" outlineLevel="0" collapsed="false">
      <c r="A631" s="7" t="s">
        <v>48</v>
      </c>
      <c r="B631" s="7" t="s">
        <v>10</v>
      </c>
      <c r="C631" s="7" t="s">
        <v>49</v>
      </c>
      <c r="D631" s="7" t="s">
        <v>110</v>
      </c>
      <c r="E631" s="7" t="s">
        <v>51</v>
      </c>
      <c r="F631" s="7" t="s">
        <v>136</v>
      </c>
      <c r="G631" s="8" t="b">
        <f aca="false">TRUE()</f>
        <v>1</v>
      </c>
      <c r="H631" s="8" t="b">
        <f aca="false">TRUE()</f>
        <v>1</v>
      </c>
      <c r="I631" s="7" t="str">
        <f aca="false">IF(AND(G631,H631),"PASS_TO_PASS",IF(G631,"PASS_TO_FAIL",IF(H631,"FAIL_TO_PASS","FAIL_TO_FAIL")))</f>
        <v>PASS_TO_PASS</v>
      </c>
    </row>
    <row r="632" customFormat="false" ht="15" hidden="false" customHeight="false" outlineLevel="0" collapsed="false">
      <c r="A632" s="7" t="s">
        <v>48</v>
      </c>
      <c r="B632" s="7" t="s">
        <v>10</v>
      </c>
      <c r="C632" s="7" t="s">
        <v>49</v>
      </c>
      <c r="D632" s="7" t="s">
        <v>110</v>
      </c>
      <c r="E632" s="7" t="s">
        <v>51</v>
      </c>
      <c r="F632" s="7" t="s">
        <v>137</v>
      </c>
      <c r="G632" s="8" t="b">
        <f aca="false">TRUE()</f>
        <v>1</v>
      </c>
      <c r="H632" s="8" t="b">
        <f aca="false">TRUE()</f>
        <v>1</v>
      </c>
      <c r="I632" s="7" t="str">
        <f aca="false">IF(AND(G632,H632),"PASS_TO_PASS",IF(G632,"PASS_TO_FAIL",IF(H632,"FAIL_TO_PASS","FAIL_TO_FAIL")))</f>
        <v>PASS_TO_PASS</v>
      </c>
    </row>
    <row r="633" customFormat="false" ht="15" hidden="false" customHeight="false" outlineLevel="0" collapsed="false">
      <c r="A633" s="7" t="s">
        <v>48</v>
      </c>
      <c r="B633" s="7" t="s">
        <v>10</v>
      </c>
      <c r="C633" s="7" t="s">
        <v>49</v>
      </c>
      <c r="D633" s="7" t="s">
        <v>110</v>
      </c>
      <c r="E633" s="7" t="s">
        <v>51</v>
      </c>
      <c r="F633" s="7" t="s">
        <v>138</v>
      </c>
      <c r="G633" s="8" t="b">
        <f aca="false">TRUE()</f>
        <v>1</v>
      </c>
      <c r="H633" s="8" t="b">
        <f aca="false">TRUE()</f>
        <v>1</v>
      </c>
      <c r="I633" s="7" t="str">
        <f aca="false">IF(AND(G633,H633),"PASS_TO_PASS",IF(G633,"PASS_TO_FAIL",IF(H633,"FAIL_TO_PASS","FAIL_TO_FAIL")))</f>
        <v>PASS_TO_PASS</v>
      </c>
    </row>
    <row r="634" customFormat="false" ht="15" hidden="false" customHeight="false" outlineLevel="0" collapsed="false">
      <c r="A634" s="7" t="s">
        <v>48</v>
      </c>
      <c r="B634" s="7" t="s">
        <v>10</v>
      </c>
      <c r="C634" s="7" t="s">
        <v>49</v>
      </c>
      <c r="D634" s="7" t="s">
        <v>110</v>
      </c>
      <c r="E634" s="7" t="s">
        <v>51</v>
      </c>
      <c r="F634" s="7" t="s">
        <v>139</v>
      </c>
      <c r="G634" s="8" t="b">
        <f aca="false">TRUE()</f>
        <v>1</v>
      </c>
      <c r="H634" s="8" t="b">
        <f aca="false">TRUE()</f>
        <v>1</v>
      </c>
      <c r="I634" s="7" t="str">
        <f aca="false">IF(AND(G634,H634),"PASS_TO_PASS",IF(G634,"PASS_TO_FAIL",IF(H634,"FAIL_TO_PASS","FAIL_TO_FAIL")))</f>
        <v>PASS_TO_PASS</v>
      </c>
    </row>
    <row r="635" customFormat="false" ht="15" hidden="false" customHeight="false" outlineLevel="0" collapsed="false">
      <c r="A635" s="7" t="s">
        <v>48</v>
      </c>
      <c r="B635" s="7" t="s">
        <v>10</v>
      </c>
      <c r="C635" s="7" t="s">
        <v>49</v>
      </c>
      <c r="D635" s="7" t="s">
        <v>110</v>
      </c>
      <c r="E635" s="7" t="s">
        <v>51</v>
      </c>
      <c r="F635" s="7" t="s">
        <v>140</v>
      </c>
      <c r="G635" s="8" t="b">
        <f aca="false">FALSE()</f>
        <v>0</v>
      </c>
      <c r="H635" s="8" t="b">
        <f aca="false">TRUE()</f>
        <v>1</v>
      </c>
      <c r="I635" s="7" t="str">
        <f aca="false">IF(AND(G635,H635),"PASS_TO_PASS",IF(G635,"PASS_TO_FAIL",IF(H635,"FAIL_TO_PASS","FAIL_TO_FAIL")))</f>
        <v>FAIL_TO_PASS</v>
      </c>
    </row>
    <row r="636" customFormat="false" ht="15" hidden="false" customHeight="false" outlineLevel="0" collapsed="false">
      <c r="A636" s="7" t="s">
        <v>48</v>
      </c>
      <c r="B636" s="7" t="s">
        <v>10</v>
      </c>
      <c r="C636" s="7" t="s">
        <v>49</v>
      </c>
      <c r="D636" s="7" t="s">
        <v>110</v>
      </c>
      <c r="E636" s="7" t="s">
        <v>51</v>
      </c>
      <c r="F636" s="7" t="s">
        <v>141</v>
      </c>
      <c r="G636" s="8" t="b">
        <f aca="false">TRUE()</f>
        <v>1</v>
      </c>
      <c r="H636" s="8" t="b">
        <f aca="false">TRUE()</f>
        <v>1</v>
      </c>
      <c r="I636" s="7" t="str">
        <f aca="false">IF(AND(G636,H636),"PASS_TO_PASS",IF(G636,"PASS_TO_FAIL",IF(H636,"FAIL_TO_PASS","FAIL_TO_FAIL")))</f>
        <v>PASS_TO_PASS</v>
      </c>
    </row>
    <row r="637" customFormat="false" ht="15" hidden="false" customHeight="false" outlineLevel="0" collapsed="false">
      <c r="A637" s="7" t="s">
        <v>48</v>
      </c>
      <c r="B637" s="7" t="s">
        <v>10</v>
      </c>
      <c r="C637" s="7" t="s">
        <v>49</v>
      </c>
      <c r="D637" s="7" t="s">
        <v>110</v>
      </c>
      <c r="E637" s="7" t="s">
        <v>51</v>
      </c>
      <c r="F637" s="7" t="s">
        <v>142</v>
      </c>
      <c r="G637" s="8" t="b">
        <f aca="false">FALSE()</f>
        <v>0</v>
      </c>
      <c r="H637" s="8" t="b">
        <f aca="false">TRUE()</f>
        <v>1</v>
      </c>
      <c r="I637" s="7" t="str">
        <f aca="false">IF(AND(G637,H637),"PASS_TO_PASS",IF(G637,"PASS_TO_FAIL",IF(H637,"FAIL_TO_PASS","FAIL_TO_FAIL")))</f>
        <v>FAIL_TO_PASS</v>
      </c>
    </row>
    <row r="638" customFormat="false" ht="15" hidden="false" customHeight="false" outlineLevel="0" collapsed="false">
      <c r="A638" s="7" t="s">
        <v>48</v>
      </c>
      <c r="B638" s="7" t="s">
        <v>10</v>
      </c>
      <c r="C638" s="7" t="s">
        <v>49</v>
      </c>
      <c r="D638" s="7" t="s">
        <v>110</v>
      </c>
      <c r="E638" s="7" t="s">
        <v>51</v>
      </c>
      <c r="F638" s="7" t="s">
        <v>143</v>
      </c>
      <c r="G638" s="8" t="b">
        <f aca="false">TRUE()</f>
        <v>1</v>
      </c>
      <c r="H638" s="8" t="b">
        <f aca="false">TRUE()</f>
        <v>1</v>
      </c>
      <c r="I638" s="7" t="str">
        <f aca="false">IF(AND(G638,H638),"PASS_TO_PASS",IF(G638,"PASS_TO_FAIL",IF(H638,"FAIL_TO_PASS","FAIL_TO_FAIL")))</f>
        <v>PASS_TO_PASS</v>
      </c>
    </row>
    <row r="639" customFormat="false" ht="15" hidden="false" customHeight="false" outlineLevel="0" collapsed="false">
      <c r="A639" s="7" t="s">
        <v>48</v>
      </c>
      <c r="B639" s="7" t="s">
        <v>10</v>
      </c>
      <c r="C639" s="7" t="s">
        <v>49</v>
      </c>
      <c r="D639" s="7" t="s">
        <v>110</v>
      </c>
      <c r="E639" s="7" t="s">
        <v>51</v>
      </c>
      <c r="F639" s="7" t="s">
        <v>144</v>
      </c>
      <c r="G639" s="8" t="b">
        <f aca="false">TRUE()</f>
        <v>1</v>
      </c>
      <c r="H639" s="8" t="b">
        <f aca="false">TRUE()</f>
        <v>1</v>
      </c>
      <c r="I639" s="7" t="str">
        <f aca="false">IF(AND(G639,H639),"PASS_TO_PASS",IF(G639,"PASS_TO_FAIL",IF(H639,"FAIL_TO_PASS","FAIL_TO_FAIL")))</f>
        <v>PASS_TO_PASS</v>
      </c>
    </row>
    <row r="640" customFormat="false" ht="15" hidden="false" customHeight="false" outlineLevel="0" collapsed="false">
      <c r="A640" s="7" t="s">
        <v>48</v>
      </c>
      <c r="B640" s="7" t="s">
        <v>10</v>
      </c>
      <c r="C640" s="7" t="s">
        <v>49</v>
      </c>
      <c r="D640" s="7" t="s">
        <v>110</v>
      </c>
      <c r="E640" s="7" t="s">
        <v>51</v>
      </c>
      <c r="F640" s="7" t="s">
        <v>145</v>
      </c>
      <c r="G640" s="8" t="b">
        <f aca="false">TRUE()</f>
        <v>1</v>
      </c>
      <c r="H640" s="8" t="b">
        <f aca="false">TRUE()</f>
        <v>1</v>
      </c>
      <c r="I640" s="7" t="str">
        <f aca="false">IF(AND(G640,H640),"PASS_TO_PASS",IF(G640,"PASS_TO_FAIL",IF(H640,"FAIL_TO_PASS","FAIL_TO_FAIL")))</f>
        <v>PASS_TO_PASS</v>
      </c>
    </row>
    <row r="641" customFormat="false" ht="15" hidden="false" customHeight="false" outlineLevel="0" collapsed="false">
      <c r="A641" s="7" t="s">
        <v>82</v>
      </c>
      <c r="B641" s="7" t="s">
        <v>83</v>
      </c>
      <c r="C641" s="7" t="s">
        <v>49</v>
      </c>
      <c r="D641" s="7" t="s">
        <v>110</v>
      </c>
      <c r="E641" s="7" t="s">
        <v>51</v>
      </c>
      <c r="F641" s="7" t="s">
        <v>134</v>
      </c>
      <c r="G641" s="8" t="b">
        <f aca="false">TRUE()</f>
        <v>1</v>
      </c>
      <c r="H641" s="8" t="b">
        <f aca="false">TRUE()</f>
        <v>1</v>
      </c>
      <c r="I641" s="7" t="str">
        <f aca="false">IF(AND(G641,H641),"PASS_TO_PASS",IF(G641,"PASS_TO_FAIL",IF(H641,"FAIL_TO_PASS","FAIL_TO_FAIL")))</f>
        <v>PASS_TO_PASS</v>
      </c>
    </row>
    <row r="642" customFormat="false" ht="15" hidden="false" customHeight="false" outlineLevel="0" collapsed="false">
      <c r="A642" s="7" t="s">
        <v>82</v>
      </c>
      <c r="B642" s="7" t="s">
        <v>83</v>
      </c>
      <c r="C642" s="7" t="s">
        <v>49</v>
      </c>
      <c r="D642" s="7" t="s">
        <v>110</v>
      </c>
      <c r="E642" s="7" t="s">
        <v>51</v>
      </c>
      <c r="F642" s="7" t="s">
        <v>135</v>
      </c>
      <c r="G642" s="8" t="b">
        <f aca="false">TRUE()</f>
        <v>1</v>
      </c>
      <c r="H642" s="8" t="b">
        <f aca="false">TRUE()</f>
        <v>1</v>
      </c>
      <c r="I642" s="7" t="str">
        <f aca="false">IF(AND(G642,H642),"PASS_TO_PASS",IF(G642,"PASS_TO_FAIL",IF(H642,"FAIL_TO_PASS","FAIL_TO_FAIL")))</f>
        <v>PASS_TO_PASS</v>
      </c>
    </row>
    <row r="643" customFormat="false" ht="15" hidden="false" customHeight="false" outlineLevel="0" collapsed="false">
      <c r="A643" s="7" t="s">
        <v>82</v>
      </c>
      <c r="B643" s="7" t="s">
        <v>83</v>
      </c>
      <c r="C643" s="7" t="s">
        <v>49</v>
      </c>
      <c r="D643" s="7" t="s">
        <v>110</v>
      </c>
      <c r="E643" s="7" t="s">
        <v>51</v>
      </c>
      <c r="F643" s="7" t="s">
        <v>136</v>
      </c>
      <c r="G643" s="8" t="b">
        <f aca="false">TRUE()</f>
        <v>1</v>
      </c>
      <c r="H643" s="8" t="b">
        <f aca="false">TRUE()</f>
        <v>1</v>
      </c>
      <c r="I643" s="7" t="str">
        <f aca="false">IF(AND(G643,H643),"PASS_TO_PASS",IF(G643,"PASS_TO_FAIL",IF(H643,"FAIL_TO_PASS","FAIL_TO_FAIL")))</f>
        <v>PASS_TO_PASS</v>
      </c>
    </row>
    <row r="644" customFormat="false" ht="15" hidden="false" customHeight="false" outlineLevel="0" collapsed="false">
      <c r="A644" s="7" t="s">
        <v>82</v>
      </c>
      <c r="B644" s="7" t="s">
        <v>83</v>
      </c>
      <c r="C644" s="7" t="s">
        <v>49</v>
      </c>
      <c r="D644" s="7" t="s">
        <v>110</v>
      </c>
      <c r="E644" s="7" t="s">
        <v>51</v>
      </c>
      <c r="F644" s="7" t="s">
        <v>137</v>
      </c>
      <c r="G644" s="8" t="b">
        <f aca="false">TRUE()</f>
        <v>1</v>
      </c>
      <c r="H644" s="8" t="b">
        <f aca="false">TRUE()</f>
        <v>1</v>
      </c>
      <c r="I644" s="7" t="str">
        <f aca="false">IF(AND(G644,H644),"PASS_TO_PASS",IF(G644,"PASS_TO_FAIL",IF(H644,"FAIL_TO_PASS","FAIL_TO_FAIL")))</f>
        <v>PASS_TO_PASS</v>
      </c>
    </row>
    <row r="645" customFormat="false" ht="15" hidden="false" customHeight="false" outlineLevel="0" collapsed="false">
      <c r="A645" s="7" t="s">
        <v>82</v>
      </c>
      <c r="B645" s="7" t="s">
        <v>83</v>
      </c>
      <c r="C645" s="7" t="s">
        <v>49</v>
      </c>
      <c r="D645" s="7" t="s">
        <v>110</v>
      </c>
      <c r="E645" s="7" t="s">
        <v>51</v>
      </c>
      <c r="F645" s="7" t="s">
        <v>138</v>
      </c>
      <c r="G645" s="8" t="b">
        <f aca="false">TRUE()</f>
        <v>1</v>
      </c>
      <c r="H645" s="8" t="b">
        <f aca="false">TRUE()</f>
        <v>1</v>
      </c>
      <c r="I645" s="7" t="str">
        <f aca="false">IF(AND(G645,H645),"PASS_TO_PASS",IF(G645,"PASS_TO_FAIL",IF(H645,"FAIL_TO_PASS","FAIL_TO_FAIL")))</f>
        <v>PASS_TO_PASS</v>
      </c>
    </row>
    <row r="646" customFormat="false" ht="15" hidden="false" customHeight="false" outlineLevel="0" collapsed="false">
      <c r="A646" s="7" t="s">
        <v>82</v>
      </c>
      <c r="B646" s="7" t="s">
        <v>83</v>
      </c>
      <c r="C646" s="7" t="s">
        <v>49</v>
      </c>
      <c r="D646" s="7" t="s">
        <v>110</v>
      </c>
      <c r="E646" s="7" t="s">
        <v>51</v>
      </c>
      <c r="F646" s="7" t="s">
        <v>139</v>
      </c>
      <c r="G646" s="8" t="b">
        <f aca="false">TRUE()</f>
        <v>1</v>
      </c>
      <c r="H646" s="8" t="b">
        <f aca="false">TRUE()</f>
        <v>1</v>
      </c>
      <c r="I646" s="7" t="str">
        <f aca="false">IF(AND(G646,H646),"PASS_TO_PASS",IF(G646,"PASS_TO_FAIL",IF(H646,"FAIL_TO_PASS","FAIL_TO_FAIL")))</f>
        <v>PASS_TO_PASS</v>
      </c>
    </row>
    <row r="647" customFormat="false" ht="15" hidden="false" customHeight="false" outlineLevel="0" collapsed="false">
      <c r="A647" s="7" t="s">
        <v>82</v>
      </c>
      <c r="B647" s="7" t="s">
        <v>83</v>
      </c>
      <c r="C647" s="7" t="s">
        <v>49</v>
      </c>
      <c r="D647" s="7" t="s">
        <v>110</v>
      </c>
      <c r="E647" s="7" t="s">
        <v>51</v>
      </c>
      <c r="F647" s="7" t="s">
        <v>140</v>
      </c>
      <c r="G647" s="8" t="b">
        <f aca="false">TRUE()</f>
        <v>1</v>
      </c>
      <c r="H647" s="8" t="b">
        <f aca="false">TRUE()</f>
        <v>1</v>
      </c>
      <c r="I647" s="7" t="str">
        <f aca="false">IF(AND(G647,H647),"PASS_TO_PASS",IF(G647,"PASS_TO_FAIL",IF(H647,"FAIL_TO_PASS","FAIL_TO_FAIL")))</f>
        <v>PASS_TO_PASS</v>
      </c>
    </row>
    <row r="648" customFormat="false" ht="15" hidden="false" customHeight="false" outlineLevel="0" collapsed="false">
      <c r="A648" s="7" t="s">
        <v>82</v>
      </c>
      <c r="B648" s="7" t="s">
        <v>83</v>
      </c>
      <c r="C648" s="7" t="s">
        <v>49</v>
      </c>
      <c r="D648" s="7" t="s">
        <v>110</v>
      </c>
      <c r="E648" s="7" t="s">
        <v>51</v>
      </c>
      <c r="F648" s="7" t="s">
        <v>141</v>
      </c>
      <c r="G648" s="8" t="b">
        <f aca="false">TRUE()</f>
        <v>1</v>
      </c>
      <c r="H648" s="8" t="b">
        <f aca="false">TRUE()</f>
        <v>1</v>
      </c>
      <c r="I648" s="7" t="str">
        <f aca="false">IF(AND(G648,H648),"PASS_TO_PASS",IF(G648,"PASS_TO_FAIL",IF(H648,"FAIL_TO_PASS","FAIL_TO_FAIL")))</f>
        <v>PASS_TO_PASS</v>
      </c>
    </row>
    <row r="649" customFormat="false" ht="15" hidden="false" customHeight="false" outlineLevel="0" collapsed="false">
      <c r="A649" s="7" t="s">
        <v>82</v>
      </c>
      <c r="B649" s="7" t="s">
        <v>83</v>
      </c>
      <c r="C649" s="7" t="s">
        <v>49</v>
      </c>
      <c r="D649" s="7" t="s">
        <v>110</v>
      </c>
      <c r="E649" s="7" t="s">
        <v>51</v>
      </c>
      <c r="F649" s="7" t="s">
        <v>142</v>
      </c>
      <c r="G649" s="8" t="b">
        <f aca="false">TRUE()</f>
        <v>1</v>
      </c>
      <c r="H649" s="8" t="b">
        <f aca="false">TRUE()</f>
        <v>1</v>
      </c>
      <c r="I649" s="7" t="str">
        <f aca="false">IF(AND(G649,H649),"PASS_TO_PASS",IF(G649,"PASS_TO_FAIL",IF(H649,"FAIL_TO_PASS","FAIL_TO_FAIL")))</f>
        <v>PASS_TO_PASS</v>
      </c>
    </row>
    <row r="650" customFormat="false" ht="15" hidden="false" customHeight="false" outlineLevel="0" collapsed="false">
      <c r="A650" s="7" t="s">
        <v>82</v>
      </c>
      <c r="B650" s="7" t="s">
        <v>83</v>
      </c>
      <c r="C650" s="7" t="s">
        <v>49</v>
      </c>
      <c r="D650" s="7" t="s">
        <v>110</v>
      </c>
      <c r="E650" s="7" t="s">
        <v>51</v>
      </c>
      <c r="F650" s="7" t="s">
        <v>143</v>
      </c>
      <c r="G650" s="8" t="b">
        <f aca="false">TRUE()</f>
        <v>1</v>
      </c>
      <c r="H650" s="8" t="b">
        <f aca="false">TRUE()</f>
        <v>1</v>
      </c>
      <c r="I650" s="7" t="str">
        <f aca="false">IF(AND(G650,H650),"PASS_TO_PASS",IF(G650,"PASS_TO_FAIL",IF(H650,"FAIL_TO_PASS","FAIL_TO_FAIL")))</f>
        <v>PASS_TO_PASS</v>
      </c>
    </row>
    <row r="651" customFormat="false" ht="15" hidden="false" customHeight="false" outlineLevel="0" collapsed="false">
      <c r="A651" s="7" t="s">
        <v>82</v>
      </c>
      <c r="B651" s="7" t="s">
        <v>83</v>
      </c>
      <c r="C651" s="7" t="s">
        <v>49</v>
      </c>
      <c r="D651" s="7" t="s">
        <v>110</v>
      </c>
      <c r="E651" s="7" t="s">
        <v>51</v>
      </c>
      <c r="F651" s="7" t="s">
        <v>144</v>
      </c>
      <c r="G651" s="8" t="b">
        <f aca="false">TRUE()</f>
        <v>1</v>
      </c>
      <c r="H651" s="8" t="b">
        <f aca="false">TRUE()</f>
        <v>1</v>
      </c>
      <c r="I651" s="7" t="str">
        <f aca="false">IF(AND(G651,H651),"PASS_TO_PASS",IF(G651,"PASS_TO_FAIL",IF(H651,"FAIL_TO_PASS","FAIL_TO_FAIL")))</f>
        <v>PASS_TO_PASS</v>
      </c>
    </row>
    <row r="652" customFormat="false" ht="15" hidden="false" customHeight="false" outlineLevel="0" collapsed="false">
      <c r="A652" s="7" t="s">
        <v>82</v>
      </c>
      <c r="B652" s="7" t="s">
        <v>83</v>
      </c>
      <c r="C652" s="7" t="s">
        <v>49</v>
      </c>
      <c r="D652" s="7" t="s">
        <v>110</v>
      </c>
      <c r="E652" s="7" t="s">
        <v>51</v>
      </c>
      <c r="F652" s="7" t="s">
        <v>145</v>
      </c>
      <c r="G652" s="8" t="b">
        <f aca="false">FALSE()</f>
        <v>0</v>
      </c>
      <c r="H652" s="8" t="b">
        <f aca="false">TRUE()</f>
        <v>1</v>
      </c>
      <c r="I652" s="7" t="str">
        <f aca="false">IF(AND(G652,H652),"PASS_TO_PASS",IF(G652,"PASS_TO_FAIL",IF(H652,"FAIL_TO_PASS","FAIL_TO_FAIL")))</f>
        <v>FAIL_TO_PASS</v>
      </c>
    </row>
    <row r="653" customFormat="false" ht="15" hidden="false" customHeight="false" outlineLevel="0" collapsed="false">
      <c r="A653" s="7" t="s">
        <v>48</v>
      </c>
      <c r="B653" s="7" t="s">
        <v>10</v>
      </c>
      <c r="C653" s="7" t="s">
        <v>49</v>
      </c>
      <c r="D653" s="7" t="s">
        <v>111</v>
      </c>
      <c r="E653" s="7" t="s">
        <v>91</v>
      </c>
      <c r="F653" s="7" t="s">
        <v>134</v>
      </c>
      <c r="G653" s="8" t="b">
        <f aca="false">TRUE()</f>
        <v>1</v>
      </c>
      <c r="H653" s="8" t="b">
        <f aca="false">TRUE()</f>
        <v>1</v>
      </c>
      <c r="I653" s="7" t="str">
        <f aca="false">IF(AND(G653,H653),"PASS_TO_PASS",IF(G653,"PASS_TO_FAIL",IF(H653,"FAIL_TO_PASS","FAIL_TO_FAIL")))</f>
        <v>PASS_TO_PASS</v>
      </c>
    </row>
    <row r="654" customFormat="false" ht="15" hidden="false" customHeight="false" outlineLevel="0" collapsed="false">
      <c r="A654" s="7" t="s">
        <v>48</v>
      </c>
      <c r="B654" s="7" t="s">
        <v>10</v>
      </c>
      <c r="C654" s="7" t="s">
        <v>49</v>
      </c>
      <c r="D654" s="7" t="s">
        <v>111</v>
      </c>
      <c r="E654" s="7" t="s">
        <v>91</v>
      </c>
      <c r="F654" s="7" t="s">
        <v>135</v>
      </c>
      <c r="G654" s="8" t="b">
        <f aca="false">TRUE()</f>
        <v>1</v>
      </c>
      <c r="H654" s="8" t="b">
        <f aca="false">TRUE()</f>
        <v>1</v>
      </c>
      <c r="I654" s="7" t="str">
        <f aca="false">IF(AND(G654,H654),"PASS_TO_PASS",IF(G654,"PASS_TO_FAIL",IF(H654,"FAIL_TO_PASS","FAIL_TO_FAIL")))</f>
        <v>PASS_TO_PASS</v>
      </c>
    </row>
    <row r="655" customFormat="false" ht="15" hidden="false" customHeight="false" outlineLevel="0" collapsed="false">
      <c r="A655" s="7" t="s">
        <v>48</v>
      </c>
      <c r="B655" s="7" t="s">
        <v>10</v>
      </c>
      <c r="C655" s="7" t="s">
        <v>49</v>
      </c>
      <c r="D655" s="7" t="s">
        <v>111</v>
      </c>
      <c r="E655" s="7" t="s">
        <v>91</v>
      </c>
      <c r="F655" s="7" t="s">
        <v>136</v>
      </c>
      <c r="G655" s="8" t="b">
        <f aca="false">TRUE()</f>
        <v>1</v>
      </c>
      <c r="H655" s="8" t="b">
        <f aca="false">TRUE()</f>
        <v>1</v>
      </c>
      <c r="I655" s="7" t="str">
        <f aca="false">IF(AND(G655,H655),"PASS_TO_PASS",IF(G655,"PASS_TO_FAIL",IF(H655,"FAIL_TO_PASS","FAIL_TO_FAIL")))</f>
        <v>PASS_TO_PASS</v>
      </c>
    </row>
    <row r="656" customFormat="false" ht="15" hidden="false" customHeight="false" outlineLevel="0" collapsed="false">
      <c r="A656" s="7" t="s">
        <v>48</v>
      </c>
      <c r="B656" s="7" t="s">
        <v>10</v>
      </c>
      <c r="C656" s="7" t="s">
        <v>49</v>
      </c>
      <c r="D656" s="7" t="s">
        <v>111</v>
      </c>
      <c r="E656" s="7" t="s">
        <v>91</v>
      </c>
      <c r="F656" s="7" t="s">
        <v>137</v>
      </c>
      <c r="G656" s="8" t="b">
        <f aca="false">TRUE()</f>
        <v>1</v>
      </c>
      <c r="H656" s="8" t="b">
        <f aca="false">TRUE()</f>
        <v>1</v>
      </c>
      <c r="I656" s="7" t="str">
        <f aca="false">IF(AND(G656,H656),"PASS_TO_PASS",IF(G656,"PASS_TO_FAIL",IF(H656,"FAIL_TO_PASS","FAIL_TO_FAIL")))</f>
        <v>PASS_TO_PASS</v>
      </c>
    </row>
    <row r="657" customFormat="false" ht="15" hidden="false" customHeight="false" outlineLevel="0" collapsed="false">
      <c r="A657" s="7" t="s">
        <v>48</v>
      </c>
      <c r="B657" s="7" t="s">
        <v>10</v>
      </c>
      <c r="C657" s="7" t="s">
        <v>49</v>
      </c>
      <c r="D657" s="7" t="s">
        <v>111</v>
      </c>
      <c r="E657" s="7" t="s">
        <v>91</v>
      </c>
      <c r="F657" s="7" t="s">
        <v>138</v>
      </c>
      <c r="G657" s="8" t="b">
        <f aca="false">TRUE()</f>
        <v>1</v>
      </c>
      <c r="H657" s="8" t="b">
        <f aca="false">TRUE()</f>
        <v>1</v>
      </c>
      <c r="I657" s="7" t="str">
        <f aca="false">IF(AND(G657,H657),"PASS_TO_PASS",IF(G657,"PASS_TO_FAIL",IF(H657,"FAIL_TO_PASS","FAIL_TO_FAIL")))</f>
        <v>PASS_TO_PASS</v>
      </c>
    </row>
    <row r="658" customFormat="false" ht="15" hidden="false" customHeight="false" outlineLevel="0" collapsed="false">
      <c r="A658" s="7" t="s">
        <v>48</v>
      </c>
      <c r="B658" s="7" t="s">
        <v>10</v>
      </c>
      <c r="C658" s="7" t="s">
        <v>49</v>
      </c>
      <c r="D658" s="7" t="s">
        <v>111</v>
      </c>
      <c r="E658" s="7" t="s">
        <v>91</v>
      </c>
      <c r="F658" s="7" t="s">
        <v>139</v>
      </c>
      <c r="G658" s="8" t="b">
        <f aca="false">FALSE()</f>
        <v>0</v>
      </c>
      <c r="H658" s="8" t="b">
        <f aca="false">TRUE()</f>
        <v>1</v>
      </c>
      <c r="I658" s="7" t="str">
        <f aca="false">IF(AND(G658,H658),"PASS_TO_PASS",IF(G658,"PASS_TO_FAIL",IF(H658,"FAIL_TO_PASS","FAIL_TO_FAIL")))</f>
        <v>FAIL_TO_PASS</v>
      </c>
    </row>
    <row r="659" customFormat="false" ht="15" hidden="false" customHeight="false" outlineLevel="0" collapsed="false">
      <c r="A659" s="7" t="s">
        <v>48</v>
      </c>
      <c r="B659" s="7" t="s">
        <v>10</v>
      </c>
      <c r="C659" s="7" t="s">
        <v>49</v>
      </c>
      <c r="D659" s="7" t="s">
        <v>111</v>
      </c>
      <c r="E659" s="7" t="s">
        <v>91</v>
      </c>
      <c r="F659" s="7" t="s">
        <v>140</v>
      </c>
      <c r="G659" s="8" t="b">
        <f aca="false">FALSE()</f>
        <v>0</v>
      </c>
      <c r="H659" s="8" t="b">
        <f aca="false">FALSE()</f>
        <v>0</v>
      </c>
      <c r="I659" s="7" t="str">
        <f aca="false">IF(AND(G659,H659),"PASS_TO_PASS",IF(G659,"PASS_TO_FAIL",IF(H659,"FAIL_TO_PASS","FAIL_TO_FAIL")))</f>
        <v>FAIL_TO_FAIL</v>
      </c>
    </row>
    <row r="660" customFormat="false" ht="15" hidden="false" customHeight="false" outlineLevel="0" collapsed="false">
      <c r="A660" s="7" t="s">
        <v>48</v>
      </c>
      <c r="B660" s="7" t="s">
        <v>10</v>
      </c>
      <c r="C660" s="7" t="s">
        <v>49</v>
      </c>
      <c r="D660" s="7" t="s">
        <v>111</v>
      </c>
      <c r="E660" s="7" t="s">
        <v>91</v>
      </c>
      <c r="F660" s="7" t="s">
        <v>141</v>
      </c>
      <c r="G660" s="8" t="b">
        <f aca="false">TRUE()</f>
        <v>1</v>
      </c>
      <c r="H660" s="8" t="b">
        <f aca="false">TRUE()</f>
        <v>1</v>
      </c>
      <c r="I660" s="7" t="str">
        <f aca="false">IF(AND(G660,H660),"PASS_TO_PASS",IF(G660,"PASS_TO_FAIL",IF(H660,"FAIL_TO_PASS","FAIL_TO_FAIL")))</f>
        <v>PASS_TO_PASS</v>
      </c>
    </row>
    <row r="661" customFormat="false" ht="15" hidden="false" customHeight="false" outlineLevel="0" collapsed="false">
      <c r="A661" s="7" t="s">
        <v>48</v>
      </c>
      <c r="B661" s="7" t="s">
        <v>10</v>
      </c>
      <c r="C661" s="7" t="s">
        <v>49</v>
      </c>
      <c r="D661" s="7" t="s">
        <v>111</v>
      </c>
      <c r="E661" s="7" t="s">
        <v>91</v>
      </c>
      <c r="F661" s="7" t="s">
        <v>142</v>
      </c>
      <c r="G661" s="8" t="b">
        <f aca="false">FALSE()</f>
        <v>0</v>
      </c>
      <c r="H661" s="8" t="b">
        <f aca="false">FALSE()</f>
        <v>0</v>
      </c>
      <c r="I661" s="7" t="str">
        <f aca="false">IF(AND(G661,H661),"PASS_TO_PASS",IF(G661,"PASS_TO_FAIL",IF(H661,"FAIL_TO_PASS","FAIL_TO_FAIL")))</f>
        <v>FAIL_TO_FAIL</v>
      </c>
    </row>
    <row r="662" customFormat="false" ht="15" hidden="false" customHeight="false" outlineLevel="0" collapsed="false">
      <c r="A662" s="7" t="s">
        <v>48</v>
      </c>
      <c r="B662" s="7" t="s">
        <v>10</v>
      </c>
      <c r="C662" s="7" t="s">
        <v>49</v>
      </c>
      <c r="D662" s="7" t="s">
        <v>111</v>
      </c>
      <c r="E662" s="7" t="s">
        <v>91</v>
      </c>
      <c r="F662" s="7" t="s">
        <v>143</v>
      </c>
      <c r="G662" s="8" t="b">
        <f aca="false">FALSE()</f>
        <v>0</v>
      </c>
      <c r="H662" s="8" t="b">
        <f aca="false">FALSE()</f>
        <v>0</v>
      </c>
      <c r="I662" s="7" t="str">
        <f aca="false">IF(AND(G662,H662),"PASS_TO_PASS",IF(G662,"PASS_TO_FAIL",IF(H662,"FAIL_TO_PASS","FAIL_TO_FAIL")))</f>
        <v>FAIL_TO_FAIL</v>
      </c>
    </row>
    <row r="663" customFormat="false" ht="15" hidden="false" customHeight="false" outlineLevel="0" collapsed="false">
      <c r="A663" s="7" t="s">
        <v>48</v>
      </c>
      <c r="B663" s="7" t="s">
        <v>10</v>
      </c>
      <c r="C663" s="7" t="s">
        <v>49</v>
      </c>
      <c r="D663" s="7" t="s">
        <v>111</v>
      </c>
      <c r="E663" s="7" t="s">
        <v>91</v>
      </c>
      <c r="F663" s="7" t="s">
        <v>144</v>
      </c>
      <c r="G663" s="8" t="b">
        <f aca="false">FALSE()</f>
        <v>0</v>
      </c>
      <c r="H663" s="8" t="b">
        <f aca="false">TRUE()</f>
        <v>1</v>
      </c>
      <c r="I663" s="7" t="str">
        <f aca="false">IF(AND(G663,H663),"PASS_TO_PASS",IF(G663,"PASS_TO_FAIL",IF(H663,"FAIL_TO_PASS","FAIL_TO_FAIL")))</f>
        <v>FAIL_TO_PASS</v>
      </c>
    </row>
    <row r="664" customFormat="false" ht="15" hidden="false" customHeight="false" outlineLevel="0" collapsed="false">
      <c r="A664" s="7" t="s">
        <v>48</v>
      </c>
      <c r="B664" s="7" t="s">
        <v>10</v>
      </c>
      <c r="C664" s="7" t="s">
        <v>49</v>
      </c>
      <c r="D664" s="7" t="s">
        <v>111</v>
      </c>
      <c r="E664" s="7" t="s">
        <v>91</v>
      </c>
      <c r="F664" s="7" t="s">
        <v>145</v>
      </c>
      <c r="G664" s="8" t="b">
        <f aca="false">TRUE()</f>
        <v>1</v>
      </c>
      <c r="H664" s="8" t="b">
        <f aca="false">TRUE()</f>
        <v>1</v>
      </c>
      <c r="I664" s="7" t="str">
        <f aca="false">IF(AND(G664,H664),"PASS_TO_PASS",IF(G664,"PASS_TO_FAIL",IF(H664,"FAIL_TO_PASS","FAIL_TO_FAIL")))</f>
        <v>PASS_TO_PASS</v>
      </c>
    </row>
    <row r="665" customFormat="false" ht="15" hidden="false" customHeight="false" outlineLevel="0" collapsed="false">
      <c r="A665" s="7" t="s">
        <v>82</v>
      </c>
      <c r="B665" s="7" t="s">
        <v>83</v>
      </c>
      <c r="C665" s="7" t="s">
        <v>49</v>
      </c>
      <c r="D665" s="7" t="s">
        <v>111</v>
      </c>
      <c r="E665" s="7" t="s">
        <v>91</v>
      </c>
      <c r="F665" s="7" t="s">
        <v>134</v>
      </c>
      <c r="G665" s="8" t="b">
        <f aca="false">TRUE()</f>
        <v>1</v>
      </c>
      <c r="H665" s="8" t="b">
        <f aca="false">TRUE()</f>
        <v>1</v>
      </c>
      <c r="I665" s="7" t="str">
        <f aca="false">IF(AND(G665,H665),"PASS_TO_PASS",IF(G665,"PASS_TO_FAIL",IF(H665,"FAIL_TO_PASS","FAIL_TO_FAIL")))</f>
        <v>PASS_TO_PASS</v>
      </c>
    </row>
    <row r="666" customFormat="false" ht="15" hidden="false" customHeight="false" outlineLevel="0" collapsed="false">
      <c r="A666" s="7" t="s">
        <v>82</v>
      </c>
      <c r="B666" s="7" t="s">
        <v>83</v>
      </c>
      <c r="C666" s="7" t="s">
        <v>49</v>
      </c>
      <c r="D666" s="7" t="s">
        <v>111</v>
      </c>
      <c r="E666" s="7" t="s">
        <v>91</v>
      </c>
      <c r="F666" s="7" t="s">
        <v>135</v>
      </c>
      <c r="G666" s="8" t="b">
        <f aca="false">TRUE()</f>
        <v>1</v>
      </c>
      <c r="H666" s="8" t="b">
        <f aca="false">TRUE()</f>
        <v>1</v>
      </c>
      <c r="I666" s="7" t="str">
        <f aca="false">IF(AND(G666,H666),"PASS_TO_PASS",IF(G666,"PASS_TO_FAIL",IF(H666,"FAIL_TO_PASS","FAIL_TO_FAIL")))</f>
        <v>PASS_TO_PASS</v>
      </c>
    </row>
    <row r="667" customFormat="false" ht="15" hidden="false" customHeight="false" outlineLevel="0" collapsed="false">
      <c r="A667" s="7" t="s">
        <v>82</v>
      </c>
      <c r="B667" s="7" t="s">
        <v>83</v>
      </c>
      <c r="C667" s="7" t="s">
        <v>49</v>
      </c>
      <c r="D667" s="7" t="s">
        <v>111</v>
      </c>
      <c r="E667" s="7" t="s">
        <v>91</v>
      </c>
      <c r="F667" s="7" t="s">
        <v>136</v>
      </c>
      <c r="G667" s="8" t="b">
        <f aca="false">TRUE()</f>
        <v>1</v>
      </c>
      <c r="H667" s="8" t="b">
        <f aca="false">TRUE()</f>
        <v>1</v>
      </c>
      <c r="I667" s="7" t="str">
        <f aca="false">IF(AND(G667,H667),"PASS_TO_PASS",IF(G667,"PASS_TO_FAIL",IF(H667,"FAIL_TO_PASS","FAIL_TO_FAIL")))</f>
        <v>PASS_TO_PASS</v>
      </c>
    </row>
    <row r="668" customFormat="false" ht="15" hidden="false" customHeight="false" outlineLevel="0" collapsed="false">
      <c r="A668" s="7" t="s">
        <v>82</v>
      </c>
      <c r="B668" s="7" t="s">
        <v>83</v>
      </c>
      <c r="C668" s="7" t="s">
        <v>49</v>
      </c>
      <c r="D668" s="7" t="s">
        <v>111</v>
      </c>
      <c r="E668" s="7" t="s">
        <v>91</v>
      </c>
      <c r="F668" s="7" t="s">
        <v>137</v>
      </c>
      <c r="G668" s="8" t="b">
        <f aca="false">TRUE()</f>
        <v>1</v>
      </c>
      <c r="H668" s="8" t="b">
        <f aca="false">TRUE()</f>
        <v>1</v>
      </c>
      <c r="I668" s="7" t="str">
        <f aca="false">IF(AND(G668,H668),"PASS_TO_PASS",IF(G668,"PASS_TO_FAIL",IF(H668,"FAIL_TO_PASS","FAIL_TO_FAIL")))</f>
        <v>PASS_TO_PASS</v>
      </c>
    </row>
    <row r="669" customFormat="false" ht="15" hidden="false" customHeight="false" outlineLevel="0" collapsed="false">
      <c r="A669" s="7" t="s">
        <v>82</v>
      </c>
      <c r="B669" s="7" t="s">
        <v>83</v>
      </c>
      <c r="C669" s="7" t="s">
        <v>49</v>
      </c>
      <c r="D669" s="7" t="s">
        <v>111</v>
      </c>
      <c r="E669" s="7" t="s">
        <v>91</v>
      </c>
      <c r="F669" s="7" t="s">
        <v>138</v>
      </c>
      <c r="G669" s="8" t="b">
        <f aca="false">TRUE()</f>
        <v>1</v>
      </c>
      <c r="H669" s="8" t="b">
        <f aca="false">TRUE()</f>
        <v>1</v>
      </c>
      <c r="I669" s="7" t="str">
        <f aca="false">IF(AND(G669,H669),"PASS_TO_PASS",IF(G669,"PASS_TO_FAIL",IF(H669,"FAIL_TO_PASS","FAIL_TO_FAIL")))</f>
        <v>PASS_TO_PASS</v>
      </c>
    </row>
    <row r="670" customFormat="false" ht="15" hidden="false" customHeight="false" outlineLevel="0" collapsed="false">
      <c r="A670" s="7" t="s">
        <v>82</v>
      </c>
      <c r="B670" s="7" t="s">
        <v>83</v>
      </c>
      <c r="C670" s="7" t="s">
        <v>49</v>
      </c>
      <c r="D670" s="7" t="s">
        <v>111</v>
      </c>
      <c r="E670" s="7" t="s">
        <v>91</v>
      </c>
      <c r="F670" s="7" t="s">
        <v>139</v>
      </c>
      <c r="G670" s="8" t="b">
        <f aca="false">FALSE()</f>
        <v>0</v>
      </c>
      <c r="H670" s="8" t="b">
        <f aca="false">TRUE()</f>
        <v>1</v>
      </c>
      <c r="I670" s="7" t="str">
        <f aca="false">IF(AND(G670,H670),"PASS_TO_PASS",IF(G670,"PASS_TO_FAIL",IF(H670,"FAIL_TO_PASS","FAIL_TO_FAIL")))</f>
        <v>FAIL_TO_PASS</v>
      </c>
    </row>
    <row r="671" customFormat="false" ht="15" hidden="false" customHeight="false" outlineLevel="0" collapsed="false">
      <c r="A671" s="7" t="s">
        <v>82</v>
      </c>
      <c r="B671" s="7" t="s">
        <v>83</v>
      </c>
      <c r="C671" s="7" t="s">
        <v>49</v>
      </c>
      <c r="D671" s="7" t="s">
        <v>111</v>
      </c>
      <c r="E671" s="7" t="s">
        <v>91</v>
      </c>
      <c r="F671" s="7" t="s">
        <v>140</v>
      </c>
      <c r="G671" s="8" t="b">
        <f aca="false">FALSE()</f>
        <v>0</v>
      </c>
      <c r="H671" s="8" t="b">
        <f aca="false">FALSE()</f>
        <v>0</v>
      </c>
      <c r="I671" s="7" t="str">
        <f aca="false">IF(AND(G671,H671),"PASS_TO_PASS",IF(G671,"PASS_TO_FAIL",IF(H671,"FAIL_TO_PASS","FAIL_TO_FAIL")))</f>
        <v>FAIL_TO_FAIL</v>
      </c>
    </row>
    <row r="672" customFormat="false" ht="15" hidden="false" customHeight="false" outlineLevel="0" collapsed="false">
      <c r="A672" s="7" t="s">
        <v>82</v>
      </c>
      <c r="B672" s="7" t="s">
        <v>83</v>
      </c>
      <c r="C672" s="7" t="s">
        <v>49</v>
      </c>
      <c r="D672" s="7" t="s">
        <v>111</v>
      </c>
      <c r="E672" s="7" t="s">
        <v>91</v>
      </c>
      <c r="F672" s="7" t="s">
        <v>141</v>
      </c>
      <c r="G672" s="8" t="b">
        <f aca="false">TRUE()</f>
        <v>1</v>
      </c>
      <c r="H672" s="8" t="b">
        <f aca="false">TRUE()</f>
        <v>1</v>
      </c>
      <c r="I672" s="7" t="str">
        <f aca="false">IF(AND(G672,H672),"PASS_TO_PASS",IF(G672,"PASS_TO_FAIL",IF(H672,"FAIL_TO_PASS","FAIL_TO_FAIL")))</f>
        <v>PASS_TO_PASS</v>
      </c>
    </row>
    <row r="673" customFormat="false" ht="15" hidden="false" customHeight="false" outlineLevel="0" collapsed="false">
      <c r="A673" s="7" t="s">
        <v>82</v>
      </c>
      <c r="B673" s="7" t="s">
        <v>83</v>
      </c>
      <c r="C673" s="7" t="s">
        <v>49</v>
      </c>
      <c r="D673" s="7" t="s">
        <v>111</v>
      </c>
      <c r="E673" s="7" t="s">
        <v>91</v>
      </c>
      <c r="F673" s="7" t="s">
        <v>142</v>
      </c>
      <c r="G673" s="8" t="b">
        <f aca="false">FALSE()</f>
        <v>0</v>
      </c>
      <c r="H673" s="8" t="b">
        <f aca="false">FALSE()</f>
        <v>0</v>
      </c>
      <c r="I673" s="7" t="str">
        <f aca="false">IF(AND(G673,H673),"PASS_TO_PASS",IF(G673,"PASS_TO_FAIL",IF(H673,"FAIL_TO_PASS","FAIL_TO_FAIL")))</f>
        <v>FAIL_TO_FAIL</v>
      </c>
    </row>
    <row r="674" customFormat="false" ht="15" hidden="false" customHeight="false" outlineLevel="0" collapsed="false">
      <c r="A674" s="7" t="s">
        <v>82</v>
      </c>
      <c r="B674" s="7" t="s">
        <v>83</v>
      </c>
      <c r="C674" s="7" t="s">
        <v>49</v>
      </c>
      <c r="D674" s="7" t="s">
        <v>111</v>
      </c>
      <c r="E674" s="7" t="s">
        <v>91</v>
      </c>
      <c r="F674" s="7" t="s">
        <v>143</v>
      </c>
      <c r="G674" s="8" t="b">
        <f aca="false">FALSE()</f>
        <v>0</v>
      </c>
      <c r="H674" s="8" t="b">
        <f aca="false">FALSE()</f>
        <v>0</v>
      </c>
      <c r="I674" s="7" t="str">
        <f aca="false">IF(AND(G674,H674),"PASS_TO_PASS",IF(G674,"PASS_TO_FAIL",IF(H674,"FAIL_TO_PASS","FAIL_TO_FAIL")))</f>
        <v>FAIL_TO_FAIL</v>
      </c>
    </row>
    <row r="675" customFormat="false" ht="15" hidden="false" customHeight="false" outlineLevel="0" collapsed="false">
      <c r="A675" s="7" t="s">
        <v>82</v>
      </c>
      <c r="B675" s="7" t="s">
        <v>83</v>
      </c>
      <c r="C675" s="7" t="s">
        <v>49</v>
      </c>
      <c r="D675" s="7" t="s">
        <v>111</v>
      </c>
      <c r="E675" s="7" t="s">
        <v>91</v>
      </c>
      <c r="F675" s="7" t="s">
        <v>144</v>
      </c>
      <c r="G675" s="8" t="b">
        <f aca="false">TRUE()</f>
        <v>1</v>
      </c>
      <c r="H675" s="8" t="b">
        <f aca="false">TRUE()</f>
        <v>1</v>
      </c>
      <c r="I675" s="7" t="str">
        <f aca="false">IF(AND(G675,H675),"PASS_TO_PASS",IF(G675,"PASS_TO_FAIL",IF(H675,"FAIL_TO_PASS","FAIL_TO_FAIL")))</f>
        <v>PASS_TO_PASS</v>
      </c>
    </row>
    <row r="676" customFormat="false" ht="15" hidden="false" customHeight="false" outlineLevel="0" collapsed="false">
      <c r="A676" s="7" t="s">
        <v>82</v>
      </c>
      <c r="B676" s="7" t="s">
        <v>83</v>
      </c>
      <c r="C676" s="7" t="s">
        <v>49</v>
      </c>
      <c r="D676" s="7" t="s">
        <v>111</v>
      </c>
      <c r="E676" s="7" t="s">
        <v>91</v>
      </c>
      <c r="F676" s="7" t="s">
        <v>145</v>
      </c>
      <c r="G676" s="8" t="b">
        <f aca="false">TRUE()</f>
        <v>1</v>
      </c>
      <c r="H676" s="8" t="b">
        <f aca="false">TRUE()</f>
        <v>1</v>
      </c>
      <c r="I676" s="7" t="str">
        <f aca="false">IF(AND(G676,H676),"PASS_TO_PASS",IF(G676,"PASS_TO_FAIL",IF(H676,"FAIL_TO_PASS","FAIL_TO_FAIL")))</f>
        <v>PASS_TO_PASS</v>
      </c>
    </row>
    <row r="677" customFormat="false" ht="15" hidden="false" customHeight="false" outlineLevel="0" collapsed="false">
      <c r="A677" s="7" t="s">
        <v>48</v>
      </c>
      <c r="B677" s="7" t="s">
        <v>10</v>
      </c>
      <c r="C677" s="7" t="s">
        <v>49</v>
      </c>
      <c r="D677" s="7" t="s">
        <v>112</v>
      </c>
      <c r="E677" s="7" t="s">
        <v>91</v>
      </c>
      <c r="F677" s="7" t="s">
        <v>134</v>
      </c>
      <c r="G677" s="8" t="b">
        <f aca="false">TRUE()</f>
        <v>1</v>
      </c>
      <c r="H677" s="8" t="b">
        <f aca="false">TRUE()</f>
        <v>1</v>
      </c>
      <c r="I677" s="7" t="str">
        <f aca="false">IF(AND(G677,H677),"PASS_TO_PASS",IF(G677,"PASS_TO_FAIL",IF(H677,"FAIL_TO_PASS","FAIL_TO_FAIL")))</f>
        <v>PASS_TO_PASS</v>
      </c>
    </row>
    <row r="678" customFormat="false" ht="15" hidden="false" customHeight="false" outlineLevel="0" collapsed="false">
      <c r="A678" s="7" t="s">
        <v>48</v>
      </c>
      <c r="B678" s="7" t="s">
        <v>10</v>
      </c>
      <c r="C678" s="7" t="s">
        <v>49</v>
      </c>
      <c r="D678" s="7" t="s">
        <v>112</v>
      </c>
      <c r="E678" s="7" t="s">
        <v>91</v>
      </c>
      <c r="F678" s="7" t="s">
        <v>135</v>
      </c>
      <c r="G678" s="8" t="b">
        <f aca="false">TRUE()</f>
        <v>1</v>
      </c>
      <c r="H678" s="8" t="b">
        <f aca="false">TRUE()</f>
        <v>1</v>
      </c>
      <c r="I678" s="7" t="str">
        <f aca="false">IF(AND(G678,H678),"PASS_TO_PASS",IF(G678,"PASS_TO_FAIL",IF(H678,"FAIL_TO_PASS","FAIL_TO_FAIL")))</f>
        <v>PASS_TO_PASS</v>
      </c>
    </row>
    <row r="679" customFormat="false" ht="15" hidden="false" customHeight="false" outlineLevel="0" collapsed="false">
      <c r="A679" s="7" t="s">
        <v>48</v>
      </c>
      <c r="B679" s="7" t="s">
        <v>10</v>
      </c>
      <c r="C679" s="7" t="s">
        <v>49</v>
      </c>
      <c r="D679" s="7" t="s">
        <v>112</v>
      </c>
      <c r="E679" s="7" t="s">
        <v>91</v>
      </c>
      <c r="F679" s="7" t="s">
        <v>136</v>
      </c>
      <c r="G679" s="8" t="b">
        <f aca="false">TRUE()</f>
        <v>1</v>
      </c>
      <c r="H679" s="8" t="b">
        <f aca="false">TRUE()</f>
        <v>1</v>
      </c>
      <c r="I679" s="7" t="str">
        <f aca="false">IF(AND(G679,H679),"PASS_TO_PASS",IF(G679,"PASS_TO_FAIL",IF(H679,"FAIL_TO_PASS","FAIL_TO_FAIL")))</f>
        <v>PASS_TO_PASS</v>
      </c>
    </row>
    <row r="680" customFormat="false" ht="15" hidden="false" customHeight="false" outlineLevel="0" collapsed="false">
      <c r="A680" s="7" t="s">
        <v>48</v>
      </c>
      <c r="B680" s="7" t="s">
        <v>10</v>
      </c>
      <c r="C680" s="7" t="s">
        <v>49</v>
      </c>
      <c r="D680" s="7" t="s">
        <v>112</v>
      </c>
      <c r="E680" s="7" t="s">
        <v>91</v>
      </c>
      <c r="F680" s="7" t="s">
        <v>137</v>
      </c>
      <c r="G680" s="8" t="b">
        <f aca="false">TRUE()</f>
        <v>1</v>
      </c>
      <c r="H680" s="8" t="b">
        <f aca="false">TRUE()</f>
        <v>1</v>
      </c>
      <c r="I680" s="7" t="str">
        <f aca="false">IF(AND(G680,H680),"PASS_TO_PASS",IF(G680,"PASS_TO_FAIL",IF(H680,"FAIL_TO_PASS","FAIL_TO_FAIL")))</f>
        <v>PASS_TO_PASS</v>
      </c>
    </row>
    <row r="681" customFormat="false" ht="15" hidden="false" customHeight="false" outlineLevel="0" collapsed="false">
      <c r="A681" s="7" t="s">
        <v>48</v>
      </c>
      <c r="B681" s="7" t="s">
        <v>10</v>
      </c>
      <c r="C681" s="7" t="s">
        <v>49</v>
      </c>
      <c r="D681" s="7" t="s">
        <v>112</v>
      </c>
      <c r="E681" s="7" t="s">
        <v>91</v>
      </c>
      <c r="F681" s="7" t="s">
        <v>138</v>
      </c>
      <c r="G681" s="8" t="b">
        <f aca="false">TRUE()</f>
        <v>1</v>
      </c>
      <c r="H681" s="8" t="b">
        <f aca="false">TRUE()</f>
        <v>1</v>
      </c>
      <c r="I681" s="7" t="str">
        <f aca="false">IF(AND(G681,H681),"PASS_TO_PASS",IF(G681,"PASS_TO_FAIL",IF(H681,"FAIL_TO_PASS","FAIL_TO_FAIL")))</f>
        <v>PASS_TO_PASS</v>
      </c>
    </row>
    <row r="682" customFormat="false" ht="15" hidden="false" customHeight="false" outlineLevel="0" collapsed="false">
      <c r="A682" s="7" t="s">
        <v>48</v>
      </c>
      <c r="B682" s="7" t="s">
        <v>10</v>
      </c>
      <c r="C682" s="7" t="s">
        <v>49</v>
      </c>
      <c r="D682" s="7" t="s">
        <v>112</v>
      </c>
      <c r="E682" s="7" t="s">
        <v>91</v>
      </c>
      <c r="F682" s="7" t="s">
        <v>139</v>
      </c>
      <c r="G682" s="8" t="b">
        <f aca="false">TRUE()</f>
        <v>1</v>
      </c>
      <c r="H682" s="8" t="b">
        <f aca="false">TRUE()</f>
        <v>1</v>
      </c>
      <c r="I682" s="7" t="str">
        <f aca="false">IF(AND(G682,H682),"PASS_TO_PASS",IF(G682,"PASS_TO_FAIL",IF(H682,"FAIL_TO_PASS","FAIL_TO_FAIL")))</f>
        <v>PASS_TO_PASS</v>
      </c>
    </row>
    <row r="683" customFormat="false" ht="15" hidden="false" customHeight="false" outlineLevel="0" collapsed="false">
      <c r="A683" s="7" t="s">
        <v>48</v>
      </c>
      <c r="B683" s="7" t="s">
        <v>10</v>
      </c>
      <c r="C683" s="7" t="s">
        <v>49</v>
      </c>
      <c r="D683" s="7" t="s">
        <v>112</v>
      </c>
      <c r="E683" s="7" t="s">
        <v>91</v>
      </c>
      <c r="F683" s="7" t="s">
        <v>140</v>
      </c>
      <c r="G683" s="8" t="b">
        <f aca="false">TRUE()</f>
        <v>1</v>
      </c>
      <c r="H683" s="8" t="b">
        <f aca="false">TRUE()</f>
        <v>1</v>
      </c>
      <c r="I683" s="7" t="str">
        <f aca="false">IF(AND(G683,H683),"PASS_TO_PASS",IF(G683,"PASS_TO_FAIL",IF(H683,"FAIL_TO_PASS","FAIL_TO_FAIL")))</f>
        <v>PASS_TO_PASS</v>
      </c>
    </row>
    <row r="684" customFormat="false" ht="15" hidden="false" customHeight="false" outlineLevel="0" collapsed="false">
      <c r="A684" s="7" t="s">
        <v>48</v>
      </c>
      <c r="B684" s="7" t="s">
        <v>10</v>
      </c>
      <c r="C684" s="7" t="s">
        <v>49</v>
      </c>
      <c r="D684" s="7" t="s">
        <v>112</v>
      </c>
      <c r="E684" s="7" t="s">
        <v>91</v>
      </c>
      <c r="F684" s="7" t="s">
        <v>141</v>
      </c>
      <c r="G684" s="8" t="b">
        <f aca="false">TRUE()</f>
        <v>1</v>
      </c>
      <c r="H684" s="8" t="b">
        <f aca="false">TRUE()</f>
        <v>1</v>
      </c>
      <c r="I684" s="7" t="str">
        <f aca="false">IF(AND(G684,H684),"PASS_TO_PASS",IF(G684,"PASS_TO_FAIL",IF(H684,"FAIL_TO_PASS","FAIL_TO_FAIL")))</f>
        <v>PASS_TO_PASS</v>
      </c>
    </row>
    <row r="685" customFormat="false" ht="15" hidden="false" customHeight="false" outlineLevel="0" collapsed="false">
      <c r="A685" s="7" t="s">
        <v>48</v>
      </c>
      <c r="B685" s="7" t="s">
        <v>10</v>
      </c>
      <c r="C685" s="7" t="s">
        <v>49</v>
      </c>
      <c r="D685" s="7" t="s">
        <v>112</v>
      </c>
      <c r="E685" s="7" t="s">
        <v>91</v>
      </c>
      <c r="F685" s="7" t="s">
        <v>142</v>
      </c>
      <c r="G685" s="8" t="b">
        <f aca="false">TRUE()</f>
        <v>1</v>
      </c>
      <c r="H685" s="8" t="b">
        <f aca="false">TRUE()</f>
        <v>1</v>
      </c>
      <c r="I685" s="7" t="str">
        <f aca="false">IF(AND(G685,H685),"PASS_TO_PASS",IF(G685,"PASS_TO_FAIL",IF(H685,"FAIL_TO_PASS","FAIL_TO_FAIL")))</f>
        <v>PASS_TO_PASS</v>
      </c>
    </row>
    <row r="686" customFormat="false" ht="15" hidden="false" customHeight="false" outlineLevel="0" collapsed="false">
      <c r="A686" s="7" t="s">
        <v>48</v>
      </c>
      <c r="B686" s="7" t="s">
        <v>10</v>
      </c>
      <c r="C686" s="7" t="s">
        <v>49</v>
      </c>
      <c r="D686" s="7" t="s">
        <v>112</v>
      </c>
      <c r="E686" s="7" t="s">
        <v>91</v>
      </c>
      <c r="F686" s="7" t="s">
        <v>143</v>
      </c>
      <c r="G686" s="8" t="b">
        <f aca="false">TRUE()</f>
        <v>1</v>
      </c>
      <c r="H686" s="8" t="b">
        <f aca="false">TRUE()</f>
        <v>1</v>
      </c>
      <c r="I686" s="7" t="str">
        <f aca="false">IF(AND(G686,H686),"PASS_TO_PASS",IF(G686,"PASS_TO_FAIL",IF(H686,"FAIL_TO_PASS","FAIL_TO_FAIL")))</f>
        <v>PASS_TO_PASS</v>
      </c>
    </row>
    <row r="687" customFormat="false" ht="15" hidden="false" customHeight="false" outlineLevel="0" collapsed="false">
      <c r="A687" s="7" t="s">
        <v>48</v>
      </c>
      <c r="B687" s="7" t="s">
        <v>10</v>
      </c>
      <c r="C687" s="7" t="s">
        <v>49</v>
      </c>
      <c r="D687" s="7" t="s">
        <v>112</v>
      </c>
      <c r="E687" s="7" t="s">
        <v>91</v>
      </c>
      <c r="F687" s="7" t="s">
        <v>144</v>
      </c>
      <c r="G687" s="8" t="b">
        <f aca="false">TRUE()</f>
        <v>1</v>
      </c>
      <c r="H687" s="8" t="b">
        <f aca="false">TRUE()</f>
        <v>1</v>
      </c>
      <c r="I687" s="7" t="str">
        <f aca="false">IF(AND(G687,H687),"PASS_TO_PASS",IF(G687,"PASS_TO_FAIL",IF(H687,"FAIL_TO_PASS","FAIL_TO_FAIL")))</f>
        <v>PASS_TO_PASS</v>
      </c>
    </row>
    <row r="688" customFormat="false" ht="15" hidden="false" customHeight="false" outlineLevel="0" collapsed="false">
      <c r="A688" s="7" t="s">
        <v>48</v>
      </c>
      <c r="B688" s="7" t="s">
        <v>10</v>
      </c>
      <c r="C688" s="7" t="s">
        <v>49</v>
      </c>
      <c r="D688" s="7" t="s">
        <v>112</v>
      </c>
      <c r="E688" s="7" t="s">
        <v>91</v>
      </c>
      <c r="F688" s="7" t="s">
        <v>145</v>
      </c>
      <c r="G688" s="8" t="b">
        <f aca="false">TRUE()</f>
        <v>1</v>
      </c>
      <c r="H688" s="8" t="b">
        <f aca="false">TRUE()</f>
        <v>1</v>
      </c>
      <c r="I688" s="7" t="str">
        <f aca="false">IF(AND(G688,H688),"PASS_TO_PASS",IF(G688,"PASS_TO_FAIL",IF(H688,"FAIL_TO_PASS","FAIL_TO_FAIL")))</f>
        <v>PASS_TO_PASS</v>
      </c>
    </row>
    <row r="689" customFormat="false" ht="15" hidden="false" customHeight="false" outlineLevel="0" collapsed="false">
      <c r="A689" s="7" t="s">
        <v>82</v>
      </c>
      <c r="B689" s="7" t="s">
        <v>83</v>
      </c>
      <c r="C689" s="7" t="s">
        <v>49</v>
      </c>
      <c r="D689" s="7" t="s">
        <v>112</v>
      </c>
      <c r="E689" s="7" t="s">
        <v>91</v>
      </c>
      <c r="F689" s="7" t="s">
        <v>134</v>
      </c>
      <c r="G689" s="8" t="b">
        <f aca="false">TRUE()</f>
        <v>1</v>
      </c>
      <c r="H689" s="8" t="b">
        <f aca="false">TRUE()</f>
        <v>1</v>
      </c>
      <c r="I689" s="7" t="str">
        <f aca="false">IF(AND(G689,H689),"PASS_TO_PASS",IF(G689,"PASS_TO_FAIL",IF(H689,"FAIL_TO_PASS","FAIL_TO_FAIL")))</f>
        <v>PASS_TO_PASS</v>
      </c>
    </row>
    <row r="690" customFormat="false" ht="15" hidden="false" customHeight="false" outlineLevel="0" collapsed="false">
      <c r="A690" s="7" t="s">
        <v>82</v>
      </c>
      <c r="B690" s="7" t="s">
        <v>83</v>
      </c>
      <c r="C690" s="7" t="s">
        <v>49</v>
      </c>
      <c r="D690" s="7" t="s">
        <v>112</v>
      </c>
      <c r="E690" s="7" t="s">
        <v>91</v>
      </c>
      <c r="F690" s="7" t="s">
        <v>135</v>
      </c>
      <c r="G690" s="8" t="b">
        <f aca="false">TRUE()</f>
        <v>1</v>
      </c>
      <c r="H690" s="8" t="b">
        <f aca="false">TRUE()</f>
        <v>1</v>
      </c>
      <c r="I690" s="7" t="str">
        <f aca="false">IF(AND(G690,H690),"PASS_TO_PASS",IF(G690,"PASS_TO_FAIL",IF(H690,"FAIL_TO_PASS","FAIL_TO_FAIL")))</f>
        <v>PASS_TO_PASS</v>
      </c>
    </row>
    <row r="691" customFormat="false" ht="15" hidden="false" customHeight="false" outlineLevel="0" collapsed="false">
      <c r="A691" s="7" t="s">
        <v>82</v>
      </c>
      <c r="B691" s="7" t="s">
        <v>83</v>
      </c>
      <c r="C691" s="7" t="s">
        <v>49</v>
      </c>
      <c r="D691" s="7" t="s">
        <v>112</v>
      </c>
      <c r="E691" s="7" t="s">
        <v>91</v>
      </c>
      <c r="F691" s="7" t="s">
        <v>136</v>
      </c>
      <c r="G691" s="8" t="b">
        <f aca="false">TRUE()</f>
        <v>1</v>
      </c>
      <c r="H691" s="8" t="b">
        <f aca="false">TRUE()</f>
        <v>1</v>
      </c>
      <c r="I691" s="7" t="str">
        <f aca="false">IF(AND(G691,H691),"PASS_TO_PASS",IF(G691,"PASS_TO_FAIL",IF(H691,"FAIL_TO_PASS","FAIL_TO_FAIL")))</f>
        <v>PASS_TO_PASS</v>
      </c>
    </row>
    <row r="692" customFormat="false" ht="15" hidden="false" customHeight="false" outlineLevel="0" collapsed="false">
      <c r="A692" s="7" t="s">
        <v>82</v>
      </c>
      <c r="B692" s="7" t="s">
        <v>83</v>
      </c>
      <c r="C692" s="7" t="s">
        <v>49</v>
      </c>
      <c r="D692" s="7" t="s">
        <v>112</v>
      </c>
      <c r="E692" s="7" t="s">
        <v>91</v>
      </c>
      <c r="F692" s="7" t="s">
        <v>137</v>
      </c>
      <c r="G692" s="8" t="b">
        <f aca="false">TRUE()</f>
        <v>1</v>
      </c>
      <c r="H692" s="8" t="b">
        <f aca="false">TRUE()</f>
        <v>1</v>
      </c>
      <c r="I692" s="7" t="str">
        <f aca="false">IF(AND(G692,H692),"PASS_TO_PASS",IF(G692,"PASS_TO_FAIL",IF(H692,"FAIL_TO_PASS","FAIL_TO_FAIL")))</f>
        <v>PASS_TO_PASS</v>
      </c>
    </row>
    <row r="693" customFormat="false" ht="15" hidden="false" customHeight="false" outlineLevel="0" collapsed="false">
      <c r="A693" s="7" t="s">
        <v>82</v>
      </c>
      <c r="B693" s="7" t="s">
        <v>83</v>
      </c>
      <c r="C693" s="7" t="s">
        <v>49</v>
      </c>
      <c r="D693" s="7" t="s">
        <v>112</v>
      </c>
      <c r="E693" s="7" t="s">
        <v>91</v>
      </c>
      <c r="F693" s="7" t="s">
        <v>138</v>
      </c>
      <c r="G693" s="8" t="b">
        <f aca="false">TRUE()</f>
        <v>1</v>
      </c>
      <c r="H693" s="8" t="b">
        <f aca="false">TRUE()</f>
        <v>1</v>
      </c>
      <c r="I693" s="7" t="str">
        <f aca="false">IF(AND(G693,H693),"PASS_TO_PASS",IF(G693,"PASS_TO_FAIL",IF(H693,"FAIL_TO_PASS","FAIL_TO_FAIL")))</f>
        <v>PASS_TO_PASS</v>
      </c>
    </row>
    <row r="694" customFormat="false" ht="15" hidden="false" customHeight="false" outlineLevel="0" collapsed="false">
      <c r="A694" s="7" t="s">
        <v>82</v>
      </c>
      <c r="B694" s="7" t="s">
        <v>83</v>
      </c>
      <c r="C694" s="7" t="s">
        <v>49</v>
      </c>
      <c r="D694" s="7" t="s">
        <v>112</v>
      </c>
      <c r="E694" s="7" t="s">
        <v>91</v>
      </c>
      <c r="F694" s="7" t="s">
        <v>139</v>
      </c>
      <c r="G694" s="8" t="b">
        <f aca="false">TRUE()</f>
        <v>1</v>
      </c>
      <c r="H694" s="8" t="b">
        <f aca="false">TRUE()</f>
        <v>1</v>
      </c>
      <c r="I694" s="7" t="str">
        <f aca="false">IF(AND(G694,H694),"PASS_TO_PASS",IF(G694,"PASS_TO_FAIL",IF(H694,"FAIL_TO_PASS","FAIL_TO_FAIL")))</f>
        <v>PASS_TO_PASS</v>
      </c>
    </row>
    <row r="695" customFormat="false" ht="15" hidden="false" customHeight="false" outlineLevel="0" collapsed="false">
      <c r="A695" s="7" t="s">
        <v>82</v>
      </c>
      <c r="B695" s="7" t="s">
        <v>83</v>
      </c>
      <c r="C695" s="7" t="s">
        <v>49</v>
      </c>
      <c r="D695" s="7" t="s">
        <v>112</v>
      </c>
      <c r="E695" s="7" t="s">
        <v>91</v>
      </c>
      <c r="F695" s="7" t="s">
        <v>140</v>
      </c>
      <c r="G695" s="8" t="b">
        <f aca="false">TRUE()</f>
        <v>1</v>
      </c>
      <c r="H695" s="8" t="b">
        <f aca="false">TRUE()</f>
        <v>1</v>
      </c>
      <c r="I695" s="7" t="str">
        <f aca="false">IF(AND(G695,H695),"PASS_TO_PASS",IF(G695,"PASS_TO_FAIL",IF(H695,"FAIL_TO_PASS","FAIL_TO_FAIL")))</f>
        <v>PASS_TO_PASS</v>
      </c>
    </row>
    <row r="696" customFormat="false" ht="15" hidden="false" customHeight="false" outlineLevel="0" collapsed="false">
      <c r="A696" s="7" t="s">
        <v>82</v>
      </c>
      <c r="B696" s="7" t="s">
        <v>83</v>
      </c>
      <c r="C696" s="7" t="s">
        <v>49</v>
      </c>
      <c r="D696" s="7" t="s">
        <v>112</v>
      </c>
      <c r="E696" s="7" t="s">
        <v>91</v>
      </c>
      <c r="F696" s="7" t="s">
        <v>141</v>
      </c>
      <c r="G696" s="8" t="b">
        <f aca="false">TRUE()</f>
        <v>1</v>
      </c>
      <c r="H696" s="8" t="b">
        <f aca="false">TRUE()</f>
        <v>1</v>
      </c>
      <c r="I696" s="7" t="str">
        <f aca="false">IF(AND(G696,H696),"PASS_TO_PASS",IF(G696,"PASS_TO_FAIL",IF(H696,"FAIL_TO_PASS","FAIL_TO_FAIL")))</f>
        <v>PASS_TO_PASS</v>
      </c>
    </row>
    <row r="697" customFormat="false" ht="15" hidden="false" customHeight="false" outlineLevel="0" collapsed="false">
      <c r="A697" s="7" t="s">
        <v>82</v>
      </c>
      <c r="B697" s="7" t="s">
        <v>83</v>
      </c>
      <c r="C697" s="7" t="s">
        <v>49</v>
      </c>
      <c r="D697" s="7" t="s">
        <v>112</v>
      </c>
      <c r="E697" s="7" t="s">
        <v>91</v>
      </c>
      <c r="F697" s="7" t="s">
        <v>142</v>
      </c>
      <c r="G697" s="8" t="b">
        <f aca="false">TRUE()</f>
        <v>1</v>
      </c>
      <c r="H697" s="8" t="b">
        <f aca="false">TRUE()</f>
        <v>1</v>
      </c>
      <c r="I697" s="7" t="str">
        <f aca="false">IF(AND(G697,H697),"PASS_TO_PASS",IF(G697,"PASS_TO_FAIL",IF(H697,"FAIL_TO_PASS","FAIL_TO_FAIL")))</f>
        <v>PASS_TO_PASS</v>
      </c>
    </row>
    <row r="698" customFormat="false" ht="15" hidden="false" customHeight="false" outlineLevel="0" collapsed="false">
      <c r="A698" s="7" t="s">
        <v>82</v>
      </c>
      <c r="B698" s="7" t="s">
        <v>83</v>
      </c>
      <c r="C698" s="7" t="s">
        <v>49</v>
      </c>
      <c r="D698" s="7" t="s">
        <v>112</v>
      </c>
      <c r="E698" s="7" t="s">
        <v>91</v>
      </c>
      <c r="F698" s="7" t="s">
        <v>143</v>
      </c>
      <c r="G698" s="8" t="b">
        <f aca="false">TRUE()</f>
        <v>1</v>
      </c>
      <c r="H698" s="8" t="b">
        <f aca="false">TRUE()</f>
        <v>1</v>
      </c>
      <c r="I698" s="7" t="str">
        <f aca="false">IF(AND(G698,H698),"PASS_TO_PASS",IF(G698,"PASS_TO_FAIL",IF(H698,"FAIL_TO_PASS","FAIL_TO_FAIL")))</f>
        <v>PASS_TO_PASS</v>
      </c>
    </row>
    <row r="699" customFormat="false" ht="15" hidden="false" customHeight="false" outlineLevel="0" collapsed="false">
      <c r="A699" s="7" t="s">
        <v>82</v>
      </c>
      <c r="B699" s="7" t="s">
        <v>83</v>
      </c>
      <c r="C699" s="7" t="s">
        <v>49</v>
      </c>
      <c r="D699" s="7" t="s">
        <v>112</v>
      </c>
      <c r="E699" s="7" t="s">
        <v>91</v>
      </c>
      <c r="F699" s="7" t="s">
        <v>144</v>
      </c>
      <c r="G699" s="8" t="b">
        <f aca="false">TRUE()</f>
        <v>1</v>
      </c>
      <c r="H699" s="8" t="b">
        <f aca="false">TRUE()</f>
        <v>1</v>
      </c>
      <c r="I699" s="7" t="str">
        <f aca="false">IF(AND(G699,H699),"PASS_TO_PASS",IF(G699,"PASS_TO_FAIL",IF(H699,"FAIL_TO_PASS","FAIL_TO_FAIL")))</f>
        <v>PASS_TO_PASS</v>
      </c>
    </row>
    <row r="700" customFormat="false" ht="15" hidden="false" customHeight="false" outlineLevel="0" collapsed="false">
      <c r="A700" s="7" t="s">
        <v>82</v>
      </c>
      <c r="B700" s="7" t="s">
        <v>83</v>
      </c>
      <c r="C700" s="7" t="s">
        <v>49</v>
      </c>
      <c r="D700" s="7" t="s">
        <v>112</v>
      </c>
      <c r="E700" s="7" t="s">
        <v>91</v>
      </c>
      <c r="F700" s="7" t="s">
        <v>145</v>
      </c>
      <c r="G700" s="8" t="b">
        <f aca="false">FALSE()</f>
        <v>0</v>
      </c>
      <c r="H700" s="8" t="b">
        <f aca="false">TRUE()</f>
        <v>1</v>
      </c>
      <c r="I700" s="7" t="str">
        <f aca="false">IF(AND(G700,H700),"PASS_TO_PASS",IF(G700,"PASS_TO_FAIL",IF(H700,"FAIL_TO_PASS","FAIL_TO_FAIL")))</f>
        <v>FAIL_TO_PASS</v>
      </c>
    </row>
  </sheetData>
  <autoFilter ref="A4:I700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1" min="4" style="0" width="15"/>
  </cols>
  <sheetData>
    <row r="1" customFormat="false" ht="15" hidden="false" customHeight="false" outlineLevel="0" collapsed="false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customFormat="false" ht="15" hidden="false" customHeight="true" outlineLevel="0" collapsed="false">
      <c r="A2" s="2" t="s">
        <v>147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customFormat="false" ht="15" hidden="false" customHeight="false" outlineLevel="0" collapsed="false">
      <c r="A4" s="6" t="s">
        <v>148</v>
      </c>
      <c r="B4" s="6" t="s">
        <v>149</v>
      </c>
      <c r="C4" s="6" t="s">
        <v>150</v>
      </c>
      <c r="D4" s="6" t="s">
        <v>151</v>
      </c>
      <c r="E4" s="6" t="s">
        <v>152</v>
      </c>
      <c r="F4" s="6" t="s">
        <v>153</v>
      </c>
      <c r="G4" s="6" t="s">
        <v>154</v>
      </c>
      <c r="H4" s="6" t="s">
        <v>155</v>
      </c>
      <c r="I4" s="6" t="s">
        <v>156</v>
      </c>
      <c r="J4" s="6" t="s">
        <v>157</v>
      </c>
      <c r="K4" s="6" t="s">
        <v>158</v>
      </c>
      <c r="L4" s="6" t="s">
        <v>159</v>
      </c>
      <c r="M4" s="6" t="s">
        <v>160</v>
      </c>
      <c r="N4" s="6" t="s">
        <v>161</v>
      </c>
      <c r="O4" s="6" t="s">
        <v>162</v>
      </c>
      <c r="P4" s="6" t="s">
        <v>163</v>
      </c>
      <c r="Q4" s="6" t="s">
        <v>164</v>
      </c>
      <c r="R4" s="6" t="s">
        <v>165</v>
      </c>
      <c r="S4" s="6" t="s">
        <v>166</v>
      </c>
      <c r="T4" s="6" t="s">
        <v>167</v>
      </c>
      <c r="U4" s="6" t="s">
        <v>168</v>
      </c>
      <c r="V4" s="6" t="s">
        <v>169</v>
      </c>
      <c r="W4" s="6" t="s">
        <v>170</v>
      </c>
      <c r="X4" s="6" t="s">
        <v>171</v>
      </c>
      <c r="Y4" s="6" t="s">
        <v>172</v>
      </c>
      <c r="Z4" s="6" t="s">
        <v>173</v>
      </c>
      <c r="AA4" s="6" t="s">
        <v>174</v>
      </c>
      <c r="AB4" s="6" t="s">
        <v>175</v>
      </c>
      <c r="AC4" s="6" t="s">
        <v>176</v>
      </c>
      <c r="AD4" s="6" t="s">
        <v>177</v>
      </c>
      <c r="AE4" s="6" t="s">
        <v>178</v>
      </c>
      <c r="AF4" s="6" t="s">
        <v>179</v>
      </c>
      <c r="AG4" s="6" t="s">
        <v>180</v>
      </c>
      <c r="AH4" s="6" t="s">
        <v>181</v>
      </c>
      <c r="AI4" s="6" t="s">
        <v>182</v>
      </c>
      <c r="AJ4" s="6" t="s">
        <v>183</v>
      </c>
      <c r="AK4" s="6" t="s">
        <v>184</v>
      </c>
      <c r="AL4" s="6" t="s">
        <v>185</v>
      </c>
      <c r="AM4" s="6" t="s">
        <v>186</v>
      </c>
      <c r="AN4" s="6" t="s">
        <v>187</v>
      </c>
      <c r="AO4" s="6" t="s">
        <v>188</v>
      </c>
    </row>
    <row r="5" customFormat="false" ht="15" hidden="false" customHeight="false" outlineLevel="0" collapsed="false">
      <c r="A5" s="11" t="s">
        <v>50</v>
      </c>
      <c r="B5" s="11" t="s">
        <v>51</v>
      </c>
      <c r="C5" s="11" t="s">
        <v>189</v>
      </c>
      <c r="D5" s="11" t="s">
        <v>190</v>
      </c>
      <c r="E5" s="11" t="s">
        <v>191</v>
      </c>
      <c r="F5" s="11" t="s">
        <v>191</v>
      </c>
      <c r="G5" s="11" t="n">
        <v>1</v>
      </c>
      <c r="H5" s="11" t="n">
        <v>1</v>
      </c>
      <c r="I5" s="11" t="s">
        <v>191</v>
      </c>
      <c r="J5" s="11" t="n">
        <v>1</v>
      </c>
      <c r="K5" s="11" t="n">
        <v>1</v>
      </c>
      <c r="L5" s="11" t="n">
        <v>-0.679472540440727</v>
      </c>
      <c r="M5" s="11" t="n">
        <v>6.96665897321458</v>
      </c>
      <c r="N5" s="11" t="n">
        <v>6.96665897321456</v>
      </c>
      <c r="O5" s="11" t="n">
        <v>2.04281036531029E-014</v>
      </c>
      <c r="P5" s="11" t="n">
        <v>1.67730025204521E-014</v>
      </c>
      <c r="Q5" s="11" t="n">
        <v>6.69018773335692E-014</v>
      </c>
      <c r="R5" s="11" t="n">
        <v>6.69018773335692E-014</v>
      </c>
      <c r="S5" s="11" t="n">
        <v>1.68753899743024E-013</v>
      </c>
      <c r="T5" s="11" t="n">
        <v>157</v>
      </c>
      <c r="U5" s="11" t="s">
        <v>192</v>
      </c>
      <c r="V5" s="11" t="s">
        <v>193</v>
      </c>
      <c r="W5" s="11" t="s">
        <v>194</v>
      </c>
      <c r="X5" s="11" t="s">
        <v>195</v>
      </c>
      <c r="Y5" s="11" t="s">
        <v>196</v>
      </c>
      <c r="Z5" s="11" t="n">
        <v>1.17771028146041E-007</v>
      </c>
      <c r="AA5" s="11" t="n">
        <v>0</v>
      </c>
      <c r="AB5" s="11" t="n">
        <v>1.70754729250319E-006</v>
      </c>
      <c r="AC5" s="11" t="n">
        <v>2.41483653945147E-006</v>
      </c>
      <c r="AD5" s="11" t="n">
        <v>1.17771028146041E-007</v>
      </c>
      <c r="AE5" s="11" t="n">
        <v>0</v>
      </c>
      <c r="AF5" s="11" t="n">
        <v>1.70754729250319E-006</v>
      </c>
      <c r="AG5" s="11" t="n">
        <v>2.41483653945147E-006</v>
      </c>
      <c r="AH5" s="11" t="n">
        <v>6.96665897321439</v>
      </c>
      <c r="AI5" s="11" t="n">
        <v>5.48180883777613</v>
      </c>
      <c r="AJ5" s="11" t="n">
        <v>15.0225347623142</v>
      </c>
      <c r="AK5" s="11" t="n">
        <v>16.7548199956141</v>
      </c>
      <c r="AL5" s="11" t="s">
        <v>197</v>
      </c>
      <c r="AM5" s="11" t="s">
        <v>191</v>
      </c>
      <c r="AN5" s="11" t="s">
        <v>198</v>
      </c>
      <c r="AO5" s="11" t="n">
        <v>1</v>
      </c>
    </row>
    <row r="6" customFormat="false" ht="15" hidden="false" customHeight="false" outlineLevel="0" collapsed="false">
      <c r="A6" s="11" t="s">
        <v>84</v>
      </c>
      <c r="B6" s="11" t="s">
        <v>51</v>
      </c>
      <c r="C6" s="11" t="s">
        <v>189</v>
      </c>
      <c r="D6" s="11" t="s">
        <v>190</v>
      </c>
      <c r="E6" s="11" t="s">
        <v>191</v>
      </c>
      <c r="F6" s="11" t="s">
        <v>191</v>
      </c>
      <c r="G6" s="11" t="n">
        <v>1</v>
      </c>
      <c r="H6" s="11" t="n">
        <v>1</v>
      </c>
      <c r="I6" s="11" t="s">
        <v>191</v>
      </c>
      <c r="J6" s="11" t="n">
        <v>1</v>
      </c>
      <c r="K6" s="11" t="n">
        <v>0</v>
      </c>
      <c r="L6" s="11" t="n">
        <v>-1.58364205062684</v>
      </c>
      <c r="M6" s="11" t="n">
        <v>6.90672707826861</v>
      </c>
      <c r="N6" s="11" t="n">
        <v>6.90672707826863</v>
      </c>
      <c r="O6" s="11" t="n">
        <v>2.48689957516035E-014</v>
      </c>
      <c r="P6" s="11" t="n">
        <v>2.69916574799648E-014</v>
      </c>
      <c r="Q6" s="11" t="n">
        <v>7.0216669371534E-014</v>
      </c>
      <c r="R6" s="11" t="n">
        <v>7.0216669371534E-014</v>
      </c>
      <c r="S6" s="11" t="n">
        <v>1.19015908239817E-013</v>
      </c>
      <c r="T6" s="11" t="n">
        <v>126</v>
      </c>
      <c r="U6" s="11" t="s">
        <v>199</v>
      </c>
      <c r="V6" s="11" t="s">
        <v>200</v>
      </c>
      <c r="W6" s="11" t="s">
        <v>201</v>
      </c>
      <c r="X6" s="11" t="s">
        <v>202</v>
      </c>
      <c r="Y6" s="11" t="s">
        <v>203</v>
      </c>
      <c r="Z6" s="11" t="n">
        <v>1.6262355166697E-007</v>
      </c>
      <c r="AA6" s="11" t="n">
        <v>0</v>
      </c>
      <c r="AB6" s="11" t="n">
        <v>1.70754729250319E-006</v>
      </c>
      <c r="AC6" s="11" t="n">
        <v>1.70754729250319E-006</v>
      </c>
      <c r="AD6" s="11" t="n">
        <v>1.6262355166697E-007</v>
      </c>
      <c r="AE6" s="11" t="n">
        <v>0</v>
      </c>
      <c r="AF6" s="11" t="n">
        <v>1.70754729250319E-006</v>
      </c>
      <c r="AG6" s="11" t="n">
        <v>1.70754729250319E-006</v>
      </c>
      <c r="AH6" s="11" t="n">
        <v>6.90672707826851</v>
      </c>
      <c r="AI6" s="11" t="n">
        <v>4.74753332638666</v>
      </c>
      <c r="AJ6" s="11" t="n">
        <v>20.0581248400938</v>
      </c>
      <c r="AK6" s="11" t="n">
        <v>21.5169483115016</v>
      </c>
      <c r="AL6" s="11" t="s">
        <v>197</v>
      </c>
      <c r="AM6" s="11" t="s">
        <v>191</v>
      </c>
      <c r="AN6" s="11" t="s">
        <v>198</v>
      </c>
      <c r="AO6" s="11" t="n">
        <v>1</v>
      </c>
    </row>
    <row r="7" customFormat="false" ht="15" hidden="false" customHeight="false" outlineLevel="0" collapsed="false">
      <c r="A7" s="11" t="s">
        <v>85</v>
      </c>
      <c r="B7" s="11" t="s">
        <v>51</v>
      </c>
      <c r="C7" s="11" t="s">
        <v>204</v>
      </c>
      <c r="D7" s="11" t="s">
        <v>190</v>
      </c>
      <c r="E7" s="11" t="s">
        <v>205</v>
      </c>
      <c r="F7" s="11" t="s">
        <v>205</v>
      </c>
      <c r="G7" s="11" t="n">
        <v>1</v>
      </c>
      <c r="H7" s="11" t="n">
        <v>1</v>
      </c>
      <c r="I7" s="11" t="s">
        <v>205</v>
      </c>
      <c r="J7" s="11" t="n">
        <v>1</v>
      </c>
      <c r="K7" s="11" t="n">
        <v>0</v>
      </c>
      <c r="L7" s="11" t="n">
        <v>-0.265018748562017</v>
      </c>
      <c r="M7" s="11" t="n">
        <v>9.56374373068242</v>
      </c>
      <c r="N7" s="11" t="n">
        <v>9.56374373068239</v>
      </c>
      <c r="O7" s="11" t="n">
        <v>2.8421709430404E-014</v>
      </c>
      <c r="P7" s="11" t="n">
        <v>3.6099070260624E-014</v>
      </c>
      <c r="Q7" s="11" t="n">
        <v>8.08254562088053E-014</v>
      </c>
      <c r="R7" s="11" t="n">
        <v>8.08254562088053E-014</v>
      </c>
      <c r="S7" s="11" t="n">
        <v>1.15463194561016E-013</v>
      </c>
      <c r="T7" s="11" t="n">
        <v>147</v>
      </c>
      <c r="U7" s="11" t="s">
        <v>206</v>
      </c>
      <c r="V7" s="11" t="s">
        <v>207</v>
      </c>
      <c r="W7" s="11" t="s">
        <v>208</v>
      </c>
      <c r="X7" s="11" t="s">
        <v>209</v>
      </c>
      <c r="Y7" s="11" t="s">
        <v>210</v>
      </c>
      <c r="Z7" s="11" t="n">
        <v>8.78222695466306E-008</v>
      </c>
      <c r="AA7" s="11" t="n">
        <v>0</v>
      </c>
      <c r="AB7" s="11" t="n">
        <v>0</v>
      </c>
      <c r="AC7" s="11" t="n">
        <v>2.9575586669422E-006</v>
      </c>
      <c r="AD7" s="11" t="n">
        <v>8.78222695466306E-008</v>
      </c>
      <c r="AE7" s="11" t="n">
        <v>0</v>
      </c>
      <c r="AF7" s="11" t="n">
        <v>0</v>
      </c>
      <c r="AG7" s="11" t="n">
        <v>2.9575586669422E-006</v>
      </c>
      <c r="AH7" s="11" t="n">
        <v>9.56374373068227</v>
      </c>
      <c r="AI7" s="11" t="n">
        <v>6.92695246670638</v>
      </c>
      <c r="AJ7" s="11" t="n">
        <v>26.2711034768292</v>
      </c>
      <c r="AK7" s="11" t="n">
        <v>27.0202209183284</v>
      </c>
      <c r="AL7" s="11" t="s">
        <v>211</v>
      </c>
      <c r="AM7" s="11" t="s">
        <v>205</v>
      </c>
      <c r="AN7" s="11" t="s">
        <v>198</v>
      </c>
      <c r="AO7" s="11" t="n">
        <v>1</v>
      </c>
    </row>
    <row r="8" customFormat="false" ht="15" hidden="false" customHeight="false" outlineLevel="0" collapsed="false">
      <c r="A8" s="11" t="s">
        <v>86</v>
      </c>
      <c r="B8" s="11" t="s">
        <v>51</v>
      </c>
      <c r="C8" s="11" t="s">
        <v>189</v>
      </c>
      <c r="D8" s="11" t="s">
        <v>190</v>
      </c>
      <c r="E8" s="11" t="s">
        <v>191</v>
      </c>
      <c r="F8" s="11" t="s">
        <v>191</v>
      </c>
      <c r="G8" s="11" t="n">
        <v>1</v>
      </c>
      <c r="H8" s="11" t="n">
        <v>1</v>
      </c>
      <c r="I8" s="11" t="s">
        <v>191</v>
      </c>
      <c r="J8" s="11" t="n">
        <v>1</v>
      </c>
      <c r="K8" s="11" t="n">
        <v>0</v>
      </c>
      <c r="L8" s="11" t="n">
        <v>-2.19046188236025</v>
      </c>
      <c r="M8" s="11" t="n">
        <v>4.50192889073157</v>
      </c>
      <c r="N8" s="11" t="n">
        <v>4.50192889073158</v>
      </c>
      <c r="O8" s="11" t="n">
        <v>7.99360577730113E-015</v>
      </c>
      <c r="P8" s="11" t="n">
        <v>1.11431985487884E-014</v>
      </c>
      <c r="Q8" s="11" t="n">
        <v>2.71947991102104E-014</v>
      </c>
      <c r="R8" s="11" t="n">
        <v>2.71947991102104E-014</v>
      </c>
      <c r="S8" s="11" t="n">
        <v>1.12798659301916E-013</v>
      </c>
      <c r="T8" s="11" t="n">
        <v>110</v>
      </c>
      <c r="U8" s="11" t="s">
        <v>212</v>
      </c>
      <c r="V8" s="11" t="s">
        <v>213</v>
      </c>
      <c r="W8" s="11" t="s">
        <v>214</v>
      </c>
      <c r="X8" s="11" t="s">
        <v>215</v>
      </c>
      <c r="Y8" s="11" t="s">
        <v>216</v>
      </c>
      <c r="Z8" s="11" t="n">
        <v>4.65694716137233E-008</v>
      </c>
      <c r="AA8" s="11" t="n">
        <v>0</v>
      </c>
      <c r="AB8" s="11" t="n">
        <v>0</v>
      </c>
      <c r="AC8" s="11" t="n">
        <v>1.70754729250319E-006</v>
      </c>
      <c r="AD8" s="11" t="n">
        <v>4.65694716137233E-008</v>
      </c>
      <c r="AE8" s="11" t="n">
        <v>0</v>
      </c>
      <c r="AF8" s="11" t="n">
        <v>0</v>
      </c>
      <c r="AG8" s="11" t="n">
        <v>1.70754729250319E-006</v>
      </c>
      <c r="AH8" s="11" t="n">
        <v>4.50192889073147</v>
      </c>
      <c r="AI8" s="11" t="n">
        <v>4.39728630835644</v>
      </c>
      <c r="AJ8" s="11" t="n">
        <v>8.44022867421861</v>
      </c>
      <c r="AK8" s="11" t="n">
        <v>8.98436389903658</v>
      </c>
      <c r="AL8" s="11" t="s">
        <v>197</v>
      </c>
      <c r="AM8" s="11" t="s">
        <v>191</v>
      </c>
      <c r="AN8" s="11" t="s">
        <v>198</v>
      </c>
      <c r="AO8" s="11" t="n">
        <v>1</v>
      </c>
    </row>
    <row r="9" customFormat="false" ht="15" hidden="false" customHeight="false" outlineLevel="0" collapsed="false">
      <c r="A9" s="11" t="s">
        <v>87</v>
      </c>
      <c r="B9" s="11" t="s">
        <v>51</v>
      </c>
      <c r="C9" s="11" t="s">
        <v>204</v>
      </c>
      <c r="D9" s="11" t="s">
        <v>190</v>
      </c>
      <c r="E9" s="11" t="s">
        <v>191</v>
      </c>
      <c r="F9" s="11" t="s">
        <v>191</v>
      </c>
      <c r="G9" s="11" t="n">
        <v>1</v>
      </c>
      <c r="H9" s="11" t="n">
        <v>1</v>
      </c>
      <c r="I9" s="11" t="s">
        <v>191</v>
      </c>
      <c r="J9" s="11" t="n">
        <v>1</v>
      </c>
      <c r="K9" s="11" t="n">
        <v>0</v>
      </c>
      <c r="L9" s="11" t="n">
        <v>-0.75572348286535</v>
      </c>
      <c r="M9" s="11" t="n">
        <v>4.99641548995724</v>
      </c>
      <c r="N9" s="11" t="n">
        <v>4.99641548995725</v>
      </c>
      <c r="O9" s="11" t="n">
        <v>2.66453525910038E-015</v>
      </c>
      <c r="P9" s="11" t="n">
        <v>9.73185116961194E-015</v>
      </c>
      <c r="Q9" s="11" t="n">
        <v>2.5438405243138E-014</v>
      </c>
      <c r="R9" s="11" t="n">
        <v>2.5438405243138E-014</v>
      </c>
      <c r="S9" s="11" t="n">
        <v>1.4033219031262E-013</v>
      </c>
      <c r="T9" s="11" t="n">
        <v>100</v>
      </c>
      <c r="U9" s="11" t="s">
        <v>217</v>
      </c>
      <c r="V9" s="11" t="s">
        <v>218</v>
      </c>
      <c r="W9" s="11" t="s">
        <v>219</v>
      </c>
      <c r="X9" s="11" t="s">
        <v>220</v>
      </c>
      <c r="Y9" s="11" t="s">
        <v>221</v>
      </c>
      <c r="Z9" s="11" t="n">
        <v>1.84900514189284E-007</v>
      </c>
      <c r="AA9" s="11" t="n">
        <v>0</v>
      </c>
      <c r="AB9" s="11" t="n">
        <v>1.70754729250319E-006</v>
      </c>
      <c r="AC9" s="11" t="n">
        <v>2.41483653945147E-006</v>
      </c>
      <c r="AD9" s="11" t="n">
        <v>1.84900514189284E-007</v>
      </c>
      <c r="AE9" s="11" t="n">
        <v>0</v>
      </c>
      <c r="AF9" s="11" t="n">
        <v>1.70754729250319E-006</v>
      </c>
      <c r="AG9" s="11" t="n">
        <v>2.41483653945147E-006</v>
      </c>
      <c r="AH9" s="11" t="n">
        <v>4.99641548995711</v>
      </c>
      <c r="AI9" s="11" t="n">
        <v>5.13627419698446</v>
      </c>
      <c r="AJ9" s="11" t="n">
        <v>8.44784318590393</v>
      </c>
      <c r="AK9" s="11" t="n">
        <v>9.34311770280258</v>
      </c>
      <c r="AL9" s="11" t="s">
        <v>197</v>
      </c>
      <c r="AM9" s="11" t="s">
        <v>191</v>
      </c>
      <c r="AN9" s="11" t="s">
        <v>198</v>
      </c>
      <c r="AO9" s="11" t="n">
        <v>1</v>
      </c>
    </row>
    <row r="10" customFormat="false" ht="15" hidden="false" customHeight="false" outlineLevel="0" collapsed="false">
      <c r="A10" s="11" t="s">
        <v>88</v>
      </c>
      <c r="B10" s="11" t="s">
        <v>51</v>
      </c>
      <c r="C10" s="11" t="s">
        <v>189</v>
      </c>
      <c r="D10" s="11" t="s">
        <v>190</v>
      </c>
      <c r="E10" s="11" t="s">
        <v>191</v>
      </c>
      <c r="F10" s="11" t="s">
        <v>191</v>
      </c>
      <c r="G10" s="11" t="n">
        <v>1</v>
      </c>
      <c r="H10" s="11" t="n">
        <v>1</v>
      </c>
      <c r="I10" s="11" t="s">
        <v>191</v>
      </c>
      <c r="J10" s="11" t="n">
        <v>1</v>
      </c>
      <c r="K10" s="11" t="n">
        <v>0</v>
      </c>
      <c r="L10" s="11" t="n">
        <v>2.07558933429388</v>
      </c>
      <c r="M10" s="11" t="n">
        <v>7.80884802466926</v>
      </c>
      <c r="N10" s="11" t="n">
        <v>7.80884802466943</v>
      </c>
      <c r="O10" s="11" t="n">
        <v>1.68753899743024E-013</v>
      </c>
      <c r="P10" s="11" t="n">
        <v>2.01241483359803E-014</v>
      </c>
      <c r="Q10" s="11" t="n">
        <v>5.03440543342866E-014</v>
      </c>
      <c r="R10" s="11" t="n">
        <v>5.03440543342866E-014</v>
      </c>
      <c r="S10" s="11" t="n">
        <v>4.9471537977297E-013</v>
      </c>
      <c r="T10" s="11" t="n">
        <v>97</v>
      </c>
      <c r="U10" s="11" t="s">
        <v>222</v>
      </c>
      <c r="V10" s="11" t="s">
        <v>223</v>
      </c>
      <c r="W10" s="11" t="s">
        <v>224</v>
      </c>
      <c r="X10" s="11" t="s">
        <v>225</v>
      </c>
      <c r="Y10" s="11" t="s">
        <v>226</v>
      </c>
      <c r="Z10" s="11" t="n">
        <v>1.97910728514193E-007</v>
      </c>
      <c r="AA10" s="11" t="n">
        <v>0</v>
      </c>
      <c r="AB10" s="11" t="n">
        <v>1.70754729250319E-006</v>
      </c>
      <c r="AC10" s="11" t="n">
        <v>2.41483653945147E-006</v>
      </c>
      <c r="AD10" s="11" t="n">
        <v>1.97910728514193E-007</v>
      </c>
      <c r="AE10" s="11" t="n">
        <v>0</v>
      </c>
      <c r="AF10" s="11" t="n">
        <v>1.70754729250319E-006</v>
      </c>
      <c r="AG10" s="11" t="n">
        <v>2.41483653945147E-006</v>
      </c>
      <c r="AH10" s="11" t="n">
        <v>7.80884802466894</v>
      </c>
      <c r="AI10" s="11" t="n">
        <v>6.11106472704322</v>
      </c>
      <c r="AJ10" s="11" t="n">
        <v>19.67430481926</v>
      </c>
      <c r="AK10" s="11" t="n">
        <v>20.8864421516609</v>
      </c>
      <c r="AL10" s="11" t="s">
        <v>197</v>
      </c>
      <c r="AM10" s="11" t="s">
        <v>191</v>
      </c>
      <c r="AN10" s="11" t="s">
        <v>198</v>
      </c>
      <c r="AO10" s="11" t="n">
        <v>1</v>
      </c>
    </row>
    <row r="11" customFormat="false" ht="15" hidden="false" customHeight="false" outlineLevel="0" collapsed="false">
      <c r="A11" s="11" t="s">
        <v>89</v>
      </c>
      <c r="B11" s="11" t="s">
        <v>51</v>
      </c>
      <c r="C11" s="11" t="s">
        <v>189</v>
      </c>
      <c r="D11" s="11" t="s">
        <v>190</v>
      </c>
      <c r="E11" s="11" t="s">
        <v>205</v>
      </c>
      <c r="F11" s="11" t="s">
        <v>205</v>
      </c>
      <c r="G11" s="11" t="n">
        <v>1</v>
      </c>
      <c r="H11" s="11" t="n">
        <v>1</v>
      </c>
      <c r="I11" s="11" t="s">
        <v>205</v>
      </c>
      <c r="J11" s="11" t="n">
        <v>1</v>
      </c>
      <c r="K11" s="11" t="n">
        <v>0</v>
      </c>
      <c r="L11" s="11" t="n">
        <v>0.101196518110109</v>
      </c>
      <c r="M11" s="11" t="n">
        <v>2.97191084637045</v>
      </c>
      <c r="N11" s="11" t="n">
        <v>2.97191084637085</v>
      </c>
      <c r="O11" s="11" t="n">
        <v>4.00568467284757E-013</v>
      </c>
      <c r="P11" s="11" t="n">
        <v>7.21984314551545E-015</v>
      </c>
      <c r="Q11" s="11" t="n">
        <v>4.44752787906632E-014</v>
      </c>
      <c r="R11" s="11" t="n">
        <v>4.44752787906632E-014</v>
      </c>
      <c r="S11" s="11" t="n">
        <v>6.07069949865036E-013</v>
      </c>
      <c r="T11" s="11" t="n">
        <v>110</v>
      </c>
      <c r="U11" s="11" t="s">
        <v>227</v>
      </c>
      <c r="V11" s="11" t="s">
        <v>228</v>
      </c>
      <c r="W11" s="11" t="s">
        <v>229</v>
      </c>
      <c r="X11" s="11" t="s">
        <v>230</v>
      </c>
      <c r="Y11" s="11" t="s">
        <v>231</v>
      </c>
      <c r="Z11" s="11" t="n">
        <v>1.90044435985272E-007</v>
      </c>
      <c r="AA11" s="11" t="n">
        <v>0</v>
      </c>
      <c r="AB11" s="11" t="n">
        <v>1.70754729250319E-006</v>
      </c>
      <c r="AC11" s="11" t="n">
        <v>2.41483653945147E-006</v>
      </c>
      <c r="AD11" s="11" t="n">
        <v>1.90044435985272E-007</v>
      </c>
      <c r="AE11" s="11" t="n">
        <v>0</v>
      </c>
      <c r="AF11" s="11" t="n">
        <v>1.70754729250319E-006</v>
      </c>
      <c r="AG11" s="11" t="n">
        <v>2.41483653945147E-006</v>
      </c>
      <c r="AH11" s="11" t="n">
        <v>2.97191084637024</v>
      </c>
      <c r="AI11" s="11" t="n">
        <v>3.17839302214794</v>
      </c>
      <c r="AJ11" s="11" t="n">
        <v>5.86280131106563</v>
      </c>
      <c r="AK11" s="11" t="n">
        <v>6.40940148667042</v>
      </c>
      <c r="AL11" s="11" t="s">
        <v>211</v>
      </c>
      <c r="AM11" s="11" t="s">
        <v>205</v>
      </c>
      <c r="AN11" s="11" t="s">
        <v>198</v>
      </c>
      <c r="AO11" s="11" t="n">
        <v>1</v>
      </c>
    </row>
    <row r="12" customFormat="false" ht="15" hidden="false" customHeight="false" outlineLevel="0" collapsed="false">
      <c r="A12" s="11" t="s">
        <v>90</v>
      </c>
      <c r="B12" s="11" t="s">
        <v>91</v>
      </c>
      <c r="C12" s="11" t="s">
        <v>189</v>
      </c>
      <c r="D12" s="11" t="s">
        <v>190</v>
      </c>
      <c r="E12" s="11" t="s">
        <v>191</v>
      </c>
      <c r="F12" s="11" t="s">
        <v>191</v>
      </c>
      <c r="G12" s="11" t="n">
        <v>1</v>
      </c>
      <c r="H12" s="11" t="n">
        <v>1</v>
      </c>
      <c r="I12" s="11" t="s">
        <v>191</v>
      </c>
      <c r="J12" s="11" t="n">
        <v>1</v>
      </c>
      <c r="K12" s="11" t="n">
        <v>0</v>
      </c>
      <c r="L12" s="11" t="n">
        <v>0.342305510487716</v>
      </c>
      <c r="M12" s="11" t="n">
        <v>4.61279418973698</v>
      </c>
      <c r="N12" s="11" t="n">
        <v>4.61279418973711</v>
      </c>
      <c r="O12" s="11" t="n">
        <v>1.37667655053519E-013</v>
      </c>
      <c r="P12" s="11" t="n">
        <v>5.63535374962956E-015</v>
      </c>
      <c r="Q12" s="11" t="n">
        <v>1.66533453693774E-014</v>
      </c>
      <c r="R12" s="11" t="n">
        <v>1.66533453693774E-014</v>
      </c>
      <c r="S12" s="11" t="n">
        <v>1.26210153439388E-012</v>
      </c>
      <c r="T12" s="11" t="n">
        <v>79</v>
      </c>
      <c r="U12" s="11" t="s">
        <v>232</v>
      </c>
      <c r="V12" s="11" t="s">
        <v>233</v>
      </c>
      <c r="W12" s="11" t="s">
        <v>234</v>
      </c>
      <c r="X12" s="11" t="s">
        <v>235</v>
      </c>
      <c r="Y12" s="11" t="s">
        <v>236</v>
      </c>
      <c r="Z12" s="11" t="n">
        <v>1.38640164581866E-007</v>
      </c>
      <c r="AA12" s="11" t="n">
        <v>0</v>
      </c>
      <c r="AB12" s="11" t="n">
        <v>1.70754729250319E-006</v>
      </c>
      <c r="AC12" s="11" t="n">
        <v>2.41483653945147E-006</v>
      </c>
      <c r="AD12" s="11" t="n">
        <v>1.38640164581866E-007</v>
      </c>
      <c r="AE12" s="11" t="n">
        <v>0</v>
      </c>
      <c r="AF12" s="11" t="n">
        <v>1.70754729250319E-006</v>
      </c>
      <c r="AG12" s="11" t="n">
        <v>2.41483653945147E-006</v>
      </c>
      <c r="AH12" s="11" t="n">
        <v>4.61279418973585</v>
      </c>
      <c r="AI12" s="11" t="n">
        <v>4.83071864196969</v>
      </c>
      <c r="AJ12" s="11" t="n">
        <v>10.2696295750226</v>
      </c>
      <c r="AK12" s="11" t="n">
        <v>11.6676313634386</v>
      </c>
      <c r="AL12" s="11" t="s">
        <v>237</v>
      </c>
      <c r="AM12" s="11" t="s">
        <v>191</v>
      </c>
      <c r="AN12" s="11" t="s">
        <v>198</v>
      </c>
      <c r="AO12" s="11" t="n">
        <v>1</v>
      </c>
    </row>
    <row r="13" customFormat="false" ht="15" hidden="false" customHeight="false" outlineLevel="0" collapsed="false">
      <c r="A13" s="11" t="s">
        <v>92</v>
      </c>
      <c r="B13" s="11" t="s">
        <v>91</v>
      </c>
      <c r="C13" s="11" t="s">
        <v>189</v>
      </c>
      <c r="D13" s="11" t="s">
        <v>190</v>
      </c>
      <c r="E13" s="11" t="s">
        <v>205</v>
      </c>
      <c r="F13" s="11" t="s">
        <v>205</v>
      </c>
      <c r="G13" s="11" t="n">
        <v>1</v>
      </c>
      <c r="H13" s="11" t="n">
        <v>1</v>
      </c>
      <c r="I13" s="11" t="s">
        <v>205</v>
      </c>
      <c r="J13" s="11" t="n">
        <v>1</v>
      </c>
      <c r="K13" s="11" t="n">
        <v>0</v>
      </c>
      <c r="L13" s="11" t="n">
        <v>-0.601916388281358</v>
      </c>
      <c r="M13" s="11" t="n">
        <v>3.17484168570578</v>
      </c>
      <c r="N13" s="11" t="n">
        <v>3.17484168570593</v>
      </c>
      <c r="O13" s="11" t="n">
        <v>1.4210854715202E-013</v>
      </c>
      <c r="P13" s="11" t="n">
        <v>6.74049886899843E-014</v>
      </c>
      <c r="Q13" s="11" t="n">
        <v>1.44994659463482E-013</v>
      </c>
      <c r="R13" s="11" t="n">
        <v>1.44994659463482E-013</v>
      </c>
      <c r="S13" s="11" t="n">
        <v>5.33351141029925E-013</v>
      </c>
      <c r="T13" s="11" t="n">
        <v>130</v>
      </c>
      <c r="U13" s="11" t="s">
        <v>238</v>
      </c>
      <c r="V13" s="11" t="s">
        <v>239</v>
      </c>
      <c r="W13" s="11" t="s">
        <v>240</v>
      </c>
      <c r="X13" s="11" t="s">
        <v>241</v>
      </c>
      <c r="Y13" s="11" t="s">
        <v>242</v>
      </c>
      <c r="Z13" s="11" t="n">
        <v>1.31349791731015E-007</v>
      </c>
      <c r="AA13" s="11" t="n">
        <v>0</v>
      </c>
      <c r="AB13" s="11" t="n">
        <v>1.70754729250319E-006</v>
      </c>
      <c r="AC13" s="11" t="n">
        <v>1.70754729250319E-006</v>
      </c>
      <c r="AD13" s="11" t="n">
        <v>1.31349791731015E-007</v>
      </c>
      <c r="AE13" s="11" t="n">
        <v>0</v>
      </c>
      <c r="AF13" s="11" t="n">
        <v>1.70754729250319E-006</v>
      </c>
      <c r="AG13" s="11" t="n">
        <v>1.70754729250319E-006</v>
      </c>
      <c r="AH13" s="11" t="n">
        <v>3.17484168570539</v>
      </c>
      <c r="AI13" s="11" t="n">
        <v>2.19039127596205</v>
      </c>
      <c r="AJ13" s="11" t="n">
        <v>8.34581533056947</v>
      </c>
      <c r="AK13" s="11" t="n">
        <v>10.5934871532745</v>
      </c>
      <c r="AL13" s="11" t="s">
        <v>243</v>
      </c>
      <c r="AM13" s="11" t="s">
        <v>205</v>
      </c>
      <c r="AN13" s="11" t="s">
        <v>198</v>
      </c>
      <c r="AO13" s="11" t="n">
        <v>1</v>
      </c>
    </row>
    <row r="14" customFormat="false" ht="15" hidden="false" customHeight="false" outlineLevel="0" collapsed="false">
      <c r="A14" s="11" t="s">
        <v>93</v>
      </c>
      <c r="B14" s="11" t="s">
        <v>91</v>
      </c>
      <c r="C14" s="11" t="s">
        <v>189</v>
      </c>
      <c r="D14" s="11" t="s">
        <v>190</v>
      </c>
      <c r="E14" s="11" t="s">
        <v>191</v>
      </c>
      <c r="F14" s="11" t="s">
        <v>191</v>
      </c>
      <c r="G14" s="11" t="n">
        <v>1</v>
      </c>
      <c r="H14" s="11" t="n">
        <v>1</v>
      </c>
      <c r="I14" s="11" t="s">
        <v>191</v>
      </c>
      <c r="J14" s="11" t="n">
        <v>1</v>
      </c>
      <c r="K14" s="11" t="n">
        <v>1</v>
      </c>
      <c r="L14" s="11" t="n">
        <v>1.20043912784164</v>
      </c>
      <c r="M14" s="11" t="n">
        <v>5.83536244360634</v>
      </c>
      <c r="N14" s="11" t="n">
        <v>5.83536244360689</v>
      </c>
      <c r="O14" s="11" t="n">
        <v>5.48006084954977E-013</v>
      </c>
      <c r="P14" s="11" t="n">
        <v>3.7617827717385E-014</v>
      </c>
      <c r="Q14" s="11" t="n">
        <v>9.15933995315754E-014</v>
      </c>
      <c r="R14" s="11" t="n">
        <v>9.15933995315754E-014</v>
      </c>
      <c r="S14" s="11" t="n">
        <v>1.72750702631674E-012</v>
      </c>
      <c r="T14" s="11" t="n">
        <v>105</v>
      </c>
      <c r="U14" s="11" t="s">
        <v>244</v>
      </c>
      <c r="V14" s="11" t="s">
        <v>245</v>
      </c>
      <c r="W14" s="11" t="s">
        <v>246</v>
      </c>
      <c r="X14" s="11" t="s">
        <v>247</v>
      </c>
      <c r="Y14" s="11" t="s">
        <v>248</v>
      </c>
      <c r="Z14" s="11" t="n">
        <v>1.1104630713253E-007</v>
      </c>
      <c r="AA14" s="11" t="n">
        <v>0</v>
      </c>
      <c r="AB14" s="11" t="n">
        <v>1.36603783400255E-006</v>
      </c>
      <c r="AC14" s="11" t="n">
        <v>2.41483653945147E-006</v>
      </c>
      <c r="AD14" s="11" t="n">
        <v>1.1104630713253E-007</v>
      </c>
      <c r="AE14" s="11" t="n">
        <v>0</v>
      </c>
      <c r="AF14" s="11" t="n">
        <v>1.36603783400255E-006</v>
      </c>
      <c r="AG14" s="11" t="n">
        <v>2.41483653945147E-006</v>
      </c>
      <c r="AH14" s="11" t="n">
        <v>5.83536244360517</v>
      </c>
      <c r="AI14" s="11" t="n">
        <v>2.91633058979601</v>
      </c>
      <c r="AJ14" s="11" t="n">
        <v>19.9713203326692</v>
      </c>
      <c r="AK14" s="11" t="n">
        <v>22.3865594939267</v>
      </c>
      <c r="AL14" s="11" t="s">
        <v>237</v>
      </c>
      <c r="AM14" s="11" t="s">
        <v>191</v>
      </c>
      <c r="AN14" s="11" t="s">
        <v>198</v>
      </c>
      <c r="AO14" s="11" t="n">
        <v>1</v>
      </c>
    </row>
    <row r="15" customFormat="false" ht="15" hidden="false" customHeight="false" outlineLevel="0" collapsed="false">
      <c r="A15" s="11" t="s">
        <v>94</v>
      </c>
      <c r="B15" s="11" t="s">
        <v>51</v>
      </c>
      <c r="C15" s="11" t="s">
        <v>189</v>
      </c>
      <c r="D15" s="11" t="s">
        <v>249</v>
      </c>
      <c r="E15" s="11" t="s">
        <v>191</v>
      </c>
      <c r="F15" s="11" t="s">
        <v>191</v>
      </c>
      <c r="G15" s="11" t="n">
        <v>1</v>
      </c>
      <c r="H15" s="11" t="n">
        <v>1</v>
      </c>
      <c r="I15" s="11" t="s">
        <v>191</v>
      </c>
      <c r="J15" s="11" t="n">
        <v>1</v>
      </c>
      <c r="K15" s="11" t="n">
        <v>1</v>
      </c>
      <c r="L15" s="11" t="n">
        <v>-3.24739769765468</v>
      </c>
      <c r="M15" s="11" t="n">
        <v>3.80058855217833</v>
      </c>
      <c r="N15" s="11" t="n">
        <v>3.80058855217806</v>
      </c>
      <c r="O15" s="11" t="n">
        <v>2.71782596428238E-013</v>
      </c>
      <c r="P15" s="11" t="n">
        <v>2.53432348549901E-014</v>
      </c>
      <c r="Q15" s="11" t="n">
        <v>4.87108375157426E-014</v>
      </c>
      <c r="R15" s="11" t="n">
        <v>4.87108375157426E-014</v>
      </c>
      <c r="S15" s="11" t="n">
        <v>3.13571391075129E-012</v>
      </c>
      <c r="T15" s="11" t="n">
        <v>115</v>
      </c>
      <c r="U15" s="11" t="s">
        <v>250</v>
      </c>
      <c r="V15" s="11" t="s">
        <v>251</v>
      </c>
      <c r="W15" s="11" t="s">
        <v>252</v>
      </c>
      <c r="X15" s="11" t="s">
        <v>253</v>
      </c>
      <c r="Y15" s="11" t="s">
        <v>254</v>
      </c>
      <c r="Z15" s="11" t="n">
        <v>1.33634135935032E-007</v>
      </c>
      <c r="AA15" s="11" t="n">
        <v>0</v>
      </c>
      <c r="AB15" s="11" t="n">
        <v>1.70754729250319E-006</v>
      </c>
      <c r="AC15" s="11" t="n">
        <v>1.70754729250319E-006</v>
      </c>
      <c r="AD15" s="11" t="n">
        <v>1.33634135935032E-007</v>
      </c>
      <c r="AE15" s="11" t="n">
        <v>0</v>
      </c>
      <c r="AF15" s="11" t="n">
        <v>1.70754729250319E-006</v>
      </c>
      <c r="AG15" s="11" t="n">
        <v>1.70754729250319E-006</v>
      </c>
      <c r="AH15" s="11" t="n">
        <v>3.80058855217492</v>
      </c>
      <c r="AI15" s="11" t="n">
        <v>3.79728448488753</v>
      </c>
      <c r="AJ15" s="11" t="n">
        <v>9.20405357944868</v>
      </c>
      <c r="AK15" s="11" t="n">
        <v>10.474306797309</v>
      </c>
      <c r="AL15" s="11" t="s">
        <v>237</v>
      </c>
      <c r="AM15" s="11" t="s">
        <v>191</v>
      </c>
      <c r="AN15" s="11" t="s">
        <v>198</v>
      </c>
      <c r="AO15" s="11" t="n">
        <v>1</v>
      </c>
    </row>
    <row r="16" customFormat="false" ht="15" hidden="false" customHeight="false" outlineLevel="0" collapsed="false">
      <c r="A16" s="11" t="s">
        <v>95</v>
      </c>
      <c r="B16" s="11" t="s">
        <v>51</v>
      </c>
      <c r="C16" s="11" t="s">
        <v>189</v>
      </c>
      <c r="D16" s="11" t="s">
        <v>249</v>
      </c>
      <c r="E16" s="11" t="s">
        <v>205</v>
      </c>
      <c r="F16" s="11" t="s">
        <v>205</v>
      </c>
      <c r="G16" s="11" t="n">
        <v>1</v>
      </c>
      <c r="H16" s="11" t="n">
        <v>1</v>
      </c>
      <c r="I16" s="11" t="s">
        <v>205</v>
      </c>
      <c r="J16" s="11" t="n">
        <v>1</v>
      </c>
      <c r="K16" s="11" t="n">
        <v>0</v>
      </c>
      <c r="L16" s="11" t="n">
        <v>-0.0446844735270684</v>
      </c>
      <c r="M16" s="11" t="n">
        <v>6.86128137825691</v>
      </c>
      <c r="N16" s="11" t="n">
        <v>6.86128137825689</v>
      </c>
      <c r="O16" s="11" t="n">
        <v>2.57571741713036E-014</v>
      </c>
      <c r="P16" s="11" t="n">
        <v>2.07447687918372E-014</v>
      </c>
      <c r="Q16" s="11" t="n">
        <v>5.23691153334427E-014</v>
      </c>
      <c r="R16" s="11" t="n">
        <v>5.23691153334427E-014</v>
      </c>
      <c r="S16" s="11" t="n">
        <v>8.34887714518118E-014</v>
      </c>
      <c r="T16" s="11" t="n">
        <v>130</v>
      </c>
      <c r="U16" s="11" t="s">
        <v>255</v>
      </c>
      <c r="V16" s="11" t="s">
        <v>256</v>
      </c>
      <c r="W16" s="11" t="s">
        <v>257</v>
      </c>
      <c r="X16" s="11" t="s">
        <v>258</v>
      </c>
      <c r="Y16" s="11" t="s">
        <v>259</v>
      </c>
      <c r="Z16" s="11" t="n">
        <v>1.55366143934089E-007</v>
      </c>
      <c r="AA16" s="11" t="n">
        <v>0</v>
      </c>
      <c r="AB16" s="11" t="n">
        <v>1.70754729250319E-006</v>
      </c>
      <c r="AC16" s="11" t="n">
        <v>2.41483653945147E-006</v>
      </c>
      <c r="AD16" s="11" t="n">
        <v>1.55366143934089E-007</v>
      </c>
      <c r="AE16" s="11" t="n">
        <v>0</v>
      </c>
      <c r="AF16" s="11" t="n">
        <v>1.70754729250319E-006</v>
      </c>
      <c r="AG16" s="11" t="n">
        <v>2.41483653945147E-006</v>
      </c>
      <c r="AH16" s="11" t="n">
        <v>6.8612813782568</v>
      </c>
      <c r="AI16" s="11" t="n">
        <v>4.02815324943344</v>
      </c>
      <c r="AJ16" s="11" t="n">
        <v>15.468597682254</v>
      </c>
      <c r="AK16" s="11" t="n">
        <v>16.9615912235371</v>
      </c>
      <c r="AL16" s="11" t="s">
        <v>243</v>
      </c>
      <c r="AM16" s="11" t="s">
        <v>205</v>
      </c>
      <c r="AN16" s="11" t="s">
        <v>198</v>
      </c>
      <c r="AO16" s="11" t="n">
        <v>1</v>
      </c>
    </row>
    <row r="17" customFormat="false" ht="15" hidden="false" customHeight="false" outlineLevel="0" collapsed="false">
      <c r="A17" s="11" t="s">
        <v>96</v>
      </c>
      <c r="B17" s="11" t="s">
        <v>51</v>
      </c>
      <c r="C17" s="11" t="s">
        <v>189</v>
      </c>
      <c r="D17" s="11" t="s">
        <v>249</v>
      </c>
      <c r="E17" s="11" t="s">
        <v>191</v>
      </c>
      <c r="F17" s="11" t="s">
        <v>191</v>
      </c>
      <c r="G17" s="11" t="n">
        <v>1</v>
      </c>
      <c r="H17" s="11" t="n">
        <v>1</v>
      </c>
      <c r="I17" s="11" t="s">
        <v>191</v>
      </c>
      <c r="J17" s="11" t="n">
        <v>1</v>
      </c>
      <c r="K17" s="11" t="n">
        <v>0</v>
      </c>
      <c r="L17" s="11" t="n">
        <v>-2.53404574979769</v>
      </c>
      <c r="M17" s="11" t="n">
        <v>3.45824238604432</v>
      </c>
      <c r="N17" s="11" t="n">
        <v>3.45824238604429</v>
      </c>
      <c r="O17" s="11" t="n">
        <v>3.5527136788005E-014</v>
      </c>
      <c r="P17" s="11" t="n">
        <v>2.10160504427097E-014</v>
      </c>
      <c r="Q17" s="11" t="n">
        <v>4.65268229894461E-014</v>
      </c>
      <c r="R17" s="11" t="n">
        <v>4.65268229894461E-014</v>
      </c>
      <c r="S17" s="11" t="n">
        <v>7.50510764646606E-014</v>
      </c>
      <c r="T17" s="11" t="n">
        <v>109</v>
      </c>
      <c r="U17" s="11" t="s">
        <v>260</v>
      </c>
      <c r="V17" s="11" t="s">
        <v>261</v>
      </c>
      <c r="W17" s="11" t="s">
        <v>262</v>
      </c>
      <c r="X17" s="11" t="s">
        <v>263</v>
      </c>
      <c r="Y17" s="11" t="s">
        <v>264</v>
      </c>
      <c r="Z17" s="11" t="n">
        <v>1.00482321118967E-007</v>
      </c>
      <c r="AA17" s="11" t="n">
        <v>0</v>
      </c>
      <c r="AB17" s="11" t="n">
        <v>1.0245283755019E-006</v>
      </c>
      <c r="AC17" s="11" t="n">
        <v>2.41483653945147E-006</v>
      </c>
      <c r="AD17" s="11" t="n">
        <v>1.00482321118967E-007</v>
      </c>
      <c r="AE17" s="11" t="n">
        <v>0</v>
      </c>
      <c r="AF17" s="11" t="n">
        <v>1.0245283755019E-006</v>
      </c>
      <c r="AG17" s="11" t="n">
        <v>2.41483653945147E-006</v>
      </c>
      <c r="AH17" s="11" t="n">
        <v>3.45824238604421</v>
      </c>
      <c r="AI17" s="11" t="n">
        <v>3.23453691596446</v>
      </c>
      <c r="AJ17" s="11" t="n">
        <v>8.43800497219678</v>
      </c>
      <c r="AK17" s="11" t="n">
        <v>9.84478301687576</v>
      </c>
      <c r="AL17" s="11" t="s">
        <v>237</v>
      </c>
      <c r="AM17" s="11" t="s">
        <v>191</v>
      </c>
      <c r="AN17" s="11" t="s">
        <v>198</v>
      </c>
      <c r="AO17" s="11" t="n">
        <v>1</v>
      </c>
    </row>
    <row r="18" customFormat="false" ht="15" hidden="false" customHeight="false" outlineLevel="0" collapsed="false">
      <c r="A18" s="11" t="s">
        <v>97</v>
      </c>
      <c r="B18" s="11" t="s">
        <v>51</v>
      </c>
      <c r="C18" s="11" t="s">
        <v>189</v>
      </c>
      <c r="D18" s="11" t="s">
        <v>249</v>
      </c>
      <c r="E18" s="11" t="s">
        <v>191</v>
      </c>
      <c r="F18" s="11" t="s">
        <v>191</v>
      </c>
      <c r="G18" s="11" t="n">
        <v>1</v>
      </c>
      <c r="H18" s="11" t="n">
        <v>1</v>
      </c>
      <c r="I18" s="11" t="s">
        <v>191</v>
      </c>
      <c r="J18" s="11" t="n">
        <v>1</v>
      </c>
      <c r="K18" s="11" t="n">
        <v>0</v>
      </c>
      <c r="L18" s="11" t="n">
        <v>-0.61556014687069</v>
      </c>
      <c r="M18" s="11" t="n">
        <v>5.15211384699927</v>
      </c>
      <c r="N18" s="11" t="n">
        <v>5.15211384699923</v>
      </c>
      <c r="O18" s="11" t="n">
        <v>4.35207425653061E-014</v>
      </c>
      <c r="P18" s="11" t="n">
        <v>2.7480044312314E-014</v>
      </c>
      <c r="Q18" s="11" t="n">
        <v>8.91641116729736E-014</v>
      </c>
      <c r="R18" s="11" t="n">
        <v>8.91641116729736E-014</v>
      </c>
      <c r="S18" s="11" t="n">
        <v>1.58983937126322E-013</v>
      </c>
      <c r="T18" s="11" t="n">
        <v>115</v>
      </c>
      <c r="U18" s="11" t="s">
        <v>265</v>
      </c>
      <c r="V18" s="11" t="s">
        <v>266</v>
      </c>
      <c r="W18" s="11" t="s">
        <v>267</v>
      </c>
      <c r="X18" s="11" t="s">
        <v>268</v>
      </c>
      <c r="Y18" s="11" t="s">
        <v>269</v>
      </c>
      <c r="Z18" s="11" t="n">
        <v>1.84329189191187E-007</v>
      </c>
      <c r="AA18" s="11" t="n">
        <v>0</v>
      </c>
      <c r="AB18" s="11" t="n">
        <v>1.70754729250319E-006</v>
      </c>
      <c r="AC18" s="11" t="n">
        <v>2.41483653945147E-006</v>
      </c>
      <c r="AD18" s="11" t="n">
        <v>1.84329189191187E-007</v>
      </c>
      <c r="AE18" s="11" t="n">
        <v>0</v>
      </c>
      <c r="AF18" s="11" t="n">
        <v>1.70754729250319E-006</v>
      </c>
      <c r="AG18" s="11" t="n">
        <v>2.41483653945147E-006</v>
      </c>
      <c r="AH18" s="11" t="n">
        <v>5.15211384699907</v>
      </c>
      <c r="AI18" s="11" t="n">
        <v>4.11551088074755</v>
      </c>
      <c r="AJ18" s="11" t="n">
        <v>11.9876125333323</v>
      </c>
      <c r="AK18" s="11" t="n">
        <v>13.9696626997302</v>
      </c>
      <c r="AL18" s="11" t="s">
        <v>237</v>
      </c>
      <c r="AM18" s="11" t="s">
        <v>191</v>
      </c>
      <c r="AN18" s="11" t="s">
        <v>198</v>
      </c>
      <c r="AO18" s="11" t="n">
        <v>1</v>
      </c>
    </row>
    <row r="19" customFormat="false" ht="15" hidden="false" customHeight="false" outlineLevel="0" collapsed="false">
      <c r="A19" s="11" t="s">
        <v>98</v>
      </c>
      <c r="B19" s="11" t="s">
        <v>51</v>
      </c>
      <c r="C19" s="11" t="s">
        <v>189</v>
      </c>
      <c r="D19" s="11" t="s">
        <v>249</v>
      </c>
      <c r="E19" s="11" t="s">
        <v>191</v>
      </c>
      <c r="F19" s="11" t="s">
        <v>191</v>
      </c>
      <c r="G19" s="11" t="n">
        <v>1</v>
      </c>
      <c r="H19" s="11" t="n">
        <v>1</v>
      </c>
      <c r="I19" s="11" t="s">
        <v>191</v>
      </c>
      <c r="J19" s="11" t="n">
        <v>1</v>
      </c>
      <c r="K19" s="11" t="n">
        <v>0</v>
      </c>
      <c r="L19" s="11" t="n">
        <v>0.739596428738453</v>
      </c>
      <c r="M19" s="11" t="n">
        <v>4.30210145542853</v>
      </c>
      <c r="N19" s="11" t="n">
        <v>4.30210145542743</v>
      </c>
      <c r="O19" s="11" t="n">
        <v>1.09956488358876E-012</v>
      </c>
      <c r="P19" s="11" t="n">
        <v>2.55331296448791E-014</v>
      </c>
      <c r="Q19" s="11" t="n">
        <v>7.10889595793335E-014</v>
      </c>
      <c r="R19" s="11" t="n">
        <v>7.10889595793335E-014</v>
      </c>
      <c r="S19" s="11" t="n">
        <v>1.4388490399142E-012</v>
      </c>
      <c r="T19" s="11" t="n">
        <v>99</v>
      </c>
      <c r="U19" s="11" t="s">
        <v>270</v>
      </c>
      <c r="V19" s="11" t="s">
        <v>271</v>
      </c>
      <c r="W19" s="11" t="s">
        <v>272</v>
      </c>
      <c r="X19" s="11" t="s">
        <v>273</v>
      </c>
      <c r="Y19" s="11" t="s">
        <v>274</v>
      </c>
      <c r="Z19" s="11" t="n">
        <v>1.2788000297445E-007</v>
      </c>
      <c r="AA19" s="11" t="n">
        <v>0</v>
      </c>
      <c r="AB19" s="11" t="n">
        <v>1.70754729250319E-006</v>
      </c>
      <c r="AC19" s="11" t="n">
        <v>2.41483653945147E-006</v>
      </c>
      <c r="AD19" s="11" t="n">
        <v>1.2788000297445E-007</v>
      </c>
      <c r="AE19" s="11" t="n">
        <v>0</v>
      </c>
      <c r="AF19" s="11" t="n">
        <v>1.70754729250319E-006</v>
      </c>
      <c r="AG19" s="11" t="n">
        <v>2.41483653945147E-006</v>
      </c>
      <c r="AH19" s="11" t="n">
        <v>4.30210145542599</v>
      </c>
      <c r="AI19" s="11" t="n">
        <v>3.42563547294003</v>
      </c>
      <c r="AJ19" s="11" t="n">
        <v>15.0486255265103</v>
      </c>
      <c r="AK19" s="11" t="n">
        <v>15.9535617743647</v>
      </c>
      <c r="AL19" s="11" t="s">
        <v>237</v>
      </c>
      <c r="AM19" s="11" t="s">
        <v>191</v>
      </c>
      <c r="AN19" s="11" t="s">
        <v>198</v>
      </c>
      <c r="AO19" s="11" t="n">
        <v>1</v>
      </c>
    </row>
    <row r="20" customFormat="false" ht="15" hidden="false" customHeight="false" outlineLevel="0" collapsed="false">
      <c r="A20" s="11" t="s">
        <v>99</v>
      </c>
      <c r="B20" s="11" t="s">
        <v>51</v>
      </c>
      <c r="C20" s="11" t="s">
        <v>204</v>
      </c>
      <c r="D20" s="11" t="s">
        <v>249</v>
      </c>
      <c r="E20" s="11" t="s">
        <v>191</v>
      </c>
      <c r="F20" s="11" t="s">
        <v>191</v>
      </c>
      <c r="G20" s="11" t="n">
        <v>1</v>
      </c>
      <c r="H20" s="11" t="n">
        <v>1</v>
      </c>
      <c r="I20" s="11" t="s">
        <v>191</v>
      </c>
      <c r="J20" s="11" t="n">
        <v>1</v>
      </c>
      <c r="K20" s="11" t="n">
        <v>0</v>
      </c>
      <c r="L20" s="11" t="n">
        <v>-1.59945176339875</v>
      </c>
      <c r="M20" s="11" t="n">
        <v>5.21440027565348</v>
      </c>
      <c r="N20" s="11" t="n">
        <v>5.21440027565374</v>
      </c>
      <c r="O20" s="11" t="n">
        <v>2.64677169070637E-013</v>
      </c>
      <c r="P20" s="11" t="n">
        <v>2.79958652825535E-014</v>
      </c>
      <c r="Q20" s="11" t="n">
        <v>5.90091631821035E-014</v>
      </c>
      <c r="R20" s="11" t="n">
        <v>5.90091631821035E-014</v>
      </c>
      <c r="S20" s="11" t="n">
        <v>5.39124300757976E-013</v>
      </c>
      <c r="T20" s="11" t="n">
        <v>119</v>
      </c>
      <c r="U20" s="11" t="s">
        <v>275</v>
      </c>
      <c r="V20" s="11" t="s">
        <v>276</v>
      </c>
      <c r="W20" s="11" t="s">
        <v>277</v>
      </c>
      <c r="X20" s="11" t="s">
        <v>278</v>
      </c>
      <c r="Y20" s="11" t="s">
        <v>279</v>
      </c>
      <c r="Z20" s="11" t="n">
        <v>1.41029446440548E-007</v>
      </c>
      <c r="AA20" s="11" t="n">
        <v>0</v>
      </c>
      <c r="AB20" s="11" t="n">
        <v>1.70754729250319E-006</v>
      </c>
      <c r="AC20" s="11" t="n">
        <v>2.41483653945147E-006</v>
      </c>
      <c r="AD20" s="11" t="n">
        <v>1.41029446440548E-007</v>
      </c>
      <c r="AE20" s="11" t="n">
        <v>0</v>
      </c>
      <c r="AF20" s="11" t="n">
        <v>1.70754729250319E-006</v>
      </c>
      <c r="AG20" s="11" t="n">
        <v>2.41483653945147E-006</v>
      </c>
      <c r="AH20" s="11" t="n">
        <v>5.21440027565321</v>
      </c>
      <c r="AI20" s="11" t="n">
        <v>3.55100717347253</v>
      </c>
      <c r="AJ20" s="11" t="n">
        <v>16.2093778802922</v>
      </c>
      <c r="AK20" s="11" t="n">
        <v>17.9905729126905</v>
      </c>
      <c r="AL20" s="11" t="s">
        <v>197</v>
      </c>
      <c r="AM20" s="11" t="s">
        <v>191</v>
      </c>
      <c r="AN20" s="11" t="s">
        <v>198</v>
      </c>
      <c r="AO20" s="11" t="n">
        <v>1</v>
      </c>
    </row>
    <row r="21" customFormat="false" ht="15" hidden="false" customHeight="false" outlineLevel="0" collapsed="false">
      <c r="A21" s="11" t="s">
        <v>100</v>
      </c>
      <c r="B21" s="11" t="s">
        <v>51</v>
      </c>
      <c r="C21" s="11" t="s">
        <v>204</v>
      </c>
      <c r="D21" s="11" t="s">
        <v>249</v>
      </c>
      <c r="E21" s="11" t="s">
        <v>191</v>
      </c>
      <c r="F21" s="11" t="s">
        <v>191</v>
      </c>
      <c r="G21" s="11" t="n">
        <v>1</v>
      </c>
      <c r="H21" s="11" t="n">
        <v>1</v>
      </c>
      <c r="I21" s="11" t="s">
        <v>191</v>
      </c>
      <c r="J21" s="11" t="n">
        <v>1</v>
      </c>
      <c r="K21" s="11" t="n">
        <v>0</v>
      </c>
      <c r="L21" s="11" t="n">
        <v>-1.45699793465196</v>
      </c>
      <c r="M21" s="11" t="n">
        <v>3.99399788491561</v>
      </c>
      <c r="N21" s="11" t="n">
        <v>3.99399788491571</v>
      </c>
      <c r="O21" s="11" t="n">
        <v>9.68114477473137E-014</v>
      </c>
      <c r="P21" s="11" t="n">
        <v>2.26582882838818E-014</v>
      </c>
      <c r="Q21" s="11" t="n">
        <v>4.83934996913313E-014</v>
      </c>
      <c r="R21" s="11" t="n">
        <v>4.83934996913313E-014</v>
      </c>
      <c r="S21" s="11" t="n">
        <v>4.2854608750531E-013</v>
      </c>
      <c r="T21" s="11" t="n">
        <v>174</v>
      </c>
      <c r="U21" s="11" t="s">
        <v>280</v>
      </c>
      <c r="V21" s="11" t="s">
        <v>281</v>
      </c>
      <c r="W21" s="11" t="s">
        <v>282</v>
      </c>
      <c r="X21" s="11" t="s">
        <v>283</v>
      </c>
      <c r="Y21" s="11" t="s">
        <v>284</v>
      </c>
      <c r="Z21" s="11" t="n">
        <v>8.66376829535751E-008</v>
      </c>
      <c r="AA21" s="11" t="n">
        <v>0</v>
      </c>
      <c r="AB21" s="11" t="n">
        <v>0</v>
      </c>
      <c r="AC21" s="11" t="n">
        <v>2.41483653945147E-006</v>
      </c>
      <c r="AD21" s="11" t="n">
        <v>8.66376829535751E-008</v>
      </c>
      <c r="AE21" s="11" t="n">
        <v>0</v>
      </c>
      <c r="AF21" s="11" t="n">
        <v>0</v>
      </c>
      <c r="AG21" s="11" t="n">
        <v>2.41483653945147E-006</v>
      </c>
      <c r="AH21" s="11" t="n">
        <v>3.99399788491528</v>
      </c>
      <c r="AI21" s="11" t="n">
        <v>2.63197469774659</v>
      </c>
      <c r="AJ21" s="11" t="n">
        <v>8.47544413695813</v>
      </c>
      <c r="AK21" s="11" t="n">
        <v>11.0135469817284</v>
      </c>
      <c r="AL21" s="11" t="s">
        <v>237</v>
      </c>
      <c r="AM21" s="11" t="s">
        <v>191</v>
      </c>
      <c r="AN21" s="11" t="s">
        <v>198</v>
      </c>
      <c r="AO21" s="11" t="n">
        <v>1</v>
      </c>
    </row>
    <row r="22" customFormat="false" ht="15" hidden="false" customHeight="false" outlineLevel="0" collapsed="false">
      <c r="A22" s="11" t="s">
        <v>101</v>
      </c>
      <c r="B22" s="11" t="s">
        <v>91</v>
      </c>
      <c r="C22" s="11" t="s">
        <v>189</v>
      </c>
      <c r="D22" s="11" t="s">
        <v>249</v>
      </c>
      <c r="E22" s="11" t="s">
        <v>191</v>
      </c>
      <c r="F22" s="11" t="s">
        <v>191</v>
      </c>
      <c r="G22" s="11" t="n">
        <v>1</v>
      </c>
      <c r="H22" s="11" t="n">
        <v>1</v>
      </c>
      <c r="I22" s="11" t="s">
        <v>191</v>
      </c>
      <c r="J22" s="11" t="n">
        <v>1</v>
      </c>
      <c r="K22" s="11" t="n">
        <v>0</v>
      </c>
      <c r="L22" s="11" t="n">
        <v>0.578743490119335</v>
      </c>
      <c r="M22" s="11" t="n">
        <v>5.13921159931191</v>
      </c>
      <c r="N22" s="11" t="n">
        <v>5.13921159931081</v>
      </c>
      <c r="O22" s="11" t="n">
        <v>1.10311759726756E-012</v>
      </c>
      <c r="P22" s="11" t="n">
        <v>5.06417256467929E-015</v>
      </c>
      <c r="Q22" s="11" t="n">
        <v>1.35973995551052E-014</v>
      </c>
      <c r="R22" s="11" t="n">
        <v>1.35973995551052E-014</v>
      </c>
      <c r="S22" s="11" t="n">
        <v>8.97948382316827E-013</v>
      </c>
      <c r="T22" s="11" t="n">
        <v>78</v>
      </c>
      <c r="U22" s="11" t="s">
        <v>285</v>
      </c>
      <c r="V22" s="11" t="s">
        <v>286</v>
      </c>
      <c r="W22" s="11" t="s">
        <v>287</v>
      </c>
      <c r="X22" s="11" t="s">
        <v>288</v>
      </c>
      <c r="Y22" s="11" t="s">
        <v>289</v>
      </c>
      <c r="Z22" s="11" t="n">
        <v>8.75665278206763E-008</v>
      </c>
      <c r="AA22" s="11" t="n">
        <v>0</v>
      </c>
      <c r="AB22" s="11" t="n">
        <v>2.56132093875464E-007</v>
      </c>
      <c r="AC22" s="11" t="n">
        <v>1.70754729250319E-006</v>
      </c>
      <c r="AD22" s="11" t="n">
        <v>8.75665278206763E-008</v>
      </c>
      <c r="AE22" s="11" t="n">
        <v>0</v>
      </c>
      <c r="AF22" s="11" t="n">
        <v>2.56132093875464E-007</v>
      </c>
      <c r="AG22" s="11" t="n">
        <v>1.70754729250319E-006</v>
      </c>
      <c r="AH22" s="11" t="n">
        <v>5.13921159930991</v>
      </c>
      <c r="AI22" s="11" t="n">
        <v>6.02225272993406</v>
      </c>
      <c r="AJ22" s="11" t="n">
        <v>10.7679315289886</v>
      </c>
      <c r="AK22" s="11" t="n">
        <v>12.0288528011612</v>
      </c>
      <c r="AL22" s="11" t="s">
        <v>237</v>
      </c>
      <c r="AM22" s="11" t="s">
        <v>191</v>
      </c>
      <c r="AN22" s="11" t="s">
        <v>198</v>
      </c>
      <c r="AO22" s="11" t="n">
        <v>1</v>
      </c>
    </row>
    <row r="23" customFormat="false" ht="15" hidden="false" customHeight="false" outlineLevel="0" collapsed="false">
      <c r="A23" s="11" t="s">
        <v>102</v>
      </c>
      <c r="B23" s="11" t="s">
        <v>91</v>
      </c>
      <c r="C23" s="11" t="s">
        <v>189</v>
      </c>
      <c r="D23" s="11" t="s">
        <v>249</v>
      </c>
      <c r="E23" s="11" t="s">
        <v>191</v>
      </c>
      <c r="F23" s="11" t="s">
        <v>191</v>
      </c>
      <c r="G23" s="11" t="n">
        <v>1</v>
      </c>
      <c r="H23" s="11" t="n">
        <v>1</v>
      </c>
      <c r="I23" s="11" t="s">
        <v>191</v>
      </c>
      <c r="J23" s="11" t="n">
        <v>1</v>
      </c>
      <c r="K23" s="11" t="n">
        <v>1</v>
      </c>
      <c r="L23" s="11" t="n">
        <v>-1.20031130579395</v>
      </c>
      <c r="M23" s="11" t="n">
        <v>4.81263365850267</v>
      </c>
      <c r="N23" s="11" t="n">
        <v>4.81263365850299</v>
      </c>
      <c r="O23" s="11" t="n">
        <v>3.13526982154144E-013</v>
      </c>
      <c r="P23" s="11" t="n">
        <v>2.04019934872218E-014</v>
      </c>
      <c r="Q23" s="11" t="n">
        <v>4.08865160135725E-014</v>
      </c>
      <c r="R23" s="11" t="n">
        <v>4.08865160135725E-014</v>
      </c>
      <c r="S23" s="11" t="n">
        <v>4.87609952415369E-013</v>
      </c>
      <c r="T23" s="11" t="n">
        <v>107</v>
      </c>
      <c r="U23" s="11" t="s">
        <v>290</v>
      </c>
      <c r="V23" s="11" t="s">
        <v>291</v>
      </c>
      <c r="W23" s="11" t="s">
        <v>292</v>
      </c>
      <c r="X23" s="11" t="s">
        <v>293</v>
      </c>
      <c r="Y23" s="11" t="s">
        <v>294</v>
      </c>
      <c r="Z23" s="11" t="n">
        <v>1.63456012835267E-007</v>
      </c>
      <c r="AA23" s="11" t="n">
        <v>0</v>
      </c>
      <c r="AB23" s="11" t="n">
        <v>1.70754729250319E-006</v>
      </c>
      <c r="AC23" s="11" t="n">
        <v>2.41483653945147E-006</v>
      </c>
      <c r="AD23" s="11" t="n">
        <v>1.63456012835267E-007</v>
      </c>
      <c r="AE23" s="11" t="n">
        <v>0</v>
      </c>
      <c r="AF23" s="11" t="n">
        <v>1.70754729250319E-006</v>
      </c>
      <c r="AG23" s="11" t="n">
        <v>2.41483653945147E-006</v>
      </c>
      <c r="AH23" s="11" t="n">
        <v>4.8126336585025</v>
      </c>
      <c r="AI23" s="11" t="n">
        <v>4.97238886000298</v>
      </c>
      <c r="AJ23" s="11" t="n">
        <v>11.4451055682028</v>
      </c>
      <c r="AK23" s="11" t="n">
        <v>13.8953572720472</v>
      </c>
      <c r="AL23" s="11" t="s">
        <v>237</v>
      </c>
      <c r="AM23" s="11" t="s">
        <v>191</v>
      </c>
      <c r="AN23" s="11" t="s">
        <v>198</v>
      </c>
      <c r="AO23" s="11" t="n">
        <v>1</v>
      </c>
    </row>
    <row r="24" customFormat="false" ht="15" hidden="false" customHeight="false" outlineLevel="0" collapsed="false">
      <c r="A24" s="11" t="s">
        <v>103</v>
      </c>
      <c r="B24" s="11" t="s">
        <v>91</v>
      </c>
      <c r="C24" s="11" t="s">
        <v>189</v>
      </c>
      <c r="D24" s="11" t="s">
        <v>249</v>
      </c>
      <c r="E24" s="11" t="s">
        <v>191</v>
      </c>
      <c r="F24" s="11" t="s">
        <v>191</v>
      </c>
      <c r="G24" s="11" t="n">
        <v>1</v>
      </c>
      <c r="H24" s="11" t="n">
        <v>1</v>
      </c>
      <c r="I24" s="11" t="s">
        <v>191</v>
      </c>
      <c r="J24" s="11" t="n">
        <v>1</v>
      </c>
      <c r="K24" s="11" t="n">
        <v>1</v>
      </c>
      <c r="L24" s="11" t="n">
        <v>0.590623675092705</v>
      </c>
      <c r="M24" s="11" t="n">
        <v>5.90747898677031</v>
      </c>
      <c r="N24" s="11" t="n">
        <v>5.90747898677071</v>
      </c>
      <c r="O24" s="11" t="n">
        <v>4.01456645704457E-013</v>
      </c>
      <c r="P24" s="11" t="n">
        <v>3.79251892463974E-014</v>
      </c>
      <c r="Q24" s="11" t="n">
        <v>8.1773032027145E-014</v>
      </c>
      <c r="R24" s="11" t="n">
        <v>8.1773032027145E-014</v>
      </c>
      <c r="S24" s="11" t="n">
        <v>1.06847863889925E-012</v>
      </c>
      <c r="T24" s="11" t="n">
        <v>107</v>
      </c>
      <c r="U24" s="11" t="s">
        <v>295</v>
      </c>
      <c r="V24" s="11" t="s">
        <v>296</v>
      </c>
      <c r="W24" s="11" t="s">
        <v>297</v>
      </c>
      <c r="X24" s="11" t="s">
        <v>298</v>
      </c>
      <c r="Y24" s="11" t="s">
        <v>299</v>
      </c>
      <c r="Z24" s="11" t="n">
        <v>1.66194038990469E-007</v>
      </c>
      <c r="AA24" s="11" t="n">
        <v>0</v>
      </c>
      <c r="AB24" s="11" t="n">
        <v>1.70754729250319E-006</v>
      </c>
      <c r="AC24" s="11" t="n">
        <v>2.41483653945147E-006</v>
      </c>
      <c r="AD24" s="11" t="n">
        <v>1.66194038990469E-007</v>
      </c>
      <c r="AE24" s="11" t="n">
        <v>0</v>
      </c>
      <c r="AF24" s="11" t="n">
        <v>1.70754729250319E-006</v>
      </c>
      <c r="AG24" s="11" t="n">
        <v>2.41483653945147E-006</v>
      </c>
      <c r="AH24" s="11" t="n">
        <v>5.90747898676964</v>
      </c>
      <c r="AI24" s="11" t="n">
        <v>4.70824453061611</v>
      </c>
      <c r="AJ24" s="11" t="n">
        <v>17.6122538611568</v>
      </c>
      <c r="AK24" s="11" t="n">
        <v>19.6936174661514</v>
      </c>
      <c r="AL24" s="11" t="s">
        <v>237</v>
      </c>
      <c r="AM24" s="11" t="s">
        <v>191</v>
      </c>
      <c r="AN24" s="11" t="s">
        <v>198</v>
      </c>
      <c r="AO24" s="11" t="n">
        <v>1</v>
      </c>
    </row>
    <row r="25" customFormat="false" ht="15" hidden="false" customHeight="false" outlineLevel="0" collapsed="false">
      <c r="A25" s="11" t="s">
        <v>104</v>
      </c>
      <c r="B25" s="11" t="s">
        <v>51</v>
      </c>
      <c r="C25" s="11" t="s">
        <v>204</v>
      </c>
      <c r="D25" s="11" t="s">
        <v>300</v>
      </c>
      <c r="E25" s="11" t="s">
        <v>191</v>
      </c>
      <c r="F25" s="11" t="s">
        <v>191</v>
      </c>
      <c r="G25" s="11" t="n">
        <v>1</v>
      </c>
      <c r="H25" s="11" t="n">
        <v>1</v>
      </c>
      <c r="I25" s="11" t="s">
        <v>191</v>
      </c>
      <c r="J25" s="11" t="n">
        <v>1</v>
      </c>
      <c r="K25" s="11" t="n">
        <v>1</v>
      </c>
      <c r="L25" s="11" t="n">
        <v>0.0799419950528595</v>
      </c>
      <c r="M25" s="11" t="n">
        <v>6.37921176956997</v>
      </c>
      <c r="N25" s="11" t="n">
        <v>6.37921176957001</v>
      </c>
      <c r="O25" s="11" t="n">
        <v>4.61852778244065E-014</v>
      </c>
      <c r="P25" s="11" t="n">
        <v>4.07575558200276E-014</v>
      </c>
      <c r="Q25" s="11" t="n">
        <v>9.69460578291336E-014</v>
      </c>
      <c r="R25" s="11" t="n">
        <v>9.69460578291336E-014</v>
      </c>
      <c r="S25" s="11" t="n">
        <v>1.49036338825681E-012</v>
      </c>
      <c r="T25" s="11" t="n">
        <v>117</v>
      </c>
      <c r="U25" s="11" t="s">
        <v>301</v>
      </c>
      <c r="V25" s="11" t="s">
        <v>302</v>
      </c>
      <c r="W25" s="11" t="s">
        <v>303</v>
      </c>
      <c r="X25" s="11" t="s">
        <v>304</v>
      </c>
      <c r="Y25" s="11" t="s">
        <v>305</v>
      </c>
      <c r="Z25" s="11" t="n">
        <v>7.29721065172302E-008</v>
      </c>
      <c r="AA25" s="11" t="n">
        <v>0</v>
      </c>
      <c r="AB25" s="11" t="n">
        <v>0</v>
      </c>
      <c r="AC25" s="11" t="n">
        <v>1.70754729250319E-006</v>
      </c>
      <c r="AD25" s="11" t="n">
        <v>7.29721065172302E-008</v>
      </c>
      <c r="AE25" s="11" t="n">
        <v>0</v>
      </c>
      <c r="AF25" s="11" t="n">
        <v>0</v>
      </c>
      <c r="AG25" s="11" t="n">
        <v>1.70754729250319E-006</v>
      </c>
      <c r="AH25" s="11" t="n">
        <v>6.37921176956852</v>
      </c>
      <c r="AI25" s="11" t="n">
        <v>3.64462337435375</v>
      </c>
      <c r="AJ25" s="11" t="n">
        <v>18.658509959479</v>
      </c>
      <c r="AK25" s="11" t="n">
        <v>19.6372370515975</v>
      </c>
      <c r="AL25" s="11" t="s">
        <v>197</v>
      </c>
      <c r="AM25" s="11" t="s">
        <v>191</v>
      </c>
      <c r="AN25" s="11" t="s">
        <v>198</v>
      </c>
      <c r="AO25" s="11" t="n">
        <v>1</v>
      </c>
    </row>
    <row r="26" customFormat="false" ht="15" hidden="false" customHeight="false" outlineLevel="0" collapsed="false">
      <c r="A26" s="11" t="s">
        <v>105</v>
      </c>
      <c r="B26" s="11" t="s">
        <v>51</v>
      </c>
      <c r="C26" s="11" t="s">
        <v>204</v>
      </c>
      <c r="D26" s="11" t="s">
        <v>300</v>
      </c>
      <c r="E26" s="11" t="s">
        <v>205</v>
      </c>
      <c r="F26" s="11" t="s">
        <v>205</v>
      </c>
      <c r="G26" s="11" t="n">
        <v>1</v>
      </c>
      <c r="H26" s="11" t="n">
        <v>1</v>
      </c>
      <c r="I26" s="11" t="s">
        <v>205</v>
      </c>
      <c r="J26" s="11" t="n">
        <v>1</v>
      </c>
      <c r="K26" s="11" t="n">
        <v>0</v>
      </c>
      <c r="L26" s="11" t="n">
        <v>-0.117634221812082</v>
      </c>
      <c r="M26" s="11" t="n">
        <v>5.32372737297024</v>
      </c>
      <c r="N26" s="11" t="n">
        <v>5.32372737297025</v>
      </c>
      <c r="O26" s="11" t="n">
        <v>9.76996261670138E-015</v>
      </c>
      <c r="P26" s="11" t="n">
        <v>3.61796444978073E-014</v>
      </c>
      <c r="Q26" s="11" t="n">
        <v>8.08254562088053E-014</v>
      </c>
      <c r="R26" s="11" t="n">
        <v>8.08254562088053E-014</v>
      </c>
      <c r="S26" s="11" t="n">
        <v>2.0961010704923E-013</v>
      </c>
      <c r="T26" s="11" t="n">
        <v>128</v>
      </c>
      <c r="U26" s="11" t="s">
        <v>306</v>
      </c>
      <c r="V26" s="11" t="s">
        <v>307</v>
      </c>
      <c r="W26" s="11" t="s">
        <v>308</v>
      </c>
      <c r="X26" s="11" t="s">
        <v>309</v>
      </c>
      <c r="Y26" s="11" t="s">
        <v>310</v>
      </c>
      <c r="Z26" s="11" t="n">
        <v>1.9228868235932E-007</v>
      </c>
      <c r="AA26" s="11" t="n">
        <v>0</v>
      </c>
      <c r="AB26" s="11" t="n">
        <v>1.70754729250319E-006</v>
      </c>
      <c r="AC26" s="11" t="n">
        <v>2.41483653945147E-006</v>
      </c>
      <c r="AD26" s="11" t="n">
        <v>1.9228868235932E-007</v>
      </c>
      <c r="AE26" s="11" t="n">
        <v>0</v>
      </c>
      <c r="AF26" s="11" t="n">
        <v>1.70754729250319E-006</v>
      </c>
      <c r="AG26" s="11" t="n">
        <v>2.41483653945147E-006</v>
      </c>
      <c r="AH26" s="11" t="n">
        <v>5.32372737297004</v>
      </c>
      <c r="AI26" s="11" t="n">
        <v>4.46704940519163</v>
      </c>
      <c r="AJ26" s="11" t="n">
        <v>10.2519715877342</v>
      </c>
      <c r="AK26" s="11" t="n">
        <v>12.2518478668735</v>
      </c>
      <c r="AL26" s="11" t="s">
        <v>211</v>
      </c>
      <c r="AM26" s="11" t="s">
        <v>205</v>
      </c>
      <c r="AN26" s="11" t="s">
        <v>198</v>
      </c>
      <c r="AO26" s="11" t="n">
        <v>1</v>
      </c>
    </row>
    <row r="27" customFormat="false" ht="15" hidden="false" customHeight="false" outlineLevel="0" collapsed="false">
      <c r="A27" s="11" t="s">
        <v>106</v>
      </c>
      <c r="B27" s="11" t="s">
        <v>51</v>
      </c>
      <c r="C27" s="11" t="s">
        <v>189</v>
      </c>
      <c r="D27" s="11" t="s">
        <v>300</v>
      </c>
      <c r="E27" s="11" t="s">
        <v>191</v>
      </c>
      <c r="F27" s="11" t="s">
        <v>191</v>
      </c>
      <c r="G27" s="11" t="n">
        <v>1</v>
      </c>
      <c r="H27" s="11" t="n">
        <v>1</v>
      </c>
      <c r="I27" s="11" t="s">
        <v>191</v>
      </c>
      <c r="J27" s="11" t="n">
        <v>1</v>
      </c>
      <c r="K27" s="11" t="n">
        <v>0</v>
      </c>
      <c r="L27" s="11" t="n">
        <v>-2.14068896202267</v>
      </c>
      <c r="M27" s="11" t="n">
        <v>3.73948963331854</v>
      </c>
      <c r="N27" s="11" t="n">
        <v>3.73948963331856</v>
      </c>
      <c r="O27" s="11" t="n">
        <v>2.70894418008538E-014</v>
      </c>
      <c r="P27" s="11" t="n">
        <v>1.58839365032708E-014</v>
      </c>
      <c r="Q27" s="11" t="n">
        <v>3.64275408404521E-014</v>
      </c>
      <c r="R27" s="11" t="n">
        <v>3.64275408404521E-014</v>
      </c>
      <c r="S27" s="11" t="n">
        <v>1.94511073914327E-013</v>
      </c>
      <c r="T27" s="11" t="n">
        <v>122</v>
      </c>
      <c r="U27" s="11" t="s">
        <v>311</v>
      </c>
      <c r="V27" s="11" t="s">
        <v>312</v>
      </c>
      <c r="W27" s="11" t="s">
        <v>313</v>
      </c>
      <c r="X27" s="11" t="s">
        <v>314</v>
      </c>
      <c r="Y27" s="11" t="s">
        <v>315</v>
      </c>
      <c r="Z27" s="11" t="n">
        <v>1.0377147782353E-007</v>
      </c>
      <c r="AA27" s="11" t="n">
        <v>0</v>
      </c>
      <c r="AB27" s="11" t="n">
        <v>1.62216992787801E-006</v>
      </c>
      <c r="AC27" s="11" t="n">
        <v>2.41483653945147E-006</v>
      </c>
      <c r="AD27" s="11" t="n">
        <v>1.0377147782353E-007</v>
      </c>
      <c r="AE27" s="11" t="n">
        <v>0</v>
      </c>
      <c r="AF27" s="11" t="n">
        <v>1.62216992787801E-006</v>
      </c>
      <c r="AG27" s="11" t="n">
        <v>2.41483653945147E-006</v>
      </c>
      <c r="AH27" s="11" t="n">
        <v>3.73948963331837</v>
      </c>
      <c r="AI27" s="11" t="n">
        <v>3.23133234756105</v>
      </c>
      <c r="AJ27" s="11" t="n">
        <v>9.41678804555859</v>
      </c>
      <c r="AK27" s="11" t="n">
        <v>11.3566115750343</v>
      </c>
      <c r="AL27" s="11" t="s">
        <v>237</v>
      </c>
      <c r="AM27" s="11" t="s">
        <v>191</v>
      </c>
      <c r="AN27" s="11" t="s">
        <v>198</v>
      </c>
      <c r="AO27" s="11" t="n">
        <v>1</v>
      </c>
    </row>
    <row r="28" customFormat="false" ht="15" hidden="false" customHeight="false" outlineLevel="0" collapsed="false">
      <c r="A28" s="11" t="s">
        <v>107</v>
      </c>
      <c r="B28" s="11" t="s">
        <v>51</v>
      </c>
      <c r="C28" s="11" t="s">
        <v>189</v>
      </c>
      <c r="D28" s="11" t="s">
        <v>300</v>
      </c>
      <c r="E28" s="11" t="s">
        <v>191</v>
      </c>
      <c r="F28" s="11" t="s">
        <v>191</v>
      </c>
      <c r="G28" s="11" t="n">
        <v>1</v>
      </c>
      <c r="H28" s="11" t="n">
        <v>1</v>
      </c>
      <c r="I28" s="11" t="s">
        <v>191</v>
      </c>
      <c r="J28" s="11" t="n">
        <v>1</v>
      </c>
      <c r="K28" s="11" t="n">
        <v>0</v>
      </c>
      <c r="L28" s="11" t="n">
        <v>-0.414933096288544</v>
      </c>
      <c r="M28" s="11" t="n">
        <v>3.32713286650569</v>
      </c>
      <c r="N28" s="11" t="n">
        <v>3.32713286650569</v>
      </c>
      <c r="O28" s="11" t="n">
        <v>7.105427357601E-015</v>
      </c>
      <c r="P28" s="11" t="n">
        <v>1.59761726244324E-014</v>
      </c>
      <c r="Q28" s="11" t="n">
        <v>4.87108375157426E-014</v>
      </c>
      <c r="R28" s="11" t="n">
        <v>4.87108375157426E-014</v>
      </c>
      <c r="S28" s="11" t="n">
        <v>3.5171865420125E-013</v>
      </c>
      <c r="T28" s="11" t="n">
        <v>109</v>
      </c>
      <c r="U28" s="11" t="s">
        <v>316</v>
      </c>
      <c r="V28" s="11" t="s">
        <v>317</v>
      </c>
      <c r="W28" s="11" t="s">
        <v>318</v>
      </c>
      <c r="X28" s="11" t="s">
        <v>319</v>
      </c>
      <c r="Y28" s="11" t="s">
        <v>320</v>
      </c>
      <c r="Z28" s="11" t="n">
        <v>9.39934289451296E-008</v>
      </c>
      <c r="AA28" s="11" t="n">
        <v>0</v>
      </c>
      <c r="AB28" s="11" t="n">
        <v>1.0245283755019E-006</v>
      </c>
      <c r="AC28" s="11" t="n">
        <v>1.70754729250319E-006</v>
      </c>
      <c r="AD28" s="11" t="n">
        <v>9.39934289451296E-008</v>
      </c>
      <c r="AE28" s="11" t="n">
        <v>0</v>
      </c>
      <c r="AF28" s="11" t="n">
        <v>1.0245283755019E-006</v>
      </c>
      <c r="AG28" s="11" t="n">
        <v>1.70754729250319E-006</v>
      </c>
      <c r="AH28" s="11" t="n">
        <v>3.32713286650533</v>
      </c>
      <c r="AI28" s="11" t="n">
        <v>2.71896457926444</v>
      </c>
      <c r="AJ28" s="11" t="n">
        <v>8.58984806959904</v>
      </c>
      <c r="AK28" s="11" t="n">
        <v>10.0543630794064</v>
      </c>
      <c r="AL28" s="11" t="s">
        <v>197</v>
      </c>
      <c r="AM28" s="11" t="s">
        <v>191</v>
      </c>
      <c r="AN28" s="11" t="s">
        <v>198</v>
      </c>
      <c r="AO28" s="11" t="n">
        <v>1</v>
      </c>
    </row>
    <row r="29" customFormat="false" ht="15" hidden="false" customHeight="false" outlineLevel="0" collapsed="false">
      <c r="A29" s="11" t="s">
        <v>108</v>
      </c>
      <c r="B29" s="11" t="s">
        <v>51</v>
      </c>
      <c r="C29" s="11" t="s">
        <v>189</v>
      </c>
      <c r="D29" s="11" t="s">
        <v>300</v>
      </c>
      <c r="E29" s="11" t="s">
        <v>205</v>
      </c>
      <c r="F29" s="11" t="s">
        <v>205</v>
      </c>
      <c r="G29" s="11" t="n">
        <v>1</v>
      </c>
      <c r="H29" s="11" t="n">
        <v>1</v>
      </c>
      <c r="I29" s="11" t="s">
        <v>205</v>
      </c>
      <c r="J29" s="11" t="n">
        <v>1</v>
      </c>
      <c r="K29" s="11" t="n">
        <v>0</v>
      </c>
      <c r="L29" s="11" t="n">
        <v>-1.07345871719739</v>
      </c>
      <c r="M29" s="11" t="n">
        <v>4.44200191885717</v>
      </c>
      <c r="N29" s="11" t="n">
        <v>4.44200191885732</v>
      </c>
      <c r="O29" s="11" t="n">
        <v>1.50102152929321E-013</v>
      </c>
      <c r="P29" s="11" t="n">
        <v>1.57993346168281E-014</v>
      </c>
      <c r="Q29" s="11" t="n">
        <v>3.68219320629515E-014</v>
      </c>
      <c r="R29" s="11" t="n">
        <v>3.68219320629515E-014</v>
      </c>
      <c r="S29" s="11" t="n">
        <v>4.40536496171262E-013</v>
      </c>
      <c r="T29" s="11" t="n">
        <v>102</v>
      </c>
      <c r="U29" s="11" t="s">
        <v>321</v>
      </c>
      <c r="V29" s="11" t="s">
        <v>322</v>
      </c>
      <c r="W29" s="11" t="s">
        <v>323</v>
      </c>
      <c r="X29" s="11" t="s">
        <v>324</v>
      </c>
      <c r="Y29" s="11" t="s">
        <v>325</v>
      </c>
      <c r="Z29" s="11" t="n">
        <v>3.25006743181459E-007</v>
      </c>
      <c r="AA29" s="11" t="n">
        <v>0</v>
      </c>
      <c r="AB29" s="11" t="n">
        <v>1.70754729250319E-006</v>
      </c>
      <c r="AC29" s="11" t="n">
        <v>2.41483653945147E-006</v>
      </c>
      <c r="AD29" s="11" t="n">
        <v>3.25006743181459E-007</v>
      </c>
      <c r="AE29" s="11" t="n">
        <v>0</v>
      </c>
      <c r="AF29" s="11" t="n">
        <v>1.70754729250319E-006</v>
      </c>
      <c r="AG29" s="11" t="n">
        <v>2.41483653945147E-006</v>
      </c>
      <c r="AH29" s="11" t="n">
        <v>4.44200191885687</v>
      </c>
      <c r="AI29" s="11" t="n">
        <v>2.89200044749802</v>
      </c>
      <c r="AJ29" s="11" t="n">
        <v>14.160844330258</v>
      </c>
      <c r="AK29" s="11" t="n">
        <v>16.0838937383157</v>
      </c>
      <c r="AL29" s="11" t="s">
        <v>211</v>
      </c>
      <c r="AM29" s="11" t="s">
        <v>205</v>
      </c>
      <c r="AN29" s="11" t="s">
        <v>198</v>
      </c>
      <c r="AO29" s="11" t="n">
        <v>1</v>
      </c>
    </row>
    <row r="30" customFormat="false" ht="15" hidden="false" customHeight="false" outlineLevel="0" collapsed="false">
      <c r="A30" s="11" t="s">
        <v>109</v>
      </c>
      <c r="B30" s="11" t="s">
        <v>51</v>
      </c>
      <c r="C30" s="11" t="s">
        <v>189</v>
      </c>
      <c r="D30" s="11" t="s">
        <v>300</v>
      </c>
      <c r="E30" s="11" t="s">
        <v>191</v>
      </c>
      <c r="F30" s="11" t="s">
        <v>191</v>
      </c>
      <c r="G30" s="11" t="n">
        <v>1</v>
      </c>
      <c r="H30" s="11" t="n">
        <v>1</v>
      </c>
      <c r="I30" s="11" t="s">
        <v>191</v>
      </c>
      <c r="J30" s="11" t="n">
        <v>1</v>
      </c>
      <c r="K30" s="11" t="n">
        <v>0</v>
      </c>
      <c r="L30" s="11" t="n">
        <v>0.903727565339956</v>
      </c>
      <c r="M30" s="11" t="n">
        <v>5.94102716630453</v>
      </c>
      <c r="N30" s="11" t="n">
        <v>5.94102716630464</v>
      </c>
      <c r="O30" s="11" t="n">
        <v>1.11910480882216E-013</v>
      </c>
      <c r="P30" s="11" t="n">
        <v>1.07968533109409E-014</v>
      </c>
      <c r="Q30" s="11" t="n">
        <v>2.5438405243138E-014</v>
      </c>
      <c r="R30" s="11" t="n">
        <v>2.5438405243138E-014</v>
      </c>
      <c r="S30" s="11" t="n">
        <v>2.99316127438942E-013</v>
      </c>
      <c r="T30" s="11" t="n">
        <v>107</v>
      </c>
      <c r="U30" s="11" t="s">
        <v>326</v>
      </c>
      <c r="V30" s="11" t="s">
        <v>327</v>
      </c>
      <c r="W30" s="11" t="s">
        <v>328</v>
      </c>
      <c r="X30" s="11" t="s">
        <v>329</v>
      </c>
      <c r="Y30" s="11" t="s">
        <v>330</v>
      </c>
      <c r="Z30" s="11" t="n">
        <v>1.95372784657756E-007</v>
      </c>
      <c r="AA30" s="11" t="n">
        <v>0</v>
      </c>
      <c r="AB30" s="11" t="n">
        <v>1.70754729250319E-006</v>
      </c>
      <c r="AC30" s="11" t="n">
        <v>2.41483653945147E-006</v>
      </c>
      <c r="AD30" s="11" t="n">
        <v>1.95372784657756E-007</v>
      </c>
      <c r="AE30" s="11" t="n">
        <v>0</v>
      </c>
      <c r="AF30" s="11" t="n">
        <v>1.70754729250319E-006</v>
      </c>
      <c r="AG30" s="11" t="n">
        <v>2.41483653945147E-006</v>
      </c>
      <c r="AH30" s="11" t="n">
        <v>5.94102716630434</v>
      </c>
      <c r="AI30" s="11" t="n">
        <v>4.39004764032034</v>
      </c>
      <c r="AJ30" s="11" t="n">
        <v>13.8840239721272</v>
      </c>
      <c r="AK30" s="11" t="n">
        <v>15.1150159780975</v>
      </c>
      <c r="AL30" s="11" t="s">
        <v>197</v>
      </c>
      <c r="AM30" s="11" t="s">
        <v>191</v>
      </c>
      <c r="AN30" s="11" t="s">
        <v>198</v>
      </c>
      <c r="AO30" s="11" t="n">
        <v>1</v>
      </c>
    </row>
    <row r="31" customFormat="false" ht="15" hidden="false" customHeight="false" outlineLevel="0" collapsed="false">
      <c r="A31" s="11" t="s">
        <v>110</v>
      </c>
      <c r="B31" s="11" t="s">
        <v>51</v>
      </c>
      <c r="C31" s="11" t="s">
        <v>189</v>
      </c>
      <c r="D31" s="11" t="s">
        <v>300</v>
      </c>
      <c r="E31" s="11" t="s">
        <v>191</v>
      </c>
      <c r="F31" s="11" t="s">
        <v>191</v>
      </c>
      <c r="G31" s="11" t="n">
        <v>1</v>
      </c>
      <c r="H31" s="11" t="n">
        <v>1</v>
      </c>
      <c r="I31" s="11" t="s">
        <v>191</v>
      </c>
      <c r="J31" s="11" t="n">
        <v>1</v>
      </c>
      <c r="K31" s="11" t="n">
        <v>0</v>
      </c>
      <c r="L31" s="11" t="n">
        <v>-2.97536571023342</v>
      </c>
      <c r="M31" s="11" t="n">
        <v>3.5172158625006</v>
      </c>
      <c r="N31" s="11" t="n">
        <v>3.51721586250071</v>
      </c>
      <c r="O31" s="11" t="n">
        <v>1.11910480882216E-013</v>
      </c>
      <c r="P31" s="11" t="n">
        <v>1.4915434089604E-014</v>
      </c>
      <c r="Q31" s="11" t="n">
        <v>3.76494945393561E-014</v>
      </c>
      <c r="R31" s="11" t="n">
        <v>3.76494945393561E-014</v>
      </c>
      <c r="S31" s="11" t="n">
        <v>2.1271873151818E-013</v>
      </c>
      <c r="T31" s="11" t="n">
        <v>190</v>
      </c>
      <c r="U31" s="11" t="s">
        <v>331</v>
      </c>
      <c r="V31" s="11" t="s">
        <v>332</v>
      </c>
      <c r="W31" s="11" t="s">
        <v>333</v>
      </c>
      <c r="X31" s="11" t="s">
        <v>334</v>
      </c>
      <c r="Y31" s="11" t="s">
        <v>335</v>
      </c>
      <c r="Z31" s="11" t="n">
        <v>1.58683756146548E-007</v>
      </c>
      <c r="AA31" s="11" t="n">
        <v>0</v>
      </c>
      <c r="AB31" s="11" t="n">
        <v>1.70754729250319E-006</v>
      </c>
      <c r="AC31" s="11" t="n">
        <v>2.41483653945147E-006</v>
      </c>
      <c r="AD31" s="11" t="n">
        <v>1.58683756146548E-007</v>
      </c>
      <c r="AE31" s="11" t="n">
        <v>0</v>
      </c>
      <c r="AF31" s="11" t="n">
        <v>1.70754729250319E-006</v>
      </c>
      <c r="AG31" s="11" t="n">
        <v>2.41483653945147E-006</v>
      </c>
      <c r="AH31" s="11" t="n">
        <v>3.5172158625005</v>
      </c>
      <c r="AI31" s="11" t="n">
        <v>1.62977569735042</v>
      </c>
      <c r="AJ31" s="11" t="n">
        <v>10.0925713551916</v>
      </c>
      <c r="AK31" s="11" t="n">
        <v>11.4572250083164</v>
      </c>
      <c r="AL31" s="11" t="s">
        <v>237</v>
      </c>
      <c r="AM31" s="11" t="s">
        <v>191</v>
      </c>
      <c r="AN31" s="11" t="s">
        <v>198</v>
      </c>
      <c r="AO31" s="11" t="n">
        <v>1</v>
      </c>
    </row>
    <row r="32" customFormat="false" ht="15" hidden="false" customHeight="false" outlineLevel="0" collapsed="false">
      <c r="A32" s="11" t="s">
        <v>111</v>
      </c>
      <c r="B32" s="11" t="s">
        <v>91</v>
      </c>
      <c r="C32" s="11" t="s">
        <v>189</v>
      </c>
      <c r="D32" s="11" t="s">
        <v>300</v>
      </c>
      <c r="E32" s="11" t="s">
        <v>191</v>
      </c>
      <c r="F32" s="11" t="s">
        <v>191</v>
      </c>
      <c r="G32" s="11" t="n">
        <v>1</v>
      </c>
      <c r="H32" s="11" t="n">
        <v>1</v>
      </c>
      <c r="I32" s="11" t="s">
        <v>191</v>
      </c>
      <c r="J32" s="11" t="n">
        <v>1</v>
      </c>
      <c r="K32" s="11" t="n">
        <v>0</v>
      </c>
      <c r="L32" s="11" t="n">
        <v>-4.68510971470149</v>
      </c>
      <c r="M32" s="11" t="n">
        <v>3.53571792698012</v>
      </c>
      <c r="N32" s="11" t="n">
        <v>3.53571792698014</v>
      </c>
      <c r="O32" s="11" t="n">
        <v>2.30926389122033E-014</v>
      </c>
      <c r="P32" s="11" t="n">
        <v>3.5954851074233E-014</v>
      </c>
      <c r="Q32" s="11" t="n">
        <v>6.57402981070588E-014</v>
      </c>
      <c r="R32" s="11" t="n">
        <v>6.57402981070588E-014</v>
      </c>
      <c r="S32" s="11" t="n">
        <v>4.61408689034215E-013</v>
      </c>
      <c r="T32" s="11" t="n">
        <v>98</v>
      </c>
      <c r="U32" s="11" t="s">
        <v>336</v>
      </c>
      <c r="V32" s="11" t="s">
        <v>337</v>
      </c>
      <c r="W32" s="11" t="s">
        <v>338</v>
      </c>
      <c r="X32" s="11" t="s">
        <v>339</v>
      </c>
      <c r="Y32" s="11" t="s">
        <v>340</v>
      </c>
      <c r="Z32" s="11" t="n">
        <v>2.09087423571819E-007</v>
      </c>
      <c r="AA32" s="11" t="n">
        <v>0</v>
      </c>
      <c r="AB32" s="11" t="n">
        <v>1.70754729250319E-006</v>
      </c>
      <c r="AC32" s="11" t="n">
        <v>1.70754729250319E-006</v>
      </c>
      <c r="AD32" s="11" t="n">
        <v>2.09087423571819E-007</v>
      </c>
      <c r="AE32" s="11" t="n">
        <v>0</v>
      </c>
      <c r="AF32" s="11" t="n">
        <v>1.70754729250319E-006</v>
      </c>
      <c r="AG32" s="11" t="n">
        <v>1.70754729250319E-006</v>
      </c>
      <c r="AH32" s="11" t="n">
        <v>3.53571792697968</v>
      </c>
      <c r="AI32" s="11" t="n">
        <v>3.06150305214326</v>
      </c>
      <c r="AJ32" s="11" t="n">
        <v>9.33580414092415</v>
      </c>
      <c r="AK32" s="11" t="n">
        <v>12.0058049763277</v>
      </c>
      <c r="AL32" s="11" t="s">
        <v>237</v>
      </c>
      <c r="AM32" s="11" t="s">
        <v>191</v>
      </c>
      <c r="AN32" s="11" t="s">
        <v>198</v>
      </c>
      <c r="AO32" s="11" t="n">
        <v>1</v>
      </c>
    </row>
    <row r="33" customFormat="false" ht="15" hidden="false" customHeight="false" outlineLevel="0" collapsed="false">
      <c r="A33" s="11" t="s">
        <v>112</v>
      </c>
      <c r="B33" s="11" t="s">
        <v>91</v>
      </c>
      <c r="C33" s="11" t="s">
        <v>189</v>
      </c>
      <c r="D33" s="11" t="s">
        <v>300</v>
      </c>
      <c r="E33" s="11" t="s">
        <v>191</v>
      </c>
      <c r="F33" s="11" t="s">
        <v>191</v>
      </c>
      <c r="G33" s="11" t="n">
        <v>1</v>
      </c>
      <c r="H33" s="11" t="n">
        <v>1</v>
      </c>
      <c r="I33" s="11" t="s">
        <v>191</v>
      </c>
      <c r="J33" s="11" t="n">
        <v>1</v>
      </c>
      <c r="K33" s="11" t="n">
        <v>1</v>
      </c>
      <c r="L33" s="11" t="n">
        <v>0.685737842804364</v>
      </c>
      <c r="M33" s="11" t="n">
        <v>6.05852467697294</v>
      </c>
      <c r="N33" s="11" t="n">
        <v>6.05852467697283</v>
      </c>
      <c r="O33" s="11" t="n">
        <v>1.11910480882216E-013</v>
      </c>
      <c r="P33" s="11" t="n">
        <v>2.13499357643573E-014</v>
      </c>
      <c r="Q33" s="11" t="n">
        <v>4.9960036108132E-014</v>
      </c>
      <c r="R33" s="11" t="n">
        <v>4.9960036108132E-014</v>
      </c>
      <c r="S33" s="11" t="n">
        <v>8.18900502963515E-013</v>
      </c>
      <c r="T33" s="11" t="n">
        <v>110</v>
      </c>
      <c r="U33" s="11" t="s">
        <v>341</v>
      </c>
      <c r="V33" s="11" t="s">
        <v>342</v>
      </c>
      <c r="W33" s="11" t="s">
        <v>343</v>
      </c>
      <c r="X33" s="11" t="s">
        <v>344</v>
      </c>
      <c r="Y33" s="11" t="s">
        <v>345</v>
      </c>
      <c r="Z33" s="11" t="n">
        <v>1.80951181025682E-007</v>
      </c>
      <c r="AA33" s="11" t="n">
        <v>0</v>
      </c>
      <c r="AB33" s="11" t="n">
        <v>1.70754729250319E-006</v>
      </c>
      <c r="AC33" s="11" t="n">
        <v>2.41483653945147E-006</v>
      </c>
      <c r="AD33" s="11" t="n">
        <v>1.80951181025682E-007</v>
      </c>
      <c r="AE33" s="11" t="n">
        <v>0</v>
      </c>
      <c r="AF33" s="11" t="n">
        <v>1.70754729250319E-006</v>
      </c>
      <c r="AG33" s="11" t="n">
        <v>2.41483653945147E-006</v>
      </c>
      <c r="AH33" s="11" t="n">
        <v>6.05852467697201</v>
      </c>
      <c r="AI33" s="11" t="n">
        <v>5.68821605799046</v>
      </c>
      <c r="AJ33" s="11" t="n">
        <v>13.4153201281508</v>
      </c>
      <c r="AK33" s="11" t="n">
        <v>16.6351213443545</v>
      </c>
      <c r="AL33" s="11" t="s">
        <v>237</v>
      </c>
      <c r="AM33" s="11" t="s">
        <v>191</v>
      </c>
      <c r="AN33" s="11" t="s">
        <v>198</v>
      </c>
      <c r="AO33" s="11" t="n">
        <v>1</v>
      </c>
    </row>
  </sheetData>
  <autoFilter ref="A4:AO33"/>
  <mergeCells count="2">
    <mergeCell ref="A1:AO1"/>
    <mergeCell ref="A2:A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H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242" min="4" style="0" width="15"/>
  </cols>
  <sheetData>
    <row r="1" customFormat="false" ht="15" hidden="false" customHeight="false" outlineLevel="0" collapsed="false">
      <c r="A1" s="1" t="s">
        <v>346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</row>
    <row r="2" customFormat="false" ht="15" hidden="false" customHeight="true" outlineLevel="0" collapsed="false">
      <c r="A2" s="2" t="s">
        <v>147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</row>
    <row r="4" customFormat="false" ht="15" hidden="false" customHeight="false" outlineLevel="0" collapsed="false">
      <c r="A4" s="6" t="s">
        <v>148</v>
      </c>
      <c r="B4" s="6" t="s">
        <v>347</v>
      </c>
      <c r="C4" s="6" t="s">
        <v>348</v>
      </c>
      <c r="D4" s="6" t="s">
        <v>349</v>
      </c>
      <c r="E4" s="6" t="s">
        <v>149</v>
      </c>
      <c r="F4" s="6" t="s">
        <v>350</v>
      </c>
      <c r="G4" s="6" t="s">
        <v>351</v>
      </c>
      <c r="H4" s="6" t="s">
        <v>352</v>
      </c>
      <c r="I4" s="6" t="s">
        <v>170</v>
      </c>
      <c r="J4" s="6" t="s">
        <v>353</v>
      </c>
      <c r="K4" s="6" t="s">
        <v>354</v>
      </c>
      <c r="L4" s="6" t="s">
        <v>355</v>
      </c>
      <c r="M4" s="6" t="s">
        <v>356</v>
      </c>
      <c r="N4" s="6" t="s">
        <v>80</v>
      </c>
      <c r="O4" s="6" t="s">
        <v>357</v>
      </c>
      <c r="P4" s="6" t="s">
        <v>358</v>
      </c>
      <c r="Q4" s="6" t="s">
        <v>359</v>
      </c>
      <c r="R4" s="6" t="s">
        <v>360</v>
      </c>
      <c r="S4" s="6" t="s">
        <v>361</v>
      </c>
      <c r="T4" s="6" t="s">
        <v>362</v>
      </c>
      <c r="U4" s="6" t="s">
        <v>363</v>
      </c>
      <c r="V4" s="6" t="s">
        <v>364</v>
      </c>
      <c r="W4" s="6" t="s">
        <v>365</v>
      </c>
      <c r="X4" s="6" t="s">
        <v>366</v>
      </c>
      <c r="Y4" s="6" t="s">
        <v>367</v>
      </c>
      <c r="Z4" s="6" t="s">
        <v>368</v>
      </c>
      <c r="AA4" s="6" t="s">
        <v>76</v>
      </c>
      <c r="AB4" s="6" t="s">
        <v>369</v>
      </c>
      <c r="AC4" s="6" t="s">
        <v>370</v>
      </c>
      <c r="AD4" s="6" t="s">
        <v>371</v>
      </c>
      <c r="AE4" s="6" t="s">
        <v>372</v>
      </c>
      <c r="AF4" s="6" t="s">
        <v>373</v>
      </c>
      <c r="AG4" s="6" t="s">
        <v>374</v>
      </c>
      <c r="AH4" s="6" t="s">
        <v>375</v>
      </c>
      <c r="AI4" s="6" t="s">
        <v>376</v>
      </c>
      <c r="AJ4" s="6" t="s">
        <v>377</v>
      </c>
      <c r="AK4" s="6" t="s">
        <v>378</v>
      </c>
      <c r="AL4" s="6" t="s">
        <v>379</v>
      </c>
      <c r="AM4" s="6" t="s">
        <v>380</v>
      </c>
      <c r="AN4" s="6" t="s">
        <v>381</v>
      </c>
      <c r="AO4" s="6" t="s">
        <v>382</v>
      </c>
      <c r="AP4" s="6" t="s">
        <v>383</v>
      </c>
      <c r="AQ4" s="6" t="s">
        <v>384</v>
      </c>
      <c r="AR4" s="6" t="s">
        <v>385</v>
      </c>
      <c r="AS4" s="6" t="s">
        <v>386</v>
      </c>
      <c r="AT4" s="6" t="s">
        <v>78</v>
      </c>
      <c r="AU4" s="6" t="s">
        <v>387</v>
      </c>
      <c r="AV4" s="6" t="s">
        <v>388</v>
      </c>
      <c r="AW4" s="6" t="s">
        <v>389</v>
      </c>
      <c r="AX4" s="6" t="s">
        <v>390</v>
      </c>
      <c r="AY4" s="6" t="s">
        <v>391</v>
      </c>
      <c r="AZ4" s="6" t="s">
        <v>392</v>
      </c>
      <c r="BA4" s="6" t="s">
        <v>393</v>
      </c>
      <c r="BB4" s="6" t="s">
        <v>394</v>
      </c>
      <c r="BC4" s="6" t="s">
        <v>395</v>
      </c>
      <c r="BD4" s="6" t="s">
        <v>396</v>
      </c>
      <c r="BE4" s="6" t="s">
        <v>397</v>
      </c>
      <c r="BF4" s="6" t="s">
        <v>398</v>
      </c>
      <c r="BG4" s="6" t="s">
        <v>399</v>
      </c>
      <c r="BH4" s="6" t="s">
        <v>400</v>
      </c>
      <c r="BI4" s="6" t="s">
        <v>401</v>
      </c>
      <c r="BJ4" s="6" t="s">
        <v>402</v>
      </c>
      <c r="BK4" s="6" t="s">
        <v>403</v>
      </c>
      <c r="BL4" s="6" t="s">
        <v>404</v>
      </c>
      <c r="BM4" s="6" t="s">
        <v>405</v>
      </c>
      <c r="BN4" s="6" t="s">
        <v>406</v>
      </c>
      <c r="BO4" s="6" t="s">
        <v>407</v>
      </c>
      <c r="BP4" s="6" t="s">
        <v>408</v>
      </c>
      <c r="BQ4" s="6" t="s">
        <v>409</v>
      </c>
      <c r="BR4" s="6" t="s">
        <v>410</v>
      </c>
      <c r="BS4" s="6" t="s">
        <v>65</v>
      </c>
      <c r="BT4" s="6" t="s">
        <v>67</v>
      </c>
      <c r="BU4" s="6" t="s">
        <v>61</v>
      </c>
      <c r="BV4" s="6" t="s">
        <v>63</v>
      </c>
      <c r="BW4" s="6" t="s">
        <v>55</v>
      </c>
      <c r="BX4" s="6" t="s">
        <v>52</v>
      </c>
      <c r="BY4" s="6" t="s">
        <v>57</v>
      </c>
      <c r="BZ4" s="6" t="s">
        <v>411</v>
      </c>
      <c r="CA4" s="6" t="s">
        <v>72</v>
      </c>
      <c r="CB4" s="6" t="s">
        <v>412</v>
      </c>
      <c r="CC4" s="6" t="s">
        <v>69</v>
      </c>
      <c r="CD4" s="6" t="s">
        <v>413</v>
      </c>
      <c r="CE4" s="6" t="s">
        <v>414</v>
      </c>
      <c r="CF4" s="6" t="s">
        <v>415</v>
      </c>
      <c r="CG4" s="6" t="s">
        <v>416</v>
      </c>
      <c r="CH4" s="6" t="s">
        <v>417</v>
      </c>
      <c r="CI4" s="6" t="s">
        <v>418</v>
      </c>
      <c r="CJ4" s="6" t="s">
        <v>419</v>
      </c>
      <c r="CK4" s="6" t="s">
        <v>420</v>
      </c>
      <c r="CL4" s="6" t="s">
        <v>421</v>
      </c>
      <c r="CM4" s="6" t="s">
        <v>422</v>
      </c>
      <c r="CN4" s="6" t="s">
        <v>423</v>
      </c>
      <c r="CO4" s="6" t="s">
        <v>424</v>
      </c>
      <c r="CP4" s="6" t="s">
        <v>425</v>
      </c>
      <c r="CQ4" s="6" t="s">
        <v>426</v>
      </c>
      <c r="CR4" s="6" t="s">
        <v>427</v>
      </c>
      <c r="CS4" s="6" t="s">
        <v>428</v>
      </c>
      <c r="CT4" s="6" t="s">
        <v>429</v>
      </c>
      <c r="CU4" s="6" t="s">
        <v>74</v>
      </c>
      <c r="CV4" s="6" t="s">
        <v>430</v>
      </c>
      <c r="CW4" s="6" t="s">
        <v>431</v>
      </c>
      <c r="CX4" s="6" t="s">
        <v>432</v>
      </c>
      <c r="CY4" s="6" t="s">
        <v>433</v>
      </c>
      <c r="CZ4" s="6" t="s">
        <v>434</v>
      </c>
      <c r="DA4" s="6" t="s">
        <v>435</v>
      </c>
      <c r="DB4" s="6" t="s">
        <v>436</v>
      </c>
      <c r="DC4" s="6" t="s">
        <v>437</v>
      </c>
      <c r="DD4" s="6" t="s">
        <v>438</v>
      </c>
      <c r="DE4" s="6" t="s">
        <v>439</v>
      </c>
      <c r="DF4" s="6" t="s">
        <v>440</v>
      </c>
      <c r="DG4" s="6" t="s">
        <v>441</v>
      </c>
      <c r="DH4" s="6" t="s">
        <v>442</v>
      </c>
      <c r="DI4" s="6" t="s">
        <v>443</v>
      </c>
      <c r="DJ4" s="6" t="s">
        <v>444</v>
      </c>
      <c r="DK4" s="6" t="s">
        <v>445</v>
      </c>
      <c r="DL4" s="6" t="s">
        <v>446</v>
      </c>
      <c r="DM4" s="6" t="s">
        <v>447</v>
      </c>
      <c r="DN4" s="6" t="s">
        <v>448</v>
      </c>
      <c r="DO4" s="6" t="s">
        <v>449</v>
      </c>
      <c r="DP4" s="6" t="s">
        <v>450</v>
      </c>
      <c r="DQ4" s="6" t="s">
        <v>451</v>
      </c>
      <c r="DR4" s="6" t="s">
        <v>452</v>
      </c>
      <c r="DS4" s="6" t="s">
        <v>453</v>
      </c>
      <c r="DT4" s="6" t="s">
        <v>454</v>
      </c>
      <c r="DU4" s="6" t="s">
        <v>455</v>
      </c>
      <c r="DV4" s="6" t="s">
        <v>456</v>
      </c>
      <c r="DW4" s="6" t="s">
        <v>457</v>
      </c>
      <c r="DX4" s="6" t="s">
        <v>458</v>
      </c>
      <c r="DY4" s="6" t="s">
        <v>459</v>
      </c>
      <c r="DZ4" s="6" t="s">
        <v>460</v>
      </c>
      <c r="EA4" s="6" t="s">
        <v>461</v>
      </c>
      <c r="EB4" s="6" t="s">
        <v>462</v>
      </c>
      <c r="EC4" s="6" t="s">
        <v>463</v>
      </c>
      <c r="ED4" s="6" t="s">
        <v>464</v>
      </c>
      <c r="EE4" s="6" t="s">
        <v>465</v>
      </c>
      <c r="EF4" s="6" t="s">
        <v>466</v>
      </c>
      <c r="EG4" s="6" t="s">
        <v>467</v>
      </c>
      <c r="EH4" s="6" t="s">
        <v>468</v>
      </c>
      <c r="EI4" s="6" t="s">
        <v>469</v>
      </c>
      <c r="EJ4" s="6" t="s">
        <v>470</v>
      </c>
      <c r="EK4" s="6" t="s">
        <v>471</v>
      </c>
      <c r="EL4" s="6" t="s">
        <v>472</v>
      </c>
      <c r="EM4" s="6" t="s">
        <v>473</v>
      </c>
      <c r="EN4" s="6" t="s">
        <v>474</v>
      </c>
      <c r="EO4" s="6" t="s">
        <v>475</v>
      </c>
      <c r="EP4" s="6" t="s">
        <v>476</v>
      </c>
      <c r="EQ4" s="6" t="s">
        <v>477</v>
      </c>
      <c r="ER4" s="6" t="s">
        <v>478</v>
      </c>
      <c r="ES4" s="6" t="s">
        <v>479</v>
      </c>
      <c r="ET4" s="6" t="s">
        <v>480</v>
      </c>
      <c r="EU4" s="6" t="s">
        <v>481</v>
      </c>
      <c r="EV4" s="6" t="s">
        <v>482</v>
      </c>
      <c r="EW4" s="6" t="s">
        <v>483</v>
      </c>
      <c r="EX4" s="6" t="s">
        <v>484</v>
      </c>
      <c r="EY4" s="6" t="s">
        <v>485</v>
      </c>
      <c r="EZ4" s="6" t="s">
        <v>486</v>
      </c>
      <c r="FA4" s="6" t="s">
        <v>487</v>
      </c>
      <c r="FB4" s="6" t="s">
        <v>488</v>
      </c>
      <c r="FC4" s="6" t="s">
        <v>489</v>
      </c>
      <c r="FD4" s="6" t="s">
        <v>490</v>
      </c>
      <c r="FE4" s="6" t="s">
        <v>491</v>
      </c>
      <c r="FF4" s="6" t="s">
        <v>492</v>
      </c>
      <c r="FG4" s="6" t="s">
        <v>493</v>
      </c>
      <c r="FH4" s="6" t="s">
        <v>494</v>
      </c>
      <c r="FI4" s="6" t="s">
        <v>495</v>
      </c>
      <c r="FJ4" s="6" t="s">
        <v>496</v>
      </c>
      <c r="FK4" s="6" t="s">
        <v>497</v>
      </c>
      <c r="FL4" s="6" t="s">
        <v>59</v>
      </c>
      <c r="FM4" s="6" t="s">
        <v>498</v>
      </c>
      <c r="FN4" s="6" t="s">
        <v>499</v>
      </c>
      <c r="FO4" s="6" t="s">
        <v>500</v>
      </c>
      <c r="FP4" s="6" t="s">
        <v>501</v>
      </c>
      <c r="FQ4" s="6" t="s">
        <v>502</v>
      </c>
      <c r="FR4" s="6" t="s">
        <v>503</v>
      </c>
      <c r="FS4" s="6" t="s">
        <v>504</v>
      </c>
      <c r="FT4" s="6" t="s">
        <v>505</v>
      </c>
      <c r="FU4" s="6" t="s">
        <v>506</v>
      </c>
      <c r="FV4" s="6" t="s">
        <v>507</v>
      </c>
      <c r="FW4" s="6" t="s">
        <v>508</v>
      </c>
      <c r="FX4" s="6" t="s">
        <v>509</v>
      </c>
      <c r="FY4" s="6" t="s">
        <v>510</v>
      </c>
      <c r="FZ4" s="6" t="s">
        <v>511</v>
      </c>
      <c r="GA4" s="6" t="s">
        <v>512</v>
      </c>
      <c r="GB4" s="6" t="s">
        <v>513</v>
      </c>
      <c r="GC4" s="6" t="s">
        <v>514</v>
      </c>
      <c r="GD4" s="6" t="s">
        <v>515</v>
      </c>
      <c r="GE4" s="6" t="s">
        <v>516</v>
      </c>
      <c r="GF4" s="6" t="s">
        <v>517</v>
      </c>
      <c r="GG4" s="6" t="s">
        <v>518</v>
      </c>
      <c r="GH4" s="6" t="s">
        <v>519</v>
      </c>
      <c r="GI4" s="6" t="s">
        <v>520</v>
      </c>
      <c r="GJ4" s="6" t="s">
        <v>521</v>
      </c>
      <c r="GK4" s="6" t="s">
        <v>522</v>
      </c>
      <c r="GL4" s="6" t="s">
        <v>523</v>
      </c>
      <c r="GM4" s="6" t="s">
        <v>524</v>
      </c>
      <c r="GN4" s="6" t="s">
        <v>525</v>
      </c>
      <c r="GO4" s="6" t="s">
        <v>526</v>
      </c>
      <c r="GP4" s="6" t="s">
        <v>527</v>
      </c>
      <c r="GQ4" s="6" t="s">
        <v>528</v>
      </c>
      <c r="GR4" s="6" t="s">
        <v>529</v>
      </c>
      <c r="GS4" s="6" t="s">
        <v>530</v>
      </c>
      <c r="GT4" s="6" t="s">
        <v>531</v>
      </c>
      <c r="GU4" s="6" t="s">
        <v>532</v>
      </c>
      <c r="GV4" s="6" t="s">
        <v>533</v>
      </c>
      <c r="GW4" s="6" t="s">
        <v>534</v>
      </c>
      <c r="GX4" s="6" t="s">
        <v>535</v>
      </c>
      <c r="GY4" s="6" t="s">
        <v>536</v>
      </c>
      <c r="GZ4" s="6" t="s">
        <v>537</v>
      </c>
      <c r="HA4" s="6" t="s">
        <v>538</v>
      </c>
      <c r="HB4" s="6" t="s">
        <v>539</v>
      </c>
      <c r="HC4" s="6" t="s">
        <v>540</v>
      </c>
      <c r="HD4" s="6" t="s">
        <v>541</v>
      </c>
      <c r="HE4" s="6" t="s">
        <v>542</v>
      </c>
      <c r="HF4" s="6" t="s">
        <v>543</v>
      </c>
      <c r="HG4" s="6" t="s">
        <v>544</v>
      </c>
      <c r="HH4" s="6" t="s">
        <v>545</v>
      </c>
      <c r="HI4" s="6" t="s">
        <v>546</v>
      </c>
      <c r="HJ4" s="6" t="s">
        <v>547</v>
      </c>
      <c r="HK4" s="6" t="s">
        <v>548</v>
      </c>
      <c r="HL4" s="6" t="s">
        <v>549</v>
      </c>
      <c r="HM4" s="6" t="s">
        <v>550</v>
      </c>
      <c r="HN4" s="6" t="s">
        <v>551</v>
      </c>
      <c r="HO4" s="6" t="s">
        <v>552</v>
      </c>
      <c r="HP4" s="6" t="s">
        <v>553</v>
      </c>
      <c r="HQ4" s="6" t="s">
        <v>554</v>
      </c>
      <c r="HR4" s="6" t="s">
        <v>150</v>
      </c>
      <c r="HS4" s="6" t="s">
        <v>151</v>
      </c>
      <c r="HT4" s="6" t="s">
        <v>555</v>
      </c>
      <c r="HU4" s="6" t="s">
        <v>556</v>
      </c>
      <c r="HV4" s="6" t="s">
        <v>557</v>
      </c>
      <c r="HW4" s="6" t="s">
        <v>558</v>
      </c>
      <c r="HX4" s="6" t="s">
        <v>559</v>
      </c>
      <c r="HY4" s="6" t="s">
        <v>560</v>
      </c>
      <c r="HZ4" s="6" t="s">
        <v>561</v>
      </c>
      <c r="IA4" s="6" t="s">
        <v>562</v>
      </c>
      <c r="IB4" s="6" t="s">
        <v>563</v>
      </c>
      <c r="IC4" s="6" t="s">
        <v>171</v>
      </c>
      <c r="ID4" s="6" t="s">
        <v>564</v>
      </c>
      <c r="IE4" s="6" t="s">
        <v>187</v>
      </c>
      <c r="IF4" s="6" t="s">
        <v>565</v>
      </c>
      <c r="IG4" s="6" t="s">
        <v>566</v>
      </c>
      <c r="IH4" s="6" t="s">
        <v>567</v>
      </c>
    </row>
    <row r="5" customFormat="false" ht="15" hidden="false" customHeight="false" outlineLevel="0" collapsed="false">
      <c r="A5" s="11" t="s">
        <v>50</v>
      </c>
      <c r="B5" s="11" t="s">
        <v>568</v>
      </c>
      <c r="C5" s="11" t="s">
        <v>569</v>
      </c>
      <c r="D5" s="11" t="s">
        <v>570</v>
      </c>
      <c r="E5" s="11" t="s">
        <v>51</v>
      </c>
      <c r="F5" s="11"/>
      <c r="G5" s="11"/>
      <c r="H5" s="11" t="s">
        <v>571</v>
      </c>
      <c r="I5" s="11" t="s">
        <v>572</v>
      </c>
      <c r="J5" s="11" t="n">
        <v>157</v>
      </c>
      <c r="K5" s="11" t="n">
        <v>5.23333333333333</v>
      </c>
      <c r="L5" s="11" t="n">
        <v>0.751264274120331</v>
      </c>
      <c r="M5" s="11" t="n">
        <v>0.803321123123169</v>
      </c>
      <c r="N5" s="11" t="n">
        <v>0</v>
      </c>
      <c r="O5" s="11" t="n">
        <v>1.38283689593425</v>
      </c>
      <c r="P5" s="11" t="n">
        <v>1.52284002131262</v>
      </c>
      <c r="Q5" s="11" t="n">
        <v>0.233945082079742</v>
      </c>
      <c r="R5" s="11" t="n">
        <v>0.331210191082802</v>
      </c>
      <c r="S5" s="11" t="n">
        <v>0.261146496815287</v>
      </c>
      <c r="T5" s="11" t="n">
        <v>0.0318471337579618</v>
      </c>
      <c r="U5" s="11" t="n">
        <v>0.0127388535031847</v>
      </c>
      <c r="V5" s="11" t="n">
        <v>0</v>
      </c>
      <c r="W5" s="11" t="n">
        <v>0.745222929936306</v>
      </c>
      <c r="X5" s="11" t="n">
        <v>0.426751592356688</v>
      </c>
      <c r="Y5" s="11" t="n">
        <v>0.668789808917197</v>
      </c>
      <c r="Z5" s="11" t="n">
        <v>0.726114649681529</v>
      </c>
      <c r="AA5" s="11" t="n">
        <v>0.0764331210191083</v>
      </c>
      <c r="AB5" s="11" t="n">
        <v>0.0191082802547771</v>
      </c>
      <c r="AC5" s="11" t="n">
        <v>-0.00190061976156372</v>
      </c>
      <c r="AD5" s="11" t="n">
        <v>-0.00838985858138888</v>
      </c>
      <c r="AE5" s="11" t="n">
        <v>0.420168067226891</v>
      </c>
      <c r="AF5" s="11" t="n">
        <v>0.100840336134454</v>
      </c>
      <c r="AG5" s="11" t="n">
        <v>0.0252100840336134</v>
      </c>
      <c r="AH5" s="11" t="n">
        <v>0.318471337579618</v>
      </c>
      <c r="AI5" s="11" t="n">
        <v>0.0764331210191083</v>
      </c>
      <c r="AJ5" s="11" t="n">
        <v>0.0191082802547771</v>
      </c>
      <c r="AK5" s="11" t="n">
        <v>0.431346624919455</v>
      </c>
      <c r="AL5" s="11" t="n">
        <v>0</v>
      </c>
      <c r="AM5" s="11" t="n">
        <v>0</v>
      </c>
      <c r="AN5" s="11" t="n">
        <v>0</v>
      </c>
      <c r="AO5" s="11"/>
      <c r="AP5" s="11"/>
      <c r="AQ5" s="11"/>
      <c r="AR5" s="11" t="n">
        <v>0</v>
      </c>
      <c r="AS5" s="11" t="n">
        <v>0.0254777070063694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0.00628027264038327</v>
      </c>
      <c r="AZ5" s="11" t="n">
        <v>0.0133099513707961</v>
      </c>
      <c r="BA5" s="11"/>
      <c r="BB5" s="11" t="n">
        <v>0.0700636942675159</v>
      </c>
      <c r="BC5" s="11" t="n">
        <v>0.910828025477707</v>
      </c>
      <c r="BD5" s="11" t="n">
        <v>0.668789808917197</v>
      </c>
      <c r="BE5" s="11" t="n">
        <v>0.917197452229299</v>
      </c>
      <c r="BF5" s="11" t="n">
        <v>0.802547770700637</v>
      </c>
      <c r="BG5" s="11" t="n">
        <v>0.923566878980892</v>
      </c>
      <c r="BH5" s="11" t="n">
        <v>0.853503184713376</v>
      </c>
      <c r="BI5" s="11" t="n">
        <v>0.929936305732484</v>
      </c>
      <c r="BJ5" s="11" t="n">
        <v>0.126991914776508</v>
      </c>
      <c r="BK5" s="11" t="n">
        <v>0.0872617453670997</v>
      </c>
      <c r="BL5" s="11" t="n">
        <v>0.103038446995133</v>
      </c>
      <c r="BM5" s="11" t="n">
        <v>0.0416747800007882</v>
      </c>
      <c r="BN5" s="11" t="n">
        <v>0.471303899127017</v>
      </c>
      <c r="BO5" s="11" t="n">
        <v>0.386978520054733</v>
      </c>
      <c r="BP5" s="11" t="n">
        <v>0.00873572376409894</v>
      </c>
      <c r="BQ5" s="11" t="n">
        <v>0.00799082666201172</v>
      </c>
      <c r="BR5" s="11" t="n">
        <v>3.75675334077181</v>
      </c>
      <c r="BS5" s="11" t="n">
        <v>13.6899563035053</v>
      </c>
      <c r="BT5" s="11" t="n">
        <v>22.9829837209557</v>
      </c>
      <c r="BU5" s="11" t="n">
        <v>12.6991914776508</v>
      </c>
      <c r="BV5" s="11" t="n">
        <v>5.9036681404031</v>
      </c>
      <c r="BW5" s="11" t="n">
        <v>11.546123440095</v>
      </c>
      <c r="BX5" s="11" t="n">
        <v>6.73166640448058</v>
      </c>
      <c r="BY5" s="11" t="n">
        <v>7.6461315136553</v>
      </c>
      <c r="BZ5" s="11" t="n">
        <v>0.808917197452229</v>
      </c>
      <c r="CA5" s="11" t="n">
        <v>0.89763779527559</v>
      </c>
      <c r="CB5" s="11" t="n">
        <v>0.511811023622047</v>
      </c>
      <c r="CC5" s="11" t="n">
        <v>0.811023622047244</v>
      </c>
      <c r="CD5" s="11" t="n">
        <v>0.874015748031496</v>
      </c>
      <c r="CE5" s="11" t="n">
        <v>0.834394904458599</v>
      </c>
      <c r="CF5" s="11" t="n">
        <v>5</v>
      </c>
      <c r="CG5" s="11" t="n">
        <v>4</v>
      </c>
      <c r="CH5" s="11" t="n">
        <v>0.877862595419847</v>
      </c>
      <c r="CI5" s="11" t="n">
        <v>0.786259541984733</v>
      </c>
      <c r="CJ5" s="11" t="n">
        <v>0.854961832061069</v>
      </c>
      <c r="CK5" s="11" t="n">
        <v>0.1</v>
      </c>
      <c r="CL5" s="11" t="n">
        <v>0.0666666666666667</v>
      </c>
      <c r="CM5" s="11" t="n">
        <v>0.0666666666666667</v>
      </c>
      <c r="CN5" s="11" t="n">
        <v>0.1</v>
      </c>
      <c r="CO5" s="11" t="n">
        <v>0.0625</v>
      </c>
      <c r="CP5" s="11" t="n">
        <v>0.0625</v>
      </c>
      <c r="CQ5" s="11" t="n">
        <v>0.0625</v>
      </c>
      <c r="CR5" s="11" t="n">
        <v>0.0625</v>
      </c>
      <c r="CS5" s="11" t="n">
        <v>0.1</v>
      </c>
      <c r="CT5" s="11" t="n">
        <v>0.1</v>
      </c>
      <c r="CU5" s="11" t="n">
        <v>0.1</v>
      </c>
      <c r="CV5" s="11" t="n">
        <v>0.1</v>
      </c>
      <c r="CW5" s="11" t="n">
        <v>0.0236220472440945</v>
      </c>
      <c r="CX5" s="11" t="n">
        <v>0.015748031496063</v>
      </c>
      <c r="CY5" s="11" t="n">
        <v>-0.0585084201309249</v>
      </c>
      <c r="CZ5" s="11" t="n">
        <v>-0.116676546152646</v>
      </c>
      <c r="DA5" s="11" t="n">
        <v>8.88976326195819</v>
      </c>
      <c r="DB5" s="11" t="n">
        <v>-0.0921797558830504</v>
      </c>
      <c r="DC5" s="11" t="n">
        <v>11.8190467842217</v>
      </c>
      <c r="DD5" s="11" t="n">
        <v>0.438178722495597</v>
      </c>
      <c r="DE5" s="11" t="n">
        <v>0.67515923566879</v>
      </c>
      <c r="DF5" s="11" t="n">
        <v>-0.0724799763304094</v>
      </c>
      <c r="DG5" s="11" t="n">
        <v>-0.108761717252304</v>
      </c>
      <c r="DH5" s="11" t="n">
        <v>3.6281740921895</v>
      </c>
      <c r="DI5" s="11" t="n">
        <v>112.806846432214</v>
      </c>
      <c r="DJ5" s="11" t="n">
        <v>95.0903385432369</v>
      </c>
      <c r="DK5" s="11" t="n">
        <v>12.9908914791509</v>
      </c>
      <c r="DL5" s="11" t="n">
        <v>49.05</v>
      </c>
      <c r="DM5" s="11" t="n">
        <v>0.745222929936306</v>
      </c>
      <c r="DN5" s="11" t="n">
        <v>0.56687898089172</v>
      </c>
      <c r="DO5" s="11" t="n">
        <v>-0.0116281527917613</v>
      </c>
      <c r="DP5" s="11" t="n">
        <v>0</v>
      </c>
      <c r="DQ5" s="11" t="n">
        <v>0.00636942675159236</v>
      </c>
      <c r="DR5" s="11" t="n">
        <v>0</v>
      </c>
      <c r="DS5" s="11" t="n">
        <v>0</v>
      </c>
      <c r="DT5" s="11" t="n">
        <v>0</v>
      </c>
      <c r="DU5" s="11" t="n">
        <v>0</v>
      </c>
      <c r="DV5" s="11" t="n">
        <v>5</v>
      </c>
      <c r="DW5" s="11" t="s">
        <v>573</v>
      </c>
      <c r="DX5" s="11" t="n">
        <v>0.406307</v>
      </c>
      <c r="DY5" s="11" t="n">
        <v>-0.0252562429857785</v>
      </c>
      <c r="DZ5" s="11" t="n">
        <v>0.837870242985778</v>
      </c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 t="n">
        <v>6.08285027168605</v>
      </c>
      <c r="EP5" s="11" t="n">
        <v>66.586210530028</v>
      </c>
      <c r="EQ5" s="11" t="n">
        <v>1463.6894010678</v>
      </c>
      <c r="ER5" s="11" t="n">
        <v>2.68205700522969</v>
      </c>
      <c r="ES5" s="11" t="n">
        <v>2.68205700522969</v>
      </c>
      <c r="ET5" s="11" t="n">
        <v>1.36088630183932</v>
      </c>
      <c r="EU5" s="11" t="n">
        <v>62.1792440907513</v>
      </c>
      <c r="EV5" s="11" t="n">
        <v>62.1792440907513</v>
      </c>
      <c r="EW5" s="11" t="n">
        <v>445.358157815592</v>
      </c>
      <c r="EX5" s="11" t="n">
        <v>537.148207194015</v>
      </c>
      <c r="EY5" s="11" t="n">
        <v>0.792494459769972</v>
      </c>
      <c r="EZ5" s="11" t="n">
        <v>1.47150671630091</v>
      </c>
      <c r="FA5" s="11" t="n">
        <v>0.0335306005185831</v>
      </c>
      <c r="FB5" s="11" t="n">
        <v>1</v>
      </c>
      <c r="FC5" s="11" t="n">
        <v>0</v>
      </c>
      <c r="FD5" s="11" t="n">
        <v>0</v>
      </c>
      <c r="FE5" s="11" t="s">
        <v>574</v>
      </c>
      <c r="FF5" s="11" t="s">
        <v>195</v>
      </c>
      <c r="FG5" s="11" t="n">
        <v>157</v>
      </c>
      <c r="FH5" s="11" t="s">
        <v>575</v>
      </c>
      <c r="FI5" s="11" t="s">
        <v>59</v>
      </c>
      <c r="FJ5" s="11" t="n">
        <v>0.2</v>
      </c>
      <c r="FK5" s="11" t="n">
        <v>0.152398751135044</v>
      </c>
      <c r="FL5" s="11" t="n">
        <v>0.0900911970631859</v>
      </c>
      <c r="FM5" s="11" t="n">
        <v>0</v>
      </c>
      <c r="FN5" s="11" t="n">
        <v>1</v>
      </c>
      <c r="FO5" s="11" t="n">
        <v>0.382481813314227</v>
      </c>
      <c r="FP5" s="11" t="n">
        <v>0.282047445674939</v>
      </c>
      <c r="FQ5" s="11" t="n">
        <v>0.0302547770700637</v>
      </c>
      <c r="FR5" s="11" t="n">
        <v>0</v>
      </c>
      <c r="FS5" s="11" t="n">
        <v>0.382231110571915</v>
      </c>
      <c r="FT5" s="11" t="n">
        <v>0.281892954413804</v>
      </c>
      <c r="FU5" s="11" t="n">
        <v>1</v>
      </c>
      <c r="FV5" s="11" t="n">
        <v>4.99321327713883</v>
      </c>
      <c r="FW5" s="11" t="n">
        <v>183.561591055136</v>
      </c>
      <c r="FX5" s="11" t="n">
        <v>0.0122226295733152</v>
      </c>
      <c r="FY5" s="11" t="n">
        <v>1</v>
      </c>
      <c r="FZ5" s="11" t="n">
        <v>10</v>
      </c>
      <c r="GA5" s="11" t="n">
        <v>1</v>
      </c>
      <c r="GB5" s="11" t="s">
        <v>576</v>
      </c>
      <c r="GC5" s="11" t="n">
        <v>0.930709158539013</v>
      </c>
      <c r="GD5" s="11" t="n">
        <v>0.961683917197452</v>
      </c>
      <c r="GE5" s="11" t="n">
        <v>0.961783439490446</v>
      </c>
      <c r="GF5" s="11" t="n">
        <v>0.961783439490446</v>
      </c>
      <c r="GG5" s="11" t="n">
        <v>0</v>
      </c>
      <c r="GH5" s="11" t="n">
        <v>0</v>
      </c>
      <c r="GI5" s="11" t="n">
        <v>0.0182728895647444</v>
      </c>
      <c r="GJ5" s="11" t="n">
        <v>0.0355969771303853</v>
      </c>
      <c r="GK5" s="11" t="n">
        <v>0.0301642750513801</v>
      </c>
      <c r="GL5" s="11" t="n">
        <v>0.0396898672055856</v>
      </c>
      <c r="GM5" s="11" t="n">
        <v>0.00279843285960225</v>
      </c>
      <c r="GN5" s="11" t="n">
        <v>2.07338116582554E-006</v>
      </c>
      <c r="GO5" s="11" t="n">
        <v>0.961783439490446</v>
      </c>
      <c r="GP5" s="11" t="n">
        <v>0.961783439490446</v>
      </c>
      <c r="GQ5" s="11" t="n">
        <v>-0.0316037684679031</v>
      </c>
      <c r="GR5" s="11" t="n">
        <v>1</v>
      </c>
      <c r="GS5" s="11" t="n">
        <v>1</v>
      </c>
      <c r="GT5" s="11" t="n">
        <v>0</v>
      </c>
      <c r="GU5" s="11" t="n">
        <v>0</v>
      </c>
      <c r="GV5" s="11" t="n">
        <v>1</v>
      </c>
      <c r="GW5" s="11" t="n">
        <v>1</v>
      </c>
      <c r="GX5" s="11" t="n">
        <v>1</v>
      </c>
      <c r="GY5" s="11" t="n">
        <v>1</v>
      </c>
      <c r="GZ5" s="11" t="n">
        <v>1</v>
      </c>
      <c r="HA5" s="11" t="n">
        <v>1</v>
      </c>
      <c r="HB5" s="11" t="n">
        <v>1</v>
      </c>
      <c r="HC5" s="11" t="n">
        <v>1</v>
      </c>
      <c r="HD5" s="11" t="n">
        <v>1</v>
      </c>
      <c r="HE5" s="11" t="n">
        <v>0</v>
      </c>
      <c r="HF5" s="11" t="n">
        <v>1</v>
      </c>
      <c r="HG5" s="11" t="n">
        <v>1</v>
      </c>
      <c r="HH5" s="11" t="n">
        <v>1</v>
      </c>
      <c r="HI5" s="11" t="n">
        <v>0</v>
      </c>
      <c r="HJ5" s="11" t="n">
        <v>0</v>
      </c>
      <c r="HK5" s="11" t="s">
        <v>143</v>
      </c>
      <c r="HL5" s="11" t="s">
        <v>577</v>
      </c>
      <c r="HM5" s="11" t="n">
        <v>1</v>
      </c>
      <c r="HN5" s="11" t="s">
        <v>10</v>
      </c>
      <c r="HO5" s="11" t="s">
        <v>578</v>
      </c>
      <c r="HP5" s="11" t="s">
        <v>578</v>
      </c>
      <c r="HQ5" s="11" t="n">
        <v>0</v>
      </c>
      <c r="HR5" s="11" t="s">
        <v>189</v>
      </c>
      <c r="HS5" s="11" t="s">
        <v>579</v>
      </c>
      <c r="HT5" s="11" t="s">
        <v>579</v>
      </c>
      <c r="HU5" s="11" t="s">
        <v>580</v>
      </c>
      <c r="HV5" s="11" t="s">
        <v>580</v>
      </c>
      <c r="HW5" s="11" t="s">
        <v>581</v>
      </c>
      <c r="HX5" s="11" t="s">
        <v>582</v>
      </c>
      <c r="HY5" s="11" t="s">
        <v>583</v>
      </c>
      <c r="HZ5" s="11" t="s">
        <v>584</v>
      </c>
      <c r="IA5" s="11" t="s">
        <v>571</v>
      </c>
      <c r="IB5" s="11" t="s">
        <v>585</v>
      </c>
      <c r="IC5" s="11" t="s">
        <v>195</v>
      </c>
      <c r="ID5" s="11" t="s">
        <v>586</v>
      </c>
      <c r="IE5" s="11"/>
      <c r="IF5" s="11"/>
      <c r="IG5" s="11"/>
      <c r="IH5" s="11"/>
    </row>
    <row r="6" customFormat="false" ht="15" hidden="false" customHeight="false" outlineLevel="0" collapsed="false">
      <c r="A6" s="11" t="s">
        <v>50</v>
      </c>
      <c r="B6" s="11" t="s">
        <v>587</v>
      </c>
      <c r="C6" s="11" t="s">
        <v>588</v>
      </c>
      <c r="D6" s="11" t="s">
        <v>570</v>
      </c>
      <c r="E6" s="11" t="s">
        <v>51</v>
      </c>
      <c r="F6" s="11"/>
      <c r="G6" s="11"/>
      <c r="H6" s="11" t="s">
        <v>589</v>
      </c>
      <c r="I6" s="11" t="s">
        <v>194</v>
      </c>
      <c r="J6" s="11" t="n">
        <v>157</v>
      </c>
      <c r="K6" s="11" t="n">
        <v>5.23333333333333</v>
      </c>
      <c r="L6" s="11" t="n">
        <v>0.748140096664429</v>
      </c>
      <c r="M6" s="11" t="n">
        <v>0.808666348457336</v>
      </c>
      <c r="N6" s="11" t="n">
        <v>0</v>
      </c>
      <c r="O6" s="11" t="n">
        <v>1.38945340865294</v>
      </c>
      <c r="P6" s="11" t="n">
        <v>1.49423703005376</v>
      </c>
      <c r="Q6" s="11" t="n">
        <v>0.324591663278617</v>
      </c>
      <c r="R6" s="11" t="n">
        <v>0.286624203821656</v>
      </c>
      <c r="S6" s="11" t="n">
        <v>0.452229299363057</v>
      </c>
      <c r="T6" s="11" t="n">
        <v>0.0382165605095541</v>
      </c>
      <c r="U6" s="11" t="n">
        <v>0</v>
      </c>
      <c r="V6" s="11" t="n">
        <v>0</v>
      </c>
      <c r="W6" s="11" t="n">
        <v>0.713375796178344</v>
      </c>
      <c r="X6" s="11" t="n">
        <v>0.43312101910828</v>
      </c>
      <c r="Y6" s="11" t="n">
        <v>0.535031847133758</v>
      </c>
      <c r="Z6" s="11" t="n">
        <v>0.713375796178344</v>
      </c>
      <c r="AA6" s="11" t="n">
        <v>0.178343949044586</v>
      </c>
      <c r="AB6" s="11" t="n">
        <v>0</v>
      </c>
      <c r="AC6" s="11" t="n">
        <v>-0.00183223852240168</v>
      </c>
      <c r="AD6" s="11" t="n">
        <v>-0.00428811978118701</v>
      </c>
      <c r="AE6" s="11" t="n">
        <v>0.392857142857143</v>
      </c>
      <c r="AF6" s="11" t="n">
        <v>0.25</v>
      </c>
      <c r="AG6" s="11" t="n">
        <v>0</v>
      </c>
      <c r="AH6" s="11" t="n">
        <v>0.280254777070064</v>
      </c>
      <c r="AI6" s="11" t="n">
        <v>0.178343949044586</v>
      </c>
      <c r="AJ6" s="11" t="n">
        <v>0</v>
      </c>
      <c r="AK6" s="11" t="n">
        <v>0.435012558657696</v>
      </c>
      <c r="AL6" s="11" t="n">
        <v>0</v>
      </c>
      <c r="AM6" s="11" t="n">
        <v>0</v>
      </c>
      <c r="AN6" s="11" t="n">
        <v>0</v>
      </c>
      <c r="AO6" s="11"/>
      <c r="AP6" s="11"/>
      <c r="AQ6" s="11"/>
      <c r="AR6" s="11" t="n">
        <v>0</v>
      </c>
      <c r="AS6" s="11" t="n">
        <v>0.114649681528662</v>
      </c>
      <c r="AT6" s="11" t="n">
        <v>0</v>
      </c>
      <c r="AU6" s="11" t="n">
        <v>0</v>
      </c>
      <c r="AV6" s="11" t="n">
        <v>0</v>
      </c>
      <c r="AW6" s="11" t="n">
        <v>0</v>
      </c>
      <c r="AX6" s="11" t="n">
        <v>0</v>
      </c>
      <c r="AY6" s="11" t="n">
        <v>0.00652975993205533</v>
      </c>
      <c r="AZ6" s="11" t="n">
        <v>0.0133775594302245</v>
      </c>
      <c r="BA6" s="11"/>
      <c r="BB6" s="11" t="n">
        <v>0.414012738853503</v>
      </c>
      <c r="BC6" s="11" t="n">
        <v>0.898089171974522</v>
      </c>
      <c r="BD6" s="11" t="n">
        <v>0.821656050955414</v>
      </c>
      <c r="BE6" s="11" t="n">
        <v>0.910828025477707</v>
      </c>
      <c r="BF6" s="11" t="n">
        <v>0.866242038216561</v>
      </c>
      <c r="BG6" s="11" t="n">
        <v>0.923566878980892</v>
      </c>
      <c r="BH6" s="11" t="n">
        <v>0.872611464968153</v>
      </c>
      <c r="BI6" s="11" t="n">
        <v>0.929936305732484</v>
      </c>
      <c r="BJ6" s="11" t="n">
        <v>0.138477438477698</v>
      </c>
      <c r="BK6" s="11" t="n">
        <v>0.062447826920563</v>
      </c>
      <c r="BL6" s="11" t="n">
        <v>0.207711057978012</v>
      </c>
      <c r="BM6" s="11" t="n">
        <v>0.0862972321708817</v>
      </c>
      <c r="BN6" s="11" t="n">
        <v>0.516643104937781</v>
      </c>
      <c r="BO6" s="11" t="n">
        <v>0.601847449256539</v>
      </c>
      <c r="BP6" s="11" t="n">
        <v>0.00812743751797907</v>
      </c>
      <c r="BQ6" s="11" t="n">
        <v>0.011493489517447</v>
      </c>
      <c r="BR6" s="11" t="n">
        <v>4.30639908815674</v>
      </c>
      <c r="BS6" s="11" t="n">
        <v>15.0655211427067</v>
      </c>
      <c r="BT6" s="11" t="n">
        <v>26.2843566430101</v>
      </c>
      <c r="BU6" s="11" t="n">
        <v>13.8477438477698</v>
      </c>
      <c r="BV6" s="11" t="n">
        <v>11.9009669803369</v>
      </c>
      <c r="BW6" s="11" t="n">
        <v>10.9104383291158</v>
      </c>
      <c r="BX6" s="11" t="n">
        <v>4.6607998931466</v>
      </c>
      <c r="BY6" s="11" t="n">
        <v>29.5222459993959</v>
      </c>
      <c r="BZ6" s="11" t="n">
        <v>0.808917197452229</v>
      </c>
      <c r="CA6" s="11" t="n">
        <v>0.850393700787402</v>
      </c>
      <c r="CB6" s="11" t="n">
        <v>0.511811023622047</v>
      </c>
      <c r="CC6" s="11" t="n">
        <v>0.62992125984252</v>
      </c>
      <c r="CD6" s="11" t="n">
        <v>0.850393700787402</v>
      </c>
      <c r="CE6" s="11" t="n">
        <v>0.834394904458599</v>
      </c>
      <c r="CF6" s="11" t="n">
        <v>5</v>
      </c>
      <c r="CG6" s="11" t="n">
        <v>4</v>
      </c>
      <c r="CH6" s="11" t="n">
        <v>0.847328244274809</v>
      </c>
      <c r="CI6" s="11" t="n">
        <v>0.633587786259542</v>
      </c>
      <c r="CJ6" s="11" t="n">
        <v>0.847328244274809</v>
      </c>
      <c r="CK6" s="11" t="n">
        <v>0.133333333333333</v>
      </c>
      <c r="CL6" s="11" t="n">
        <v>0.1</v>
      </c>
      <c r="CM6" s="11" t="n">
        <v>0.133333333333333</v>
      </c>
      <c r="CN6" s="11" t="n">
        <v>0.133333333333333</v>
      </c>
      <c r="CO6" s="11" t="n">
        <v>0.0625</v>
      </c>
      <c r="CP6" s="11" t="n">
        <v>0.0625</v>
      </c>
      <c r="CQ6" s="11" t="n">
        <v>0.0625</v>
      </c>
      <c r="CR6" s="11" t="n">
        <v>0.0625</v>
      </c>
      <c r="CS6" s="11" t="n">
        <v>0</v>
      </c>
      <c r="CT6" s="11" t="n">
        <v>0</v>
      </c>
      <c r="CU6" s="11" t="n">
        <v>0</v>
      </c>
      <c r="CV6" s="11" t="n">
        <v>0</v>
      </c>
      <c r="CW6" s="11" t="n">
        <v>0.0393700787401575</v>
      </c>
      <c r="CX6" s="11" t="n">
        <v>0</v>
      </c>
      <c r="CY6" s="11" t="n">
        <v>0.0101766560423743</v>
      </c>
      <c r="CZ6" s="11" t="n">
        <v>-0.0504069014046377</v>
      </c>
      <c r="DA6" s="11" t="n">
        <v>8.89148416766954</v>
      </c>
      <c r="DB6" s="11" t="n">
        <v>-0.0109474078306363</v>
      </c>
      <c r="DC6" s="11" t="n">
        <v>11.2426126459904</v>
      </c>
      <c r="DD6" s="11" t="n">
        <v>0.270951017590421</v>
      </c>
      <c r="DE6" s="11" t="n">
        <v>0.67515923566879</v>
      </c>
      <c r="DF6" s="11" t="n">
        <v>-0.0814963396468703</v>
      </c>
      <c r="DG6" s="11" t="n">
        <v>-0.0104502437430068</v>
      </c>
      <c r="DH6" s="11" t="n">
        <v>-7.10460959038635</v>
      </c>
      <c r="DI6" s="11" t="n">
        <v>85.9902935049896</v>
      </c>
      <c r="DJ6" s="11" t="n">
        <v>64.7359990603541</v>
      </c>
      <c r="DK6" s="11" t="n">
        <v>57.364981702965</v>
      </c>
      <c r="DL6" s="11" t="n">
        <v>49.05</v>
      </c>
      <c r="DM6" s="11" t="n">
        <v>0.745222929936306</v>
      </c>
      <c r="DN6" s="11" t="n">
        <v>0.56687898089172</v>
      </c>
      <c r="DO6" s="11" t="n">
        <v>-0.0116281527917613</v>
      </c>
      <c r="DP6" s="11" t="n">
        <v>0</v>
      </c>
      <c r="DQ6" s="11" t="n">
        <v>0</v>
      </c>
      <c r="DR6" s="11" t="n">
        <v>0</v>
      </c>
      <c r="DS6" s="11" t="n">
        <v>0</v>
      </c>
      <c r="DT6" s="11" t="n">
        <v>0</v>
      </c>
      <c r="DU6" s="11" t="n">
        <v>0</v>
      </c>
      <c r="DV6" s="11" t="n">
        <v>5</v>
      </c>
      <c r="DW6" s="11" t="s">
        <v>573</v>
      </c>
      <c r="DX6" s="11" t="n">
        <v>0.406307</v>
      </c>
      <c r="DY6" s="11" t="n">
        <v>-0.0252562429857785</v>
      </c>
      <c r="DZ6" s="11" t="n">
        <v>0.837870242985778</v>
      </c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 t="n">
        <v>5.76975590947727</v>
      </c>
      <c r="EP6" s="11" t="n">
        <v>66.104851708657</v>
      </c>
      <c r="EQ6" s="11" t="n">
        <v>1588.53580584165</v>
      </c>
      <c r="ER6" s="11" t="n">
        <v>2.83255775225742</v>
      </c>
      <c r="ES6" s="11" t="n">
        <v>2.83255775225742</v>
      </c>
      <c r="ET6" s="11" t="n">
        <v>1.62371906116323</v>
      </c>
      <c r="EU6" s="11" t="n">
        <v>35.7933437816413</v>
      </c>
      <c r="EV6" s="11" t="n">
        <v>35.7933437816413</v>
      </c>
      <c r="EW6" s="11" t="n">
        <v>462.804568991401</v>
      </c>
      <c r="EX6" s="11" t="n">
        <v>648.60176152969</v>
      </c>
      <c r="EY6" s="11" t="n">
        <v>0.798452175581892</v>
      </c>
      <c r="EZ6" s="11" t="n">
        <v>1.51869003981555</v>
      </c>
      <c r="FA6" s="11" t="n">
        <v>0.0429909926264723</v>
      </c>
      <c r="FB6" s="11" t="n">
        <v>1</v>
      </c>
      <c r="FC6" s="11" t="n">
        <v>0</v>
      </c>
      <c r="FD6" s="11" t="n">
        <v>0</v>
      </c>
      <c r="FE6" s="11" t="s">
        <v>574</v>
      </c>
      <c r="FF6" s="11" t="s">
        <v>195</v>
      </c>
      <c r="FG6" s="11" t="n">
        <v>157</v>
      </c>
      <c r="FH6" s="11" t="s">
        <v>575</v>
      </c>
      <c r="FI6" s="11" t="s">
        <v>59</v>
      </c>
      <c r="FJ6" s="11" t="n">
        <v>0.2</v>
      </c>
      <c r="FK6" s="11" t="n">
        <v>0.149791424000985</v>
      </c>
      <c r="FL6" s="11" t="n">
        <v>0.0957563007974888</v>
      </c>
      <c r="FM6" s="11" t="n">
        <v>0</v>
      </c>
      <c r="FN6" s="11" t="n">
        <v>1</v>
      </c>
      <c r="FO6" s="11" t="n">
        <v>0.49474969678829</v>
      </c>
      <c r="FP6" s="11" t="n">
        <v>0.37292842427385</v>
      </c>
      <c r="FQ6" s="11" t="n">
        <v>0.122611464968153</v>
      </c>
      <c r="FR6" s="11" t="n">
        <v>0</v>
      </c>
      <c r="FS6" s="11" t="n">
        <v>0.494651797154682</v>
      </c>
      <c r="FT6" s="11" t="n">
        <v>0.370560971625208</v>
      </c>
      <c r="FU6" s="11" t="n">
        <v>1</v>
      </c>
      <c r="FV6" s="11" t="n">
        <v>5.45853779848187</v>
      </c>
      <c r="FW6" s="11" t="n">
        <v>200.348313074362</v>
      </c>
      <c r="FX6" s="11" t="n">
        <v>0.0119562410581531</v>
      </c>
      <c r="FY6" s="11" t="n">
        <v>1</v>
      </c>
      <c r="FZ6" s="11" t="n">
        <v>10</v>
      </c>
      <c r="GA6" s="11" t="n">
        <v>1</v>
      </c>
      <c r="GB6" s="11" t="s">
        <v>576</v>
      </c>
      <c r="GC6" s="11" t="n">
        <v>0.929752033986863</v>
      </c>
      <c r="GD6" s="11" t="n">
        <v>0.959581508757962</v>
      </c>
      <c r="GE6" s="11" t="n">
        <v>0.961467309863823</v>
      </c>
      <c r="GF6" s="11" t="n">
        <v>0.961783439490446</v>
      </c>
      <c r="GG6" s="11" t="n">
        <v>0</v>
      </c>
      <c r="GH6" s="11" t="n">
        <v>0</v>
      </c>
      <c r="GI6" s="11" t="n">
        <v>0.0247864920744572</v>
      </c>
      <c r="GJ6" s="11" t="n">
        <v>0.0386281619263682</v>
      </c>
      <c r="GK6" s="11" t="n">
        <v>0.0352872751051646</v>
      </c>
      <c r="GL6" s="11" t="n">
        <v>0.0415103448373948</v>
      </c>
      <c r="GM6" s="11" t="n">
        <v>0.00414653559782254</v>
      </c>
      <c r="GN6" s="11" t="n">
        <v>5.2612046955378E-005</v>
      </c>
      <c r="GO6" s="11" t="n">
        <v>0.960589171974522</v>
      </c>
      <c r="GP6" s="11" t="n">
        <v>0.961783439490446</v>
      </c>
      <c r="GQ6" s="11" t="n">
        <v>-0.0308918803930283</v>
      </c>
      <c r="GR6" s="11" t="n">
        <v>1</v>
      </c>
      <c r="GS6" s="11" t="n">
        <v>1</v>
      </c>
      <c r="GT6" s="11" t="n">
        <v>0</v>
      </c>
      <c r="GU6" s="11" t="n">
        <v>0</v>
      </c>
      <c r="GV6" s="11" t="n">
        <v>1</v>
      </c>
      <c r="GW6" s="11" t="n">
        <v>1</v>
      </c>
      <c r="GX6" s="11" t="n">
        <v>1</v>
      </c>
      <c r="GY6" s="11" t="n">
        <v>1</v>
      </c>
      <c r="GZ6" s="11" t="n">
        <v>1</v>
      </c>
      <c r="HA6" s="11" t="n">
        <v>1</v>
      </c>
      <c r="HB6" s="11" t="n">
        <v>1</v>
      </c>
      <c r="HC6" s="11" t="n">
        <v>1</v>
      </c>
      <c r="HD6" s="11" t="n">
        <v>1</v>
      </c>
      <c r="HE6" s="11" t="n">
        <v>0</v>
      </c>
      <c r="HF6" s="11" t="n">
        <v>1</v>
      </c>
      <c r="HG6" s="11" t="n">
        <v>0</v>
      </c>
      <c r="HH6" s="11" t="n">
        <v>1</v>
      </c>
      <c r="HI6" s="11" t="n">
        <v>0</v>
      </c>
      <c r="HJ6" s="11" t="n">
        <v>0</v>
      </c>
      <c r="HK6" s="11" t="s">
        <v>590</v>
      </c>
      <c r="HL6" s="11" t="s">
        <v>577</v>
      </c>
      <c r="HM6" s="11" t="n">
        <v>1</v>
      </c>
      <c r="HN6" s="11" t="s">
        <v>591</v>
      </c>
      <c r="HO6" s="11" t="s">
        <v>578</v>
      </c>
      <c r="HP6" s="11" t="s">
        <v>578</v>
      </c>
      <c r="HQ6" s="11" t="n">
        <v>0</v>
      </c>
      <c r="HR6" s="11" t="s">
        <v>189</v>
      </c>
      <c r="HS6" s="11" t="s">
        <v>249</v>
      </c>
      <c r="HT6" s="11" t="s">
        <v>249</v>
      </c>
      <c r="HU6" s="11" t="s">
        <v>592</v>
      </c>
      <c r="HV6" s="11" t="s">
        <v>592</v>
      </c>
      <c r="HW6" s="11" t="s">
        <v>593</v>
      </c>
      <c r="HX6" s="11" t="s">
        <v>582</v>
      </c>
      <c r="HY6" s="11" t="s">
        <v>583</v>
      </c>
      <c r="HZ6" s="11" t="s">
        <v>594</v>
      </c>
      <c r="IA6" s="11" t="s">
        <v>589</v>
      </c>
      <c r="IB6" s="11" t="s">
        <v>595</v>
      </c>
      <c r="IC6" s="11" t="s">
        <v>195</v>
      </c>
      <c r="ID6" s="11" t="s">
        <v>586</v>
      </c>
      <c r="IE6" s="11"/>
      <c r="IF6" s="11"/>
      <c r="IG6" s="11"/>
      <c r="IH6" s="11"/>
    </row>
    <row r="7" customFormat="false" ht="15" hidden="false" customHeight="false" outlineLevel="0" collapsed="false">
      <c r="A7" s="11" t="s">
        <v>84</v>
      </c>
      <c r="B7" s="11" t="s">
        <v>596</v>
      </c>
      <c r="C7" s="11" t="s">
        <v>569</v>
      </c>
      <c r="D7" s="11" t="s">
        <v>570</v>
      </c>
      <c r="E7" s="11" t="s">
        <v>51</v>
      </c>
      <c r="F7" s="11"/>
      <c r="G7" s="11"/>
      <c r="H7" s="11" t="s">
        <v>597</v>
      </c>
      <c r="I7" s="11" t="s">
        <v>598</v>
      </c>
      <c r="J7" s="11" t="n">
        <v>126</v>
      </c>
      <c r="K7" s="11" t="n">
        <v>4.2</v>
      </c>
      <c r="L7" s="11" t="n">
        <v>0.744342982769012</v>
      </c>
      <c r="M7" s="11" t="n">
        <v>0.785682439804077</v>
      </c>
      <c r="N7" s="11" t="n">
        <v>0</v>
      </c>
      <c r="O7" s="11" t="n">
        <v>1.9996998500979</v>
      </c>
      <c r="P7" s="11" t="n">
        <v>1.93763369796001</v>
      </c>
      <c r="Q7" s="11" t="n">
        <v>0.213963362373492</v>
      </c>
      <c r="R7" s="11" t="n">
        <v>0.523809523809524</v>
      </c>
      <c r="S7" s="11" t="n">
        <v>0.412698412698413</v>
      </c>
      <c r="T7" s="11" t="n">
        <v>0.0714285714285714</v>
      </c>
      <c r="U7" s="11" t="n">
        <v>0</v>
      </c>
      <c r="V7" s="11" t="n">
        <v>0</v>
      </c>
      <c r="W7" s="11" t="n">
        <v>0.650793650793651</v>
      </c>
      <c r="X7" s="11" t="n">
        <v>0.285714285714286</v>
      </c>
      <c r="Y7" s="11" t="n">
        <v>0.452380952380952</v>
      </c>
      <c r="Z7" s="11" t="n">
        <v>0.603174603174603</v>
      </c>
      <c r="AA7" s="11" t="n">
        <v>0.198412698412698</v>
      </c>
      <c r="AB7" s="11" t="n">
        <v>0.0476190476190476</v>
      </c>
      <c r="AC7" s="11" t="n">
        <v>-0.00227969299860356</v>
      </c>
      <c r="AD7" s="11" t="n">
        <v>-0.00656673474094396</v>
      </c>
      <c r="AE7" s="11" t="n">
        <v>0.538461538461538</v>
      </c>
      <c r="AF7" s="11" t="n">
        <v>0.296703296703297</v>
      </c>
      <c r="AG7" s="11" t="n">
        <v>0.0659340659340659</v>
      </c>
      <c r="AH7" s="11" t="n">
        <v>0.365079365079365</v>
      </c>
      <c r="AI7" s="11" t="n">
        <v>0.198412698412698</v>
      </c>
      <c r="AJ7" s="11" t="n">
        <v>0.0476190476190476</v>
      </c>
      <c r="AK7" s="11" t="n">
        <v>0.389004060508428</v>
      </c>
      <c r="AL7" s="11" t="n">
        <v>0</v>
      </c>
      <c r="AM7" s="11" t="n">
        <v>0</v>
      </c>
      <c r="AN7" s="11" t="n">
        <v>0</v>
      </c>
      <c r="AO7" s="11"/>
      <c r="AP7" s="11"/>
      <c r="AQ7" s="11"/>
      <c r="AR7" s="11" t="n">
        <v>0</v>
      </c>
      <c r="AS7" s="11" t="n">
        <v>0.0158730158730159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0.00859674242576602</v>
      </c>
      <c r="AZ7" s="11" t="n">
        <v>0.0223892657010468</v>
      </c>
      <c r="BA7" s="11"/>
      <c r="BB7" s="11" t="n">
        <v>0.0317460317460317</v>
      </c>
      <c r="BC7" s="11" t="n">
        <v>0.738095238095238</v>
      </c>
      <c r="BD7" s="11" t="n">
        <v>0.206349206349206</v>
      </c>
      <c r="BE7" s="11" t="n">
        <v>0.746031746031746</v>
      </c>
      <c r="BF7" s="11" t="n">
        <v>0.547619047619048</v>
      </c>
      <c r="BG7" s="11" t="n">
        <v>0.753968253968254</v>
      </c>
      <c r="BH7" s="11" t="n">
        <v>0.738095238095238</v>
      </c>
      <c r="BI7" s="11" t="n">
        <v>0.761904761904762</v>
      </c>
      <c r="BJ7" s="11" t="n">
        <v>0.198063868529659</v>
      </c>
      <c r="BK7" s="11" t="n">
        <v>0.0837946322649339</v>
      </c>
      <c r="BL7" s="11" t="n">
        <v>0.205576283037038</v>
      </c>
      <c r="BM7" s="11" t="n">
        <v>0.0304006581218161</v>
      </c>
      <c r="BN7" s="11" t="n">
        <v>0.441659871178032</v>
      </c>
      <c r="BO7" s="11" t="n">
        <v>0.297213735226897</v>
      </c>
      <c r="BP7" s="11" t="n">
        <v>0.0127627459418677</v>
      </c>
      <c r="BQ7" s="11" t="n">
        <v>0.00718418832905553</v>
      </c>
      <c r="BR7" s="11" t="n">
        <v>3.45250379011318</v>
      </c>
      <c r="BS7" s="11" t="n">
        <v>17.9161359234684</v>
      </c>
      <c r="BT7" s="11" t="n">
        <v>16.7132408287647</v>
      </c>
      <c r="BU7" s="11" t="n">
        <v>19.8063868529659</v>
      </c>
      <c r="BV7" s="11" t="n">
        <v>11.7786533860086</v>
      </c>
      <c r="BW7" s="11" t="n">
        <v>11.1041811456604</v>
      </c>
      <c r="BX7" s="11" t="n">
        <v>5.36317964087449</v>
      </c>
      <c r="BY7" s="11" t="n">
        <v>8.49036912889545</v>
      </c>
      <c r="BZ7" s="11" t="n">
        <v>0.698412698412698</v>
      </c>
      <c r="CA7" s="11" t="n">
        <v>0.897727272727273</v>
      </c>
      <c r="CB7" s="11" t="n">
        <v>0.386363636363636</v>
      </c>
      <c r="CC7" s="11" t="n">
        <v>0.613636363636364</v>
      </c>
      <c r="CD7" s="11" t="n">
        <v>0.829545454545455</v>
      </c>
      <c r="CE7" s="11" t="n">
        <v>0.698412698412698</v>
      </c>
      <c r="CF7" s="11" t="n">
        <v>5</v>
      </c>
      <c r="CG7" s="11" t="n">
        <v>0</v>
      </c>
      <c r="CH7" s="11" t="n">
        <v>0.897727272727273</v>
      </c>
      <c r="CI7" s="11" t="n">
        <v>0.613636363636364</v>
      </c>
      <c r="CJ7" s="11" t="n">
        <v>0.829545454545455</v>
      </c>
      <c r="CK7" s="11" t="n">
        <v>0.0789473684210526</v>
      </c>
      <c r="CL7" s="11" t="n">
        <v>0.0526315789473684</v>
      </c>
      <c r="CM7" s="11" t="n">
        <v>0.0789473684210526</v>
      </c>
      <c r="CN7" s="11" t="n">
        <v>0.0789473684210526</v>
      </c>
      <c r="CO7" s="11" t="n">
        <v>0</v>
      </c>
      <c r="CP7" s="11" t="n">
        <v>0</v>
      </c>
      <c r="CQ7" s="11" t="n">
        <v>0</v>
      </c>
      <c r="CR7" s="11" t="n">
        <v>0</v>
      </c>
      <c r="CS7" s="11" t="n">
        <v>0.142857142857143</v>
      </c>
      <c r="CT7" s="11" t="n">
        <v>0.0952380952380952</v>
      </c>
      <c r="CU7" s="11" t="n">
        <v>0.142857142857143</v>
      </c>
      <c r="CV7" s="11" t="n">
        <v>0.142857142857143</v>
      </c>
      <c r="CW7" s="11" t="n">
        <v>0.0909090909090909</v>
      </c>
      <c r="CX7" s="11" t="n">
        <v>0</v>
      </c>
      <c r="CY7" s="11" t="n">
        <v>-0.0348605208315237</v>
      </c>
      <c r="CZ7" s="11" t="n">
        <v>-0.126729297526805</v>
      </c>
      <c r="DA7" s="11" t="n">
        <v>9.25045755624272</v>
      </c>
      <c r="DB7" s="11" t="n">
        <v>-0.0922704341087671</v>
      </c>
      <c r="DC7" s="11" t="n">
        <v>17.0313567625757</v>
      </c>
      <c r="DD7" s="11" t="n">
        <v>0.353451285395412</v>
      </c>
      <c r="DE7" s="11" t="n">
        <v>0.476190476190476</v>
      </c>
      <c r="DF7" s="11" t="n">
        <v>-0.0573266586049186</v>
      </c>
      <c r="DG7" s="11" t="n">
        <v>-0.13027831143643</v>
      </c>
      <c r="DH7" s="11" t="n">
        <v>7.29516528315118</v>
      </c>
      <c r="DI7" s="11" t="n">
        <v>125.951042773795</v>
      </c>
      <c r="DJ7" s="11" t="n">
        <v>74.5629011687064</v>
      </c>
      <c r="DK7" s="11" t="n">
        <v>13.4417919136047</v>
      </c>
      <c r="DL7" s="11" t="n">
        <v>49.05</v>
      </c>
      <c r="DM7" s="11" t="n">
        <v>0.706349206349206</v>
      </c>
      <c r="DN7" s="11" t="n">
        <v>0.666666666666667</v>
      </c>
      <c r="DO7" s="11" t="n">
        <v>-0.0127989153777993</v>
      </c>
      <c r="DP7" s="11" t="n">
        <v>0</v>
      </c>
      <c r="DQ7" s="11" t="n">
        <v>0</v>
      </c>
      <c r="DR7" s="11" t="n">
        <v>0</v>
      </c>
      <c r="DS7" s="11" t="n">
        <v>0</v>
      </c>
      <c r="DT7" s="11" t="n">
        <v>0</v>
      </c>
      <c r="DU7" s="11" t="n">
        <v>0</v>
      </c>
      <c r="DV7" s="11" t="n">
        <v>5</v>
      </c>
      <c r="DW7" s="11" t="s">
        <v>573</v>
      </c>
      <c r="DX7" s="11" t="n">
        <v>0.406307</v>
      </c>
      <c r="DY7" s="11" t="n">
        <v>-0.0183191164261581</v>
      </c>
      <c r="DZ7" s="11" t="n">
        <v>0.830933116426158</v>
      </c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 t="n">
        <v>6.20061283401647</v>
      </c>
      <c r="EP7" s="11" t="n">
        <v>73.1251265309453</v>
      </c>
      <c r="EQ7" s="11" t="n">
        <v>1789.07778579173</v>
      </c>
      <c r="ER7" s="11" t="n">
        <v>4.65657737833229</v>
      </c>
      <c r="ES7" s="11" t="n">
        <v>4.65657737833229</v>
      </c>
      <c r="ET7" s="11" t="n">
        <v>2.01710919432201</v>
      </c>
      <c r="EU7" s="11" t="n">
        <v>48.476769777309</v>
      </c>
      <c r="EV7" s="11" t="n">
        <v>48.476769777309</v>
      </c>
      <c r="EW7" s="11" t="n">
        <v>551.30487865992</v>
      </c>
      <c r="EX7" s="11" t="n">
        <v>760.191483019771</v>
      </c>
      <c r="EY7" s="11" t="n">
        <v>1.34044098017901</v>
      </c>
      <c r="EZ7" s="11" t="n">
        <v>0.786447697146435</v>
      </c>
      <c r="FA7" s="11" t="n">
        <v>0.0482168161900734</v>
      </c>
      <c r="FB7" s="11" t="n">
        <v>1</v>
      </c>
      <c r="FC7" s="11" t="n">
        <v>0</v>
      </c>
      <c r="FD7" s="11" t="n">
        <v>0</v>
      </c>
      <c r="FE7" s="11" t="s">
        <v>574</v>
      </c>
      <c r="FF7" s="11" t="s">
        <v>202</v>
      </c>
      <c r="FG7" s="11" t="n">
        <v>126</v>
      </c>
      <c r="FH7" s="11" t="s">
        <v>575</v>
      </c>
      <c r="FI7" s="11" t="s">
        <v>59</v>
      </c>
      <c r="FJ7" s="11" t="n">
        <v>0.2</v>
      </c>
      <c r="FK7" s="11" t="n">
        <v>0.128447783177838</v>
      </c>
      <c r="FL7" s="11" t="n">
        <v>0.0741860158692334</v>
      </c>
      <c r="FM7" s="11" t="n">
        <v>0</v>
      </c>
      <c r="FN7" s="11" t="n">
        <v>1</v>
      </c>
      <c r="FO7" s="11" t="n">
        <v>0.786206534415652</v>
      </c>
      <c r="FP7" s="11" t="n">
        <v>0.602439409869023</v>
      </c>
      <c r="FQ7" s="11" t="n">
        <v>0.244047619047619</v>
      </c>
      <c r="FR7" s="11" t="n">
        <v>0</v>
      </c>
      <c r="FS7" s="11" t="n">
        <v>0.78314906471787</v>
      </c>
      <c r="FT7" s="11" t="n">
        <v>0.601761330814212</v>
      </c>
      <c r="FU7" s="11" t="n">
        <v>1</v>
      </c>
      <c r="FV7" s="11" t="n">
        <v>9.0444871416134</v>
      </c>
      <c r="FW7" s="11" t="n">
        <v>261.806865532889</v>
      </c>
      <c r="FX7" s="11" t="n">
        <v>0.0207663059072396</v>
      </c>
      <c r="FY7" s="11" t="n">
        <v>1</v>
      </c>
      <c r="FZ7" s="11" t="n">
        <v>21</v>
      </c>
      <c r="GA7" s="11" t="n">
        <v>1</v>
      </c>
      <c r="GB7" s="11" t="s">
        <v>576</v>
      </c>
      <c r="GC7" s="11" t="n">
        <v>0.931990123930432</v>
      </c>
      <c r="GD7" s="11" t="n">
        <v>0.950629340277778</v>
      </c>
      <c r="GE7" s="11" t="n">
        <v>0.952380952380952</v>
      </c>
      <c r="GF7" s="11" t="n">
        <v>0.952380952380952</v>
      </c>
      <c r="GG7" s="11" t="n">
        <v>0</v>
      </c>
      <c r="GH7" s="11" t="n">
        <v>0</v>
      </c>
      <c r="GI7" s="11" t="n">
        <v>0.0424809431397224</v>
      </c>
      <c r="GJ7" s="11" t="n">
        <v>0.0517009298634967</v>
      </c>
      <c r="GK7" s="11" t="n">
        <v>0.0500308391717162</v>
      </c>
      <c r="GL7" s="11" t="n">
        <v>0.0539458584491282</v>
      </c>
      <c r="GM7" s="11" t="n">
        <v>0.00285006841645843</v>
      </c>
      <c r="GN7" s="11" t="n">
        <v>8.47710542161838E-005</v>
      </c>
      <c r="GO7" s="11" t="n">
        <v>0.952380952380952</v>
      </c>
      <c r="GP7" s="11" t="n">
        <v>0.952380952380952</v>
      </c>
      <c r="GQ7" s="11" t="n">
        <v>-0.0331066660583019</v>
      </c>
      <c r="GR7" s="11" t="n">
        <v>1</v>
      </c>
      <c r="GS7" s="11" t="n">
        <v>1</v>
      </c>
      <c r="GT7" s="11" t="n">
        <v>0</v>
      </c>
      <c r="GU7" s="11" t="n">
        <v>0</v>
      </c>
      <c r="GV7" s="11" t="n">
        <v>1</v>
      </c>
      <c r="GW7" s="11" t="n">
        <v>1</v>
      </c>
      <c r="GX7" s="11" t="n">
        <v>1</v>
      </c>
      <c r="GY7" s="11" t="n">
        <v>1</v>
      </c>
      <c r="GZ7" s="11" t="n">
        <v>1</v>
      </c>
      <c r="HA7" s="11" t="n">
        <v>1</v>
      </c>
      <c r="HB7" s="11" t="n">
        <v>1</v>
      </c>
      <c r="HC7" s="11" t="n">
        <v>1</v>
      </c>
      <c r="HD7" s="11" t="n">
        <v>1</v>
      </c>
      <c r="HE7" s="11" t="n">
        <v>1</v>
      </c>
      <c r="HF7" s="11" t="n">
        <v>1</v>
      </c>
      <c r="HG7" s="11" t="n">
        <v>1</v>
      </c>
      <c r="HH7" s="11" t="n">
        <v>1</v>
      </c>
      <c r="HI7" s="11" t="n">
        <v>1</v>
      </c>
      <c r="HJ7" s="11" t="n">
        <v>1</v>
      </c>
      <c r="HK7" s="11"/>
      <c r="HL7" s="11" t="s">
        <v>577</v>
      </c>
      <c r="HM7" s="11" t="n">
        <v>1</v>
      </c>
      <c r="HN7" s="11" t="s">
        <v>10</v>
      </c>
      <c r="HO7" s="11" t="s">
        <v>578</v>
      </c>
      <c r="HP7" s="11" t="s">
        <v>578</v>
      </c>
      <c r="HQ7" s="11" t="n">
        <v>0</v>
      </c>
      <c r="HR7" s="11" t="s">
        <v>189</v>
      </c>
      <c r="HS7" s="11" t="s">
        <v>579</v>
      </c>
      <c r="HT7" s="11" t="s">
        <v>579</v>
      </c>
      <c r="HU7" s="11" t="s">
        <v>599</v>
      </c>
      <c r="HV7" s="11" t="s">
        <v>599</v>
      </c>
      <c r="HW7" s="11" t="s">
        <v>600</v>
      </c>
      <c r="HX7" s="11" t="s">
        <v>601</v>
      </c>
      <c r="HY7" s="11" t="s">
        <v>583</v>
      </c>
      <c r="HZ7" s="11" t="s">
        <v>602</v>
      </c>
      <c r="IA7" s="11" t="s">
        <v>597</v>
      </c>
      <c r="IB7" s="11" t="s">
        <v>603</v>
      </c>
      <c r="IC7" s="11" t="s">
        <v>202</v>
      </c>
      <c r="ID7" s="11" t="s">
        <v>604</v>
      </c>
      <c r="IE7" s="11"/>
      <c r="IF7" s="11"/>
      <c r="IG7" s="11"/>
      <c r="IH7" s="11"/>
    </row>
    <row r="8" customFormat="false" ht="15" hidden="false" customHeight="false" outlineLevel="0" collapsed="false">
      <c r="A8" s="11" t="s">
        <v>84</v>
      </c>
      <c r="B8" s="11" t="s">
        <v>605</v>
      </c>
      <c r="C8" s="11" t="s">
        <v>588</v>
      </c>
      <c r="D8" s="11" t="s">
        <v>570</v>
      </c>
      <c r="E8" s="11" t="s">
        <v>51</v>
      </c>
      <c r="F8" s="11"/>
      <c r="G8" s="11"/>
      <c r="H8" s="11" t="s">
        <v>606</v>
      </c>
      <c r="I8" s="11" t="s">
        <v>201</v>
      </c>
      <c r="J8" s="11" t="n">
        <v>126</v>
      </c>
      <c r="K8" s="11" t="n">
        <v>4.2</v>
      </c>
      <c r="L8" s="11" t="n">
        <v>0.744436264038086</v>
      </c>
      <c r="M8" s="11" t="n">
        <v>0.781549036502838</v>
      </c>
      <c r="N8" s="11" t="n">
        <v>0</v>
      </c>
      <c r="O8" s="11" t="n">
        <v>1.94428185440423</v>
      </c>
      <c r="P8" s="11" t="n">
        <v>1.92668226185715</v>
      </c>
      <c r="Q8" s="11" t="n">
        <v>0.292469415024755</v>
      </c>
      <c r="R8" s="11" t="n">
        <v>0.444444444444444</v>
      </c>
      <c r="S8" s="11" t="n">
        <v>0.357142857142857</v>
      </c>
      <c r="T8" s="11" t="n">
        <v>0.0317460317460317</v>
      </c>
      <c r="U8" s="11" t="n">
        <v>0</v>
      </c>
      <c r="V8" s="11" t="n">
        <v>0</v>
      </c>
      <c r="W8" s="11" t="n">
        <v>0.468253968253968</v>
      </c>
      <c r="X8" s="11" t="n">
        <v>0.373015873015873</v>
      </c>
      <c r="Y8" s="11" t="n">
        <v>0.444444444444444</v>
      </c>
      <c r="Z8" s="11" t="n">
        <v>0.468253968253968</v>
      </c>
      <c r="AA8" s="11" t="n">
        <v>0.0238095238095238</v>
      </c>
      <c r="AB8" s="11" t="n">
        <v>0</v>
      </c>
      <c r="AC8" s="11" t="n">
        <v>-0.00117367247171811</v>
      </c>
      <c r="AD8" s="11" t="n">
        <v>-0.00397405225566858</v>
      </c>
      <c r="AE8" s="11" t="n">
        <v>0.1875</v>
      </c>
      <c r="AF8" s="11" t="n">
        <v>0.046875</v>
      </c>
      <c r="AG8" s="11" t="n">
        <v>0</v>
      </c>
      <c r="AH8" s="11" t="n">
        <v>0.0952380952380952</v>
      </c>
      <c r="AI8" s="11" t="n">
        <v>0.0238095238095238</v>
      </c>
      <c r="AJ8" s="11" t="n">
        <v>0</v>
      </c>
      <c r="AK8" s="11" t="n">
        <v>0.411258696582839</v>
      </c>
      <c r="AL8" s="11" t="n">
        <v>0</v>
      </c>
      <c r="AM8" s="11" t="n">
        <v>0</v>
      </c>
      <c r="AN8" s="11" t="n">
        <v>0</v>
      </c>
      <c r="AO8" s="11"/>
      <c r="AP8" s="11"/>
      <c r="AQ8" s="11"/>
      <c r="AR8" s="11" t="n">
        <v>0</v>
      </c>
      <c r="AS8" s="11" t="n">
        <v>0</v>
      </c>
      <c r="AT8" s="11" t="n">
        <v>0</v>
      </c>
      <c r="AU8" s="11" t="n">
        <v>0</v>
      </c>
      <c r="AV8" s="11" t="n">
        <v>0</v>
      </c>
      <c r="AW8" s="11" t="n">
        <v>0</v>
      </c>
      <c r="AX8" s="11" t="n">
        <v>0</v>
      </c>
      <c r="AY8" s="11" t="n">
        <v>0.0091914424136889</v>
      </c>
      <c r="AZ8" s="11" t="n">
        <v>0.0207349709955592</v>
      </c>
      <c r="BA8" s="11"/>
      <c r="BB8" s="11" t="n">
        <v>0.26984126984127</v>
      </c>
      <c r="BC8" s="11" t="n">
        <v>0.801587301587302</v>
      </c>
      <c r="BD8" s="11" t="n">
        <v>0.373015873015873</v>
      </c>
      <c r="BE8" s="11" t="n">
        <v>0.80952380952381</v>
      </c>
      <c r="BF8" s="11" t="n">
        <v>0.468253968253968</v>
      </c>
      <c r="BG8" s="11" t="n">
        <v>0.825396825396825</v>
      </c>
      <c r="BH8" s="11" t="n">
        <v>0.523809523809524</v>
      </c>
      <c r="BI8" s="11" t="n">
        <v>0.841269841269841</v>
      </c>
      <c r="BJ8" s="11" t="n">
        <v>0.141989149014663</v>
      </c>
      <c r="BK8" s="11" t="n">
        <v>0.0635453176980839</v>
      </c>
      <c r="BL8" s="11" t="n">
        <v>0.118647705626299</v>
      </c>
      <c r="BM8" s="11" t="n">
        <v>0.0475520203155068</v>
      </c>
      <c r="BN8" s="11" t="n">
        <v>0.451323640968011</v>
      </c>
      <c r="BO8" s="11" t="n">
        <v>0.331862591181898</v>
      </c>
      <c r="BP8" s="11" t="n">
        <v>0.0110512646000256</v>
      </c>
      <c r="BQ8" s="11" t="n">
        <v>0.00383819579123764</v>
      </c>
      <c r="BR8" s="11" t="n">
        <v>3.63189165080147</v>
      </c>
      <c r="BS8" s="11" t="n">
        <v>13.7381779755928</v>
      </c>
      <c r="BT8" s="11" t="n">
        <v>14.9526316337109</v>
      </c>
      <c r="BU8" s="11" t="n">
        <v>14.1989149014663</v>
      </c>
      <c r="BV8" s="11" t="n">
        <v>6.79801278129693</v>
      </c>
      <c r="BW8" s="11" t="n">
        <v>10.6620125325848</v>
      </c>
      <c r="BX8" s="11" t="n">
        <v>3.27606774906579</v>
      </c>
      <c r="BY8" s="11" t="n">
        <v>8.36759790237574</v>
      </c>
      <c r="BZ8" s="11" t="n">
        <v>0.698412698412698</v>
      </c>
      <c r="CA8" s="11" t="n">
        <v>0.568181818181818</v>
      </c>
      <c r="CB8" s="11" t="n">
        <v>0.431818181818182</v>
      </c>
      <c r="CC8" s="11" t="n">
        <v>0.534090909090909</v>
      </c>
      <c r="CD8" s="11" t="n">
        <v>0.568181818181818</v>
      </c>
      <c r="CE8" s="11" t="n">
        <v>0.698412698412698</v>
      </c>
      <c r="CF8" s="11" t="n">
        <v>5</v>
      </c>
      <c r="CG8" s="11" t="n">
        <v>0</v>
      </c>
      <c r="CH8" s="11" t="n">
        <v>0.568181818181818</v>
      </c>
      <c r="CI8" s="11" t="n">
        <v>0.534090909090909</v>
      </c>
      <c r="CJ8" s="11" t="n">
        <v>0.568181818181818</v>
      </c>
      <c r="CK8" s="11" t="n">
        <v>0.236842105263158</v>
      </c>
      <c r="CL8" s="11" t="n">
        <v>0.236842105263158</v>
      </c>
      <c r="CM8" s="11" t="n">
        <v>0.236842105263158</v>
      </c>
      <c r="CN8" s="11" t="n">
        <v>0.236842105263158</v>
      </c>
      <c r="CO8" s="11" t="n">
        <v>0</v>
      </c>
      <c r="CP8" s="11" t="n">
        <v>0</v>
      </c>
      <c r="CQ8" s="11" t="n">
        <v>0</v>
      </c>
      <c r="CR8" s="11" t="n">
        <v>0</v>
      </c>
      <c r="CS8" s="11" t="n">
        <v>0.428571428571429</v>
      </c>
      <c r="CT8" s="11" t="n">
        <v>0.428571428571429</v>
      </c>
      <c r="CU8" s="11" t="n">
        <v>0.428571428571429</v>
      </c>
      <c r="CV8" s="11" t="n">
        <v>0.428571428571429</v>
      </c>
      <c r="CW8" s="11" t="n">
        <v>0.0454545454545455</v>
      </c>
      <c r="CX8" s="11" t="n">
        <v>0</v>
      </c>
      <c r="CY8" s="11" t="n">
        <v>0.00779010640453105</v>
      </c>
      <c r="CZ8" s="11" t="n">
        <v>-0.0504878675051408</v>
      </c>
      <c r="DA8" s="11" t="n">
        <v>9.0026485831548</v>
      </c>
      <c r="DB8" s="11" t="n">
        <v>-0.0177108817515979</v>
      </c>
      <c r="DC8" s="11" t="n">
        <v>16.8336247756198</v>
      </c>
      <c r="DD8" s="11" t="n">
        <v>0.169986569903887</v>
      </c>
      <c r="DE8" s="11" t="n">
        <v>0.476190476190476</v>
      </c>
      <c r="DF8" s="11" t="n">
        <v>-0.022353103701912</v>
      </c>
      <c r="DG8" s="11" t="n">
        <v>-0.0561529343130109</v>
      </c>
      <c r="DH8" s="11" t="n">
        <v>3.37998306110989</v>
      </c>
      <c r="DI8" s="11" t="n">
        <v>118.206278882639</v>
      </c>
      <c r="DJ8" s="11" t="n">
        <v>65.731273794519</v>
      </c>
      <c r="DK8" s="11" t="n">
        <v>18.6948982128884</v>
      </c>
      <c r="DL8" s="11" t="n">
        <v>49.05</v>
      </c>
      <c r="DM8" s="11" t="n">
        <v>0.706349206349206</v>
      </c>
      <c r="DN8" s="11" t="n">
        <v>0.666666666666667</v>
      </c>
      <c r="DO8" s="11" t="n">
        <v>-0.0127989153777993</v>
      </c>
      <c r="DP8" s="11" t="n">
        <v>0</v>
      </c>
      <c r="DQ8" s="11" t="n">
        <v>0</v>
      </c>
      <c r="DR8" s="11" t="n">
        <v>0</v>
      </c>
      <c r="DS8" s="11" t="n">
        <v>0</v>
      </c>
      <c r="DT8" s="11" t="n">
        <v>0</v>
      </c>
      <c r="DU8" s="11" t="n">
        <v>0</v>
      </c>
      <c r="DV8" s="11" t="n">
        <v>5</v>
      </c>
      <c r="DW8" s="11" t="s">
        <v>573</v>
      </c>
      <c r="DX8" s="11" t="n">
        <v>0.406307</v>
      </c>
      <c r="DY8" s="11" t="n">
        <v>-0.0183191164261581</v>
      </c>
      <c r="DZ8" s="11" t="n">
        <v>0.830933116426158</v>
      </c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 t="n">
        <v>6.40721372686578</v>
      </c>
      <c r="EP8" s="11" t="n">
        <v>78.0022357007753</v>
      </c>
      <c r="EQ8" s="11" t="n">
        <v>1735.14917767006</v>
      </c>
      <c r="ER8" s="11" t="n">
        <v>3.64222528921757</v>
      </c>
      <c r="ES8" s="11" t="n">
        <v>3.64222528921757</v>
      </c>
      <c r="ET8" s="11" t="n">
        <v>1.7702433438935</v>
      </c>
      <c r="EU8" s="11" t="n">
        <v>40.6048409686715</v>
      </c>
      <c r="EV8" s="11" t="n">
        <v>40.6048409686715</v>
      </c>
      <c r="EW8" s="11" t="n">
        <v>590.912560689988</v>
      </c>
      <c r="EX8" s="11" t="n">
        <v>757.319653699518</v>
      </c>
      <c r="EY8" s="11" t="n">
        <v>1.24284208571503</v>
      </c>
      <c r="EZ8" s="11" t="n">
        <v>0.660506522188541</v>
      </c>
      <c r="FA8" s="11" t="n">
        <v>0.049866820624134</v>
      </c>
      <c r="FB8" s="11" t="n">
        <v>1</v>
      </c>
      <c r="FC8" s="11" t="n">
        <v>0</v>
      </c>
      <c r="FD8" s="11" t="n">
        <v>0</v>
      </c>
      <c r="FE8" s="11" t="s">
        <v>574</v>
      </c>
      <c r="FF8" s="11" t="s">
        <v>202</v>
      </c>
      <c r="FG8" s="11" t="n">
        <v>126</v>
      </c>
      <c r="FH8" s="11" t="s">
        <v>575</v>
      </c>
      <c r="FI8" s="11" t="s">
        <v>59</v>
      </c>
      <c r="FJ8" s="11" t="n">
        <v>0.2</v>
      </c>
      <c r="FK8" s="11" t="n">
        <v>0.124188880692955</v>
      </c>
      <c r="FL8" s="11" t="n">
        <v>0.0757992363792183</v>
      </c>
      <c r="FM8" s="11" t="n">
        <v>0</v>
      </c>
      <c r="FN8" s="11" t="n">
        <v>1</v>
      </c>
      <c r="FO8" s="11" t="n">
        <v>0.641176819084954</v>
      </c>
      <c r="FP8" s="11" t="n">
        <v>0.403477138951696</v>
      </c>
      <c r="FQ8" s="11" t="n">
        <v>0.0833333333333333</v>
      </c>
      <c r="FR8" s="11" t="n">
        <v>0</v>
      </c>
      <c r="FS8" s="11" t="n">
        <v>0.637013731257339</v>
      </c>
      <c r="FT8" s="11" t="n">
        <v>0.402306365240243</v>
      </c>
      <c r="FU8" s="11" t="n">
        <v>1</v>
      </c>
      <c r="FV8" s="11" t="n">
        <v>9.19111203922208</v>
      </c>
      <c r="FW8" s="11" t="n">
        <v>301.888651117446</v>
      </c>
      <c r="FX8" s="11" t="n">
        <v>0.0184319717096957</v>
      </c>
      <c r="FY8" s="11" t="n">
        <v>1</v>
      </c>
      <c r="FZ8" s="11" t="n">
        <v>21</v>
      </c>
      <c r="GA8" s="11" t="n">
        <v>1</v>
      </c>
      <c r="GB8" s="11" t="s">
        <v>576</v>
      </c>
      <c r="GC8" s="11" t="n">
        <v>0.951439993722098</v>
      </c>
      <c r="GD8" s="11" t="n">
        <v>0.952380952380952</v>
      </c>
      <c r="GE8" s="11" t="n">
        <v>0.952380952380952</v>
      </c>
      <c r="GF8" s="11" t="n">
        <v>0.952380952380952</v>
      </c>
      <c r="GG8" s="11" t="n">
        <v>0</v>
      </c>
      <c r="GH8" s="11" t="n">
        <v>0</v>
      </c>
      <c r="GI8" s="11" t="n">
        <v>0.0708040735336244</v>
      </c>
      <c r="GJ8" s="11" t="n">
        <v>0.0873892313194653</v>
      </c>
      <c r="GK8" s="11" t="n">
        <v>0.0836171803497318</v>
      </c>
      <c r="GL8" s="11" t="n">
        <v>0.0898139324660103</v>
      </c>
      <c r="GM8" s="11" t="n">
        <v>8.00228651016029E-005</v>
      </c>
      <c r="GN8" s="11" t="n">
        <v>0</v>
      </c>
      <c r="GO8" s="11" t="n">
        <v>0.952380952380952</v>
      </c>
      <c r="GP8" s="11" t="n">
        <v>0.952380952380952</v>
      </c>
      <c r="GQ8" s="11" t="n">
        <v>-0.0273882709443569</v>
      </c>
      <c r="GR8" s="11" t="n">
        <v>1</v>
      </c>
      <c r="GS8" s="11" t="n">
        <v>1</v>
      </c>
      <c r="GT8" s="11" t="n">
        <v>0</v>
      </c>
      <c r="GU8" s="11" t="n">
        <v>0</v>
      </c>
      <c r="GV8" s="11" t="n">
        <v>1</v>
      </c>
      <c r="GW8" s="11" t="n">
        <v>1</v>
      </c>
      <c r="GX8" s="11" t="n">
        <v>1</v>
      </c>
      <c r="GY8" s="11" t="n">
        <v>0</v>
      </c>
      <c r="GZ8" s="11" t="n">
        <v>1</v>
      </c>
      <c r="HA8" s="11" t="n">
        <v>1</v>
      </c>
      <c r="HB8" s="11" t="n">
        <v>1</v>
      </c>
      <c r="HC8" s="11" t="n">
        <v>1</v>
      </c>
      <c r="HD8" s="11" t="n">
        <v>1</v>
      </c>
      <c r="HE8" s="11" t="n">
        <v>1</v>
      </c>
      <c r="HF8" s="11" t="n">
        <v>1</v>
      </c>
      <c r="HG8" s="11" t="n">
        <v>1</v>
      </c>
      <c r="HH8" s="11" t="n">
        <v>0</v>
      </c>
      <c r="HI8" s="11" t="n">
        <v>0</v>
      </c>
      <c r="HJ8" s="11" t="n">
        <v>0</v>
      </c>
      <c r="HK8" s="11" t="s">
        <v>137</v>
      </c>
      <c r="HL8" s="11" t="s">
        <v>577</v>
      </c>
      <c r="HM8" s="11" t="n">
        <v>1</v>
      </c>
      <c r="HN8" s="11" t="s">
        <v>591</v>
      </c>
      <c r="HO8" s="11" t="s">
        <v>578</v>
      </c>
      <c r="HP8" s="11" t="s">
        <v>578</v>
      </c>
      <c r="HQ8" s="11" t="n">
        <v>0</v>
      </c>
      <c r="HR8" s="11" t="s">
        <v>189</v>
      </c>
      <c r="HS8" s="11" t="s">
        <v>190</v>
      </c>
      <c r="HT8" s="11" t="s">
        <v>190</v>
      </c>
      <c r="HU8" s="11" t="s">
        <v>607</v>
      </c>
      <c r="HV8" s="11" t="s">
        <v>607</v>
      </c>
      <c r="HW8" s="11" t="s">
        <v>608</v>
      </c>
      <c r="HX8" s="11" t="s">
        <v>601</v>
      </c>
      <c r="HY8" s="11" t="s">
        <v>583</v>
      </c>
      <c r="HZ8" s="11" t="s">
        <v>609</v>
      </c>
      <c r="IA8" s="11" t="s">
        <v>606</v>
      </c>
      <c r="IB8" s="11" t="s">
        <v>610</v>
      </c>
      <c r="IC8" s="11" t="s">
        <v>202</v>
      </c>
      <c r="ID8" s="11" t="s">
        <v>604</v>
      </c>
      <c r="IE8" s="11"/>
      <c r="IF8" s="11"/>
      <c r="IG8" s="11"/>
      <c r="IH8" s="11"/>
    </row>
    <row r="9" customFormat="false" ht="15" hidden="false" customHeight="false" outlineLevel="0" collapsed="false">
      <c r="A9" s="11" t="s">
        <v>85</v>
      </c>
      <c r="B9" s="11" t="s">
        <v>611</v>
      </c>
      <c r="C9" s="11" t="s">
        <v>569</v>
      </c>
      <c r="D9" s="11" t="s">
        <v>570</v>
      </c>
      <c r="E9" s="11" t="s">
        <v>51</v>
      </c>
      <c r="F9" s="11"/>
      <c r="G9" s="11"/>
      <c r="H9" s="11" t="s">
        <v>612</v>
      </c>
      <c r="I9" s="11" t="s">
        <v>613</v>
      </c>
      <c r="J9" s="11" t="n">
        <v>147</v>
      </c>
      <c r="K9" s="11" t="n">
        <v>4.9</v>
      </c>
      <c r="L9" s="11" t="n">
        <v>0.755594491958618</v>
      </c>
      <c r="M9" s="11" t="n">
        <v>0.817615270614624</v>
      </c>
      <c r="N9" s="11" t="n">
        <v>0</v>
      </c>
      <c r="O9" s="11" t="n">
        <v>2.16496778856535</v>
      </c>
      <c r="P9" s="11" t="n">
        <v>1.87621187558628</v>
      </c>
      <c r="Q9" s="11" t="n">
        <v>0.598924853892092</v>
      </c>
      <c r="R9" s="11" t="n">
        <v>0.394557823129252</v>
      </c>
      <c r="S9" s="11" t="n">
        <v>0.360544217687075</v>
      </c>
      <c r="T9" s="11" t="n">
        <v>0.0340136054421769</v>
      </c>
      <c r="U9" s="11" t="n">
        <v>0.00680272108843537</v>
      </c>
      <c r="V9" s="11" t="n">
        <v>0</v>
      </c>
      <c r="W9" s="11" t="n">
        <v>0.755102040816326</v>
      </c>
      <c r="X9" s="11" t="n">
        <v>0.163265306122449</v>
      </c>
      <c r="Y9" s="11" t="n">
        <v>0.285714285714286</v>
      </c>
      <c r="Z9" s="11" t="n">
        <v>0.54421768707483</v>
      </c>
      <c r="AA9" s="11" t="n">
        <v>0.469387755102041</v>
      </c>
      <c r="AB9" s="11" t="n">
        <v>0.210884353741497</v>
      </c>
      <c r="AC9" s="11" t="n">
        <v>-0.00374106888680847</v>
      </c>
      <c r="AD9" s="11" t="n">
        <v>-0.0128305466663815</v>
      </c>
      <c r="AE9" s="11" t="n">
        <v>0.746753246753247</v>
      </c>
      <c r="AF9" s="11" t="n">
        <v>0.551948051948052</v>
      </c>
      <c r="AG9" s="11" t="n">
        <v>0.24025974025974</v>
      </c>
      <c r="AH9" s="11" t="n">
        <v>0.591836734693878</v>
      </c>
      <c r="AI9" s="11" t="n">
        <v>0.469387755102041</v>
      </c>
      <c r="AJ9" s="11" t="n">
        <v>0.210884353741497</v>
      </c>
      <c r="AK9" s="11" t="n">
        <v>0.408048958856056</v>
      </c>
      <c r="AL9" s="11" t="n">
        <v>0</v>
      </c>
      <c r="AM9" s="11" t="n">
        <v>0</v>
      </c>
      <c r="AN9" s="11" t="n">
        <v>0</v>
      </c>
      <c r="AO9" s="11"/>
      <c r="AP9" s="11"/>
      <c r="AQ9" s="11"/>
      <c r="AR9" s="11" t="n">
        <v>0</v>
      </c>
      <c r="AS9" s="11" t="n">
        <v>0.054421768707483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0.00931259314514315</v>
      </c>
      <c r="AZ9" s="11" t="n">
        <v>0.0251056605163869</v>
      </c>
      <c r="BA9" s="11"/>
      <c r="BB9" s="11" t="n">
        <v>0.197278911564626</v>
      </c>
      <c r="BC9" s="11" t="n">
        <v>0.891156462585034</v>
      </c>
      <c r="BD9" s="11" t="n">
        <v>0.340136054421769</v>
      </c>
      <c r="BE9" s="11" t="n">
        <v>0.925170068027211</v>
      </c>
      <c r="BF9" s="11" t="n">
        <v>0.551020408163265</v>
      </c>
      <c r="BG9" s="11" t="n">
        <v>0.972789115646259</v>
      </c>
      <c r="BH9" s="11" t="n">
        <v>0.789115646258503</v>
      </c>
      <c r="BI9" s="11" t="n">
        <v>0.979591836734694</v>
      </c>
      <c r="BJ9" s="11" t="n">
        <v>0.199186230423335</v>
      </c>
      <c r="BK9" s="11" t="n">
        <v>0.0904957895961019</v>
      </c>
      <c r="BL9" s="11" t="n">
        <v>0.158063615246923</v>
      </c>
      <c r="BM9" s="11" t="n">
        <v>0.0646790104453079</v>
      </c>
      <c r="BN9" s="11" t="n">
        <v>0.448781416547718</v>
      </c>
      <c r="BO9" s="11" t="n">
        <v>0.323696426899349</v>
      </c>
      <c r="BP9" s="11" t="n">
        <v>0.00883097840598288</v>
      </c>
      <c r="BQ9" s="11" t="n">
        <v>0.00350624298277251</v>
      </c>
      <c r="BR9" s="11" t="n">
        <v>3.63559739911203</v>
      </c>
      <c r="BS9" s="11" t="n">
        <v>18.5560641514647</v>
      </c>
      <c r="BT9" s="11" t="n">
        <v>18.9353915906597</v>
      </c>
      <c r="BU9" s="11" t="n">
        <v>19.9186230423335</v>
      </c>
      <c r="BV9" s="11" t="n">
        <v>9.05637804822797</v>
      </c>
      <c r="BW9" s="11" t="n">
        <v>13.8052890896506</v>
      </c>
      <c r="BX9" s="11" t="n">
        <v>7.3001273282133</v>
      </c>
      <c r="BY9" s="11" t="n">
        <v>9.82876247924443</v>
      </c>
      <c r="BZ9" s="11" t="n">
        <v>0.789115646258503</v>
      </c>
      <c r="CA9" s="11" t="n">
        <v>0.896551724137931</v>
      </c>
      <c r="CB9" s="11" t="n">
        <v>0.206896551724138</v>
      </c>
      <c r="CC9" s="11" t="n">
        <v>0.344827586206897</v>
      </c>
      <c r="CD9" s="11" t="n">
        <v>0.655172413793103</v>
      </c>
      <c r="CE9" s="11" t="n">
        <v>0.789115646258503</v>
      </c>
      <c r="CF9" s="11" t="n">
        <v>5</v>
      </c>
      <c r="CG9" s="11" t="n">
        <v>0</v>
      </c>
      <c r="CH9" s="11" t="n">
        <v>0.896551724137931</v>
      </c>
      <c r="CI9" s="11" t="n">
        <v>0.344827586206897</v>
      </c>
      <c r="CJ9" s="11" t="n">
        <v>0.655172413793103</v>
      </c>
      <c r="CK9" s="11" t="n">
        <v>0.225806451612903</v>
      </c>
      <c r="CL9" s="11" t="n">
        <v>0</v>
      </c>
      <c r="CM9" s="11" t="n">
        <v>0.0645161290322581</v>
      </c>
      <c r="CN9" s="11" t="n">
        <v>0.129032258064516</v>
      </c>
      <c r="CO9" s="11" t="n">
        <v>0.3125</v>
      </c>
      <c r="CP9" s="11" t="n">
        <v>0</v>
      </c>
      <c r="CQ9" s="11" t="n">
        <v>0.125</v>
      </c>
      <c r="CR9" s="11" t="n">
        <v>0.1875</v>
      </c>
      <c r="CS9" s="11" t="n">
        <v>0.133333333333333</v>
      </c>
      <c r="CT9" s="11" t="n">
        <v>0</v>
      </c>
      <c r="CU9" s="11" t="n">
        <v>0</v>
      </c>
      <c r="CV9" s="11" t="n">
        <v>0.0666666666666667</v>
      </c>
      <c r="CW9" s="11" t="n">
        <v>0.0258620689655172</v>
      </c>
      <c r="CX9" s="11" t="n">
        <v>0</v>
      </c>
      <c r="CY9" s="11" t="n">
        <v>-0.0536633789944217</v>
      </c>
      <c r="CZ9" s="11" t="n">
        <v>-0.178156766365293</v>
      </c>
      <c r="DA9" s="11" t="n">
        <v>10.5605348648375</v>
      </c>
      <c r="DB9" s="11" t="n">
        <v>-0.097770486501731</v>
      </c>
      <c r="DC9" s="11" t="n">
        <v>15.3344985733605</v>
      </c>
      <c r="DD9" s="11" t="n">
        <v>0.408831998774637</v>
      </c>
      <c r="DE9" s="11" t="n">
        <v>0.619047619047619</v>
      </c>
      <c r="DF9" s="11" t="n">
        <v>-0.0663634463058782</v>
      </c>
      <c r="DG9" s="11" t="n">
        <v>-0.135751074311822</v>
      </c>
      <c r="DH9" s="11" t="n">
        <v>6.9387628005944</v>
      </c>
      <c r="DI9" s="11" t="n">
        <v>168.628458380031</v>
      </c>
      <c r="DJ9" s="11" t="n">
        <v>109.655595064419</v>
      </c>
      <c r="DK9" s="11" t="n">
        <v>21.9893180781106</v>
      </c>
      <c r="DL9" s="11" t="n">
        <v>49.05</v>
      </c>
      <c r="DM9" s="11" t="n">
        <v>0.63265306122449</v>
      </c>
      <c r="DN9" s="11" t="n">
        <v>0.557823129251701</v>
      </c>
      <c r="DO9" s="11" t="n">
        <v>-0.0127779286108692</v>
      </c>
      <c r="DP9" s="11" t="n">
        <v>0</v>
      </c>
      <c r="DQ9" s="11" t="n">
        <v>0.0952380952380952</v>
      </c>
      <c r="DR9" s="11" t="n">
        <v>0.0476190476190476</v>
      </c>
      <c r="DS9" s="11" t="n">
        <v>0.0136054421768708</v>
      </c>
      <c r="DT9" s="11" t="n">
        <v>0</v>
      </c>
      <c r="DU9" s="11" t="n">
        <v>0</v>
      </c>
      <c r="DV9" s="11" t="n">
        <v>5</v>
      </c>
      <c r="DW9" s="11" t="s">
        <v>573</v>
      </c>
      <c r="DX9" s="11" t="n">
        <v>0.406307</v>
      </c>
      <c r="DY9" s="11" t="n">
        <v>0.013591812862106</v>
      </c>
      <c r="DZ9" s="11" t="n">
        <v>0.799022187137894</v>
      </c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 t="n">
        <v>6.7489012981896</v>
      </c>
      <c r="EP9" s="11" t="n">
        <v>79.1560218886713</v>
      </c>
      <c r="EQ9" s="11" t="n">
        <v>1797.150220038</v>
      </c>
      <c r="ER9" s="11" t="n">
        <v>4.36472931556522</v>
      </c>
      <c r="ES9" s="11" t="n">
        <v>4.36472931556522</v>
      </c>
      <c r="ET9" s="11" t="n">
        <v>1.95142672908945</v>
      </c>
      <c r="EU9" s="11" t="n">
        <v>92.5165432499548</v>
      </c>
      <c r="EV9" s="11" t="n">
        <v>92.5165432499548</v>
      </c>
      <c r="EW9" s="11" t="n">
        <v>521.645361382416</v>
      </c>
      <c r="EX9" s="11" t="n">
        <v>639.42271147425</v>
      </c>
      <c r="EY9" s="11" t="n">
        <v>1.47897552433743</v>
      </c>
      <c r="EZ9" s="11" t="n">
        <v>1.70994595266957</v>
      </c>
      <c r="FA9" s="11" t="n">
        <v>0.0495179966205569</v>
      </c>
      <c r="FB9" s="11" t="n">
        <v>0.986394557823129</v>
      </c>
      <c r="FC9" s="11" t="n">
        <v>0</v>
      </c>
      <c r="FD9" s="11" t="n">
        <v>0</v>
      </c>
      <c r="FE9" s="11" t="s">
        <v>574</v>
      </c>
      <c r="FF9" s="11" t="s">
        <v>209</v>
      </c>
      <c r="FG9" s="11" t="n">
        <v>147</v>
      </c>
      <c r="FH9" s="11" t="s">
        <v>575</v>
      </c>
      <c r="FI9" s="11" t="s">
        <v>59</v>
      </c>
      <c r="FJ9" s="11" t="n">
        <v>0.2</v>
      </c>
      <c r="FK9" s="11" t="n">
        <v>0.175551813750023</v>
      </c>
      <c r="FL9" s="11" t="n">
        <v>0.0894471411230278</v>
      </c>
      <c r="FM9" s="11" t="n">
        <v>0</v>
      </c>
      <c r="FN9" s="11" t="n">
        <v>1</v>
      </c>
      <c r="FO9" s="11" t="n">
        <v>0.75077339238235</v>
      </c>
      <c r="FP9" s="11" t="n">
        <v>0.561583857083144</v>
      </c>
      <c r="FQ9" s="11" t="n">
        <v>0.301020408163265</v>
      </c>
      <c r="FR9" s="11" t="n">
        <v>0</v>
      </c>
      <c r="FS9" s="11" t="n">
        <v>0.750486071003901</v>
      </c>
      <c r="FT9" s="11" t="n">
        <v>0.560571651496028</v>
      </c>
      <c r="FU9" s="11" t="n">
        <v>1</v>
      </c>
      <c r="FV9" s="11" t="n">
        <v>7.71557133366525</v>
      </c>
      <c r="FW9" s="11" t="n">
        <v>217.602068051012</v>
      </c>
      <c r="FX9" s="11" t="n">
        <v>0.0170648429844427</v>
      </c>
      <c r="FY9" s="11" t="n">
        <v>1</v>
      </c>
      <c r="FZ9" s="11" t="n">
        <v>15</v>
      </c>
      <c r="GA9" s="11" t="n">
        <v>1</v>
      </c>
      <c r="GB9" s="11" t="s">
        <v>576</v>
      </c>
      <c r="GC9" s="11" t="n">
        <v>0.951251179182611</v>
      </c>
      <c r="GD9" s="11" t="n">
        <v>0.959170386904762</v>
      </c>
      <c r="GE9" s="11" t="n">
        <v>0.959183673469388</v>
      </c>
      <c r="GF9" s="11" t="n">
        <v>0.959183673469388</v>
      </c>
      <c r="GG9" s="11" t="n">
        <v>0</v>
      </c>
      <c r="GH9" s="11" t="n">
        <v>0</v>
      </c>
      <c r="GI9" s="11" t="n">
        <v>0.0274804855286434</v>
      </c>
      <c r="GJ9" s="11" t="n">
        <v>0.0355211728296819</v>
      </c>
      <c r="GK9" s="11" t="n">
        <v>0.0335060222185318</v>
      </c>
      <c r="GL9" s="11" t="n">
        <v>0.0370991356974962</v>
      </c>
      <c r="GM9" s="11" t="n">
        <v>0.000647534075165377</v>
      </c>
      <c r="GN9" s="11" t="n">
        <v>2.768034379546E-007</v>
      </c>
      <c r="GO9" s="11" t="n">
        <v>0.959183673469388</v>
      </c>
      <c r="GP9" s="11" t="n">
        <v>0.959183673469388</v>
      </c>
      <c r="GQ9" s="11" t="n">
        <v>-0.0235610753297806</v>
      </c>
      <c r="GR9" s="11" t="n">
        <v>1</v>
      </c>
      <c r="GS9" s="11" t="n">
        <v>1</v>
      </c>
      <c r="GT9" s="11" t="n">
        <v>0</v>
      </c>
      <c r="GU9" s="11" t="n">
        <v>0</v>
      </c>
      <c r="GV9" s="11" t="n">
        <v>1</v>
      </c>
      <c r="GW9" s="11" t="n">
        <v>1</v>
      </c>
      <c r="GX9" s="11" t="n">
        <v>1</v>
      </c>
      <c r="GY9" s="11" t="n">
        <v>1</v>
      </c>
      <c r="GZ9" s="11" t="n">
        <v>0</v>
      </c>
      <c r="HA9" s="11" t="n">
        <v>1</v>
      </c>
      <c r="HB9" s="11" t="n">
        <v>1</v>
      </c>
      <c r="HC9" s="11" t="n">
        <v>1</v>
      </c>
      <c r="HD9" s="11" t="n">
        <v>1</v>
      </c>
      <c r="HE9" s="11" t="n">
        <v>1</v>
      </c>
      <c r="HF9" s="11" t="n">
        <v>1</v>
      </c>
      <c r="HG9" s="11" t="n">
        <v>1</v>
      </c>
      <c r="HH9" s="11" t="n">
        <v>0</v>
      </c>
      <c r="HI9" s="11" t="n">
        <v>0</v>
      </c>
      <c r="HJ9" s="11" t="n">
        <v>0</v>
      </c>
      <c r="HK9" s="11" t="s">
        <v>138</v>
      </c>
      <c r="HL9" s="11" t="s">
        <v>577</v>
      </c>
      <c r="HM9" s="11" t="n">
        <v>1</v>
      </c>
      <c r="HN9" s="11" t="s">
        <v>10</v>
      </c>
      <c r="HO9" s="11" t="s">
        <v>578</v>
      </c>
      <c r="HP9" s="11" t="s">
        <v>578</v>
      </c>
      <c r="HQ9" s="11" t="n">
        <v>0</v>
      </c>
      <c r="HR9" s="11" t="s">
        <v>204</v>
      </c>
      <c r="HS9" s="11" t="s">
        <v>579</v>
      </c>
      <c r="HT9" s="11" t="s">
        <v>579</v>
      </c>
      <c r="HU9" s="11" t="s">
        <v>614</v>
      </c>
      <c r="HV9" s="11" t="s">
        <v>614</v>
      </c>
      <c r="HW9" s="11" t="s">
        <v>615</v>
      </c>
      <c r="HX9" s="11" t="s">
        <v>616</v>
      </c>
      <c r="HY9" s="11" t="s">
        <v>583</v>
      </c>
      <c r="HZ9" s="11" t="s">
        <v>617</v>
      </c>
      <c r="IA9" s="11" t="s">
        <v>612</v>
      </c>
      <c r="IB9" s="11" t="s">
        <v>618</v>
      </c>
      <c r="IC9" s="11" t="s">
        <v>209</v>
      </c>
      <c r="ID9" s="11" t="s">
        <v>619</v>
      </c>
      <c r="IE9" s="11"/>
      <c r="IF9" s="11"/>
      <c r="IG9" s="11"/>
      <c r="IH9" s="11"/>
    </row>
    <row r="10" customFormat="false" ht="15" hidden="false" customHeight="false" outlineLevel="0" collapsed="false">
      <c r="A10" s="11" t="s">
        <v>85</v>
      </c>
      <c r="B10" s="11" t="s">
        <v>620</v>
      </c>
      <c r="C10" s="11" t="s">
        <v>588</v>
      </c>
      <c r="D10" s="11" t="s">
        <v>570</v>
      </c>
      <c r="E10" s="11" t="s">
        <v>51</v>
      </c>
      <c r="F10" s="11"/>
      <c r="G10" s="11"/>
      <c r="H10" s="11" t="s">
        <v>621</v>
      </c>
      <c r="I10" s="11" t="s">
        <v>208</v>
      </c>
      <c r="J10" s="11" t="n">
        <v>147</v>
      </c>
      <c r="K10" s="11" t="n">
        <v>4.9</v>
      </c>
      <c r="L10" s="11" t="n">
        <v>0.743637681007385</v>
      </c>
      <c r="M10" s="11" t="n">
        <v>0.801008522510529</v>
      </c>
      <c r="N10" s="11" t="n">
        <v>0</v>
      </c>
      <c r="O10" s="11" t="n">
        <v>2.03240158177234</v>
      </c>
      <c r="P10" s="11" t="n">
        <v>1.86485740638309</v>
      </c>
      <c r="Q10" s="11" t="n">
        <v>0.689594913594735</v>
      </c>
      <c r="R10" s="11" t="n">
        <v>0.285714285714286</v>
      </c>
      <c r="S10" s="11" t="n">
        <v>0.340136054421769</v>
      </c>
      <c r="T10" s="11" t="n">
        <v>0.0884353741496599</v>
      </c>
      <c r="U10" s="11" t="n">
        <v>0.0136054421768708</v>
      </c>
      <c r="V10" s="11" t="n">
        <v>0</v>
      </c>
      <c r="W10" s="11" t="n">
        <v>0.598639455782313</v>
      </c>
      <c r="X10" s="11" t="n">
        <v>0.292517006802721</v>
      </c>
      <c r="Y10" s="11" t="n">
        <v>0.394557823129252</v>
      </c>
      <c r="Z10" s="11" t="n">
        <v>0.523809523809524</v>
      </c>
      <c r="AA10" s="11" t="n">
        <v>0.204081632653061</v>
      </c>
      <c r="AB10" s="11" t="n">
        <v>0.0748299319727891</v>
      </c>
      <c r="AC10" s="11" t="n">
        <v>-0.0025332667049007</v>
      </c>
      <c r="AD10" s="11" t="n">
        <v>-0.00921979758285834</v>
      </c>
      <c r="AE10" s="11" t="n">
        <v>0.495049504950495</v>
      </c>
      <c r="AF10" s="11" t="n">
        <v>0.326732673267327</v>
      </c>
      <c r="AG10" s="11" t="n">
        <v>0.108910891089109</v>
      </c>
      <c r="AH10" s="11" t="n">
        <v>0.306122448979592</v>
      </c>
      <c r="AI10" s="11" t="n">
        <v>0.204081632653061</v>
      </c>
      <c r="AJ10" s="11" t="n">
        <v>0.0748299319727891</v>
      </c>
      <c r="AK10" s="11" t="n">
        <v>0.455701756173301</v>
      </c>
      <c r="AL10" s="11" t="n">
        <v>0</v>
      </c>
      <c r="AM10" s="11" t="n">
        <v>0</v>
      </c>
      <c r="AN10" s="11" t="n">
        <v>0</v>
      </c>
      <c r="AO10" s="11"/>
      <c r="AP10" s="11"/>
      <c r="AQ10" s="11"/>
      <c r="AR10" s="11" t="n">
        <v>0</v>
      </c>
      <c r="AS10" s="11" t="n">
        <v>0.0136054421768708</v>
      </c>
      <c r="AT10" s="11" t="n">
        <v>0</v>
      </c>
      <c r="AU10" s="11" t="n">
        <v>0</v>
      </c>
      <c r="AV10" s="11" t="n">
        <v>0</v>
      </c>
      <c r="AW10" s="11" t="n">
        <v>0</v>
      </c>
      <c r="AX10" s="11" t="n">
        <v>0</v>
      </c>
      <c r="AY10" s="11" t="n">
        <v>0.00981881887101246</v>
      </c>
      <c r="AZ10" s="11" t="n">
        <v>0.024908656160123</v>
      </c>
      <c r="BA10" s="11"/>
      <c r="BB10" s="11" t="n">
        <v>0.0816326530612245</v>
      </c>
      <c r="BC10" s="11" t="n">
        <v>0.897959183673469</v>
      </c>
      <c r="BD10" s="11" t="n">
        <v>0.238095238095238</v>
      </c>
      <c r="BE10" s="11" t="n">
        <v>0.925170068027211</v>
      </c>
      <c r="BF10" s="11" t="n">
        <v>0.639455782312925</v>
      </c>
      <c r="BG10" s="11" t="n">
        <v>0.959183673469388</v>
      </c>
      <c r="BH10" s="11" t="n">
        <v>0.775510204081633</v>
      </c>
      <c r="BI10" s="11" t="n">
        <v>1</v>
      </c>
      <c r="BJ10" s="11" t="n">
        <v>0.198545064506839</v>
      </c>
      <c r="BK10" s="11" t="n">
        <v>0.128492750864178</v>
      </c>
      <c r="BL10" s="11" t="n">
        <v>0.156400219936721</v>
      </c>
      <c r="BM10" s="11" t="n">
        <v>0.10493375294915</v>
      </c>
      <c r="BN10" s="11" t="n">
        <v>0.514943836806948</v>
      </c>
      <c r="BO10" s="11" t="n">
        <v>0.559758206035985</v>
      </c>
      <c r="BP10" s="11" t="n">
        <v>0.0104820795897321</v>
      </c>
      <c r="BQ10" s="11" t="n">
        <v>0.0154233517379435</v>
      </c>
      <c r="BR10" s="11" t="n">
        <v>4.20391613597757</v>
      </c>
      <c r="BS10" s="11" t="n">
        <v>17.2873325261618</v>
      </c>
      <c r="BT10" s="11" t="n">
        <v>19.2024614452594</v>
      </c>
      <c r="BU10" s="11" t="n">
        <v>19.8545064506839</v>
      </c>
      <c r="BV10" s="11" t="n">
        <v>8.9610725172915</v>
      </c>
      <c r="BW10" s="11" t="n">
        <v>11.5126181104171</v>
      </c>
      <c r="BX10" s="11" t="n">
        <v>5.39476106905146</v>
      </c>
      <c r="BY10" s="11" t="n">
        <v>9.67799654569369</v>
      </c>
      <c r="BZ10" s="11" t="n">
        <v>0.789115646258503</v>
      </c>
      <c r="CA10" s="11" t="n">
        <v>0.71551724137931</v>
      </c>
      <c r="CB10" s="11" t="n">
        <v>0.362068965517241</v>
      </c>
      <c r="CC10" s="11" t="n">
        <v>0.482758620689655</v>
      </c>
      <c r="CD10" s="11" t="n">
        <v>0.646551724137931</v>
      </c>
      <c r="CE10" s="11" t="n">
        <v>0.789115646258503</v>
      </c>
      <c r="CF10" s="11" t="n">
        <v>5</v>
      </c>
      <c r="CG10" s="11" t="n">
        <v>0</v>
      </c>
      <c r="CH10" s="11" t="n">
        <v>0.71551724137931</v>
      </c>
      <c r="CI10" s="11" t="n">
        <v>0.482758620689655</v>
      </c>
      <c r="CJ10" s="11" t="n">
        <v>0.646551724137931</v>
      </c>
      <c r="CK10" s="11" t="n">
        <v>0.161290322580645</v>
      </c>
      <c r="CL10" s="11" t="n">
        <v>0.032258064516129</v>
      </c>
      <c r="CM10" s="11" t="n">
        <v>0.0645161290322581</v>
      </c>
      <c r="CN10" s="11" t="n">
        <v>0.0645161290322581</v>
      </c>
      <c r="CO10" s="11" t="n">
        <v>0.3125</v>
      </c>
      <c r="CP10" s="11" t="n">
        <v>0.0625</v>
      </c>
      <c r="CQ10" s="11" t="n">
        <v>0.125</v>
      </c>
      <c r="CR10" s="11" t="n">
        <v>0.125</v>
      </c>
      <c r="CS10" s="11" t="n">
        <v>0</v>
      </c>
      <c r="CT10" s="11" t="n">
        <v>0</v>
      </c>
      <c r="CU10" s="11" t="n">
        <v>0</v>
      </c>
      <c r="CV10" s="11" t="n">
        <v>0</v>
      </c>
      <c r="CW10" s="11" t="n">
        <v>0.0862068965517241</v>
      </c>
      <c r="CX10" s="11" t="n">
        <v>0</v>
      </c>
      <c r="CY10" s="11" t="n">
        <v>-0.000144064894886718</v>
      </c>
      <c r="CZ10" s="11" t="n">
        <v>-0.0894212250151765</v>
      </c>
      <c r="DA10" s="11" t="n">
        <v>9.16031345937027</v>
      </c>
      <c r="DB10" s="11" t="n">
        <v>-0.0192322645335311</v>
      </c>
      <c r="DC10" s="11" t="n">
        <v>13.5899438191452</v>
      </c>
      <c r="DD10" s="11" t="n">
        <v>0.333976576846263</v>
      </c>
      <c r="DE10" s="11" t="n">
        <v>0.619047619047619</v>
      </c>
      <c r="DF10" s="11" t="n">
        <v>0.0246486664752085</v>
      </c>
      <c r="DG10" s="11" t="n">
        <v>-0.0428110661734663</v>
      </c>
      <c r="DH10" s="11" t="n">
        <v>6.74597326486748</v>
      </c>
      <c r="DI10" s="11" t="n">
        <v>141.012898224525</v>
      </c>
      <c r="DJ10" s="11" t="n">
        <v>57.2129941793004</v>
      </c>
      <c r="DK10" s="11" t="n">
        <v>17.561170964352</v>
      </c>
      <c r="DL10" s="11" t="n">
        <v>49.05</v>
      </c>
      <c r="DM10" s="11" t="n">
        <v>0.63265306122449</v>
      </c>
      <c r="DN10" s="11" t="n">
        <v>0.557823129251701</v>
      </c>
      <c r="DO10" s="11" t="n">
        <v>-0.0127779286108692</v>
      </c>
      <c r="DP10" s="11" t="n">
        <v>0</v>
      </c>
      <c r="DQ10" s="11" t="n">
        <v>0.0272108843537415</v>
      </c>
      <c r="DR10" s="11" t="n">
        <v>0</v>
      </c>
      <c r="DS10" s="11" t="n">
        <v>0</v>
      </c>
      <c r="DT10" s="11" t="n">
        <v>0</v>
      </c>
      <c r="DU10" s="11" t="n">
        <v>0</v>
      </c>
      <c r="DV10" s="11" t="n">
        <v>5</v>
      </c>
      <c r="DW10" s="11" t="s">
        <v>573</v>
      </c>
      <c r="DX10" s="11" t="n">
        <v>0.406307</v>
      </c>
      <c r="DY10" s="11" t="n">
        <v>0.013591812862106</v>
      </c>
      <c r="DZ10" s="11" t="n">
        <v>0.799022187137894</v>
      </c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 t="n">
        <v>7.61586969359801</v>
      </c>
      <c r="EP10" s="11" t="n">
        <v>92.1805712922926</v>
      </c>
      <c r="EQ10" s="11" t="n">
        <v>1996.86303317878</v>
      </c>
      <c r="ER10" s="11" t="n">
        <v>4.45476600978242</v>
      </c>
      <c r="ES10" s="11" t="n">
        <v>4.45476600978242</v>
      </c>
      <c r="ET10" s="11" t="n">
        <v>2.12331658072326</v>
      </c>
      <c r="EU10" s="11" t="n">
        <v>53.0904872971275</v>
      </c>
      <c r="EV10" s="11" t="n">
        <v>53.0904872971275</v>
      </c>
      <c r="EW10" s="11" t="n">
        <v>593.69012479589</v>
      </c>
      <c r="EX10" s="11" t="n">
        <v>733.394516154376</v>
      </c>
      <c r="EY10" s="11" t="n">
        <v>1.4945113689301</v>
      </c>
      <c r="EZ10" s="11" t="n">
        <v>0.594259421831047</v>
      </c>
      <c r="FA10" s="11" t="n">
        <v>0.0499518713618807</v>
      </c>
      <c r="FB10" s="11" t="n">
        <v>0.972789115646259</v>
      </c>
      <c r="FC10" s="11" t="n">
        <v>0</v>
      </c>
      <c r="FD10" s="11" t="n">
        <v>0</v>
      </c>
      <c r="FE10" s="11" t="s">
        <v>574</v>
      </c>
      <c r="FF10" s="11" t="s">
        <v>209</v>
      </c>
      <c r="FG10" s="11" t="n">
        <v>147</v>
      </c>
      <c r="FH10" s="11" t="s">
        <v>575</v>
      </c>
      <c r="FI10" s="11" t="s">
        <v>59</v>
      </c>
      <c r="FJ10" s="11" t="n">
        <v>0.2</v>
      </c>
      <c r="FK10" s="11" t="n">
        <v>0.11881257696167</v>
      </c>
      <c r="FL10" s="11" t="n">
        <v>0.0714709832080573</v>
      </c>
      <c r="FM10" s="11" t="n">
        <v>0</v>
      </c>
      <c r="FN10" s="11" t="n">
        <v>1</v>
      </c>
      <c r="FO10" s="11" t="n">
        <v>0.76930024582226</v>
      </c>
      <c r="FP10" s="11" t="n">
        <v>0.633051256348898</v>
      </c>
      <c r="FQ10" s="11" t="n">
        <v>0.285714285714286</v>
      </c>
      <c r="FR10" s="11" t="n">
        <v>0</v>
      </c>
      <c r="FS10" s="11" t="n">
        <v>0.766727993093725</v>
      </c>
      <c r="FT10" s="11" t="n">
        <v>0.631328473739782</v>
      </c>
      <c r="FU10" s="11" t="n">
        <v>1</v>
      </c>
      <c r="FV10" s="11" t="n">
        <v>9.58173597326427</v>
      </c>
      <c r="FW10" s="11" t="n">
        <v>322.792354818489</v>
      </c>
      <c r="FX10" s="11" t="n">
        <v>0.018554725999805</v>
      </c>
      <c r="FY10" s="11" t="n">
        <v>1</v>
      </c>
      <c r="FZ10" s="11" t="n">
        <v>15</v>
      </c>
      <c r="GA10" s="11" t="n">
        <v>1</v>
      </c>
      <c r="GB10" s="11" t="s">
        <v>576</v>
      </c>
      <c r="GC10" s="11" t="n">
        <v>0.9524345138446</v>
      </c>
      <c r="GD10" s="11" t="n">
        <v>0.958386479591837</v>
      </c>
      <c r="GE10" s="11" t="n">
        <v>0.959179505148307</v>
      </c>
      <c r="GF10" s="11" t="n">
        <v>0.959183673469388</v>
      </c>
      <c r="GG10" s="11" t="n">
        <v>0</v>
      </c>
      <c r="GH10" s="11" t="n">
        <v>0</v>
      </c>
      <c r="GI10" s="11" t="n">
        <v>0.0474099240227774</v>
      </c>
      <c r="GJ10" s="11" t="n">
        <v>0.0572244618088007</v>
      </c>
      <c r="GK10" s="11" t="n">
        <v>0.0549733999727722</v>
      </c>
      <c r="GL10" s="11" t="n">
        <v>0.0594482360357026</v>
      </c>
      <c r="GM10" s="11" t="n">
        <v>0.000214790819929359</v>
      </c>
      <c r="GN10" s="11" t="n">
        <v>1.66082064752613E-005</v>
      </c>
      <c r="GO10" s="11" t="n">
        <v>0.958971088435374</v>
      </c>
      <c r="GP10" s="11" t="n">
        <v>0.959183673469388</v>
      </c>
      <c r="GQ10" s="11" t="n">
        <v>-0.0280430391430855</v>
      </c>
      <c r="GR10" s="11" t="n">
        <v>1</v>
      </c>
      <c r="GS10" s="11" t="n">
        <v>1</v>
      </c>
      <c r="GT10" s="11" t="n">
        <v>0</v>
      </c>
      <c r="GU10" s="11" t="n">
        <v>0</v>
      </c>
      <c r="GV10" s="11" t="n">
        <v>1</v>
      </c>
      <c r="GW10" s="11" t="n">
        <v>1</v>
      </c>
      <c r="GX10" s="11" t="n">
        <v>1</v>
      </c>
      <c r="GY10" s="11" t="n">
        <v>1</v>
      </c>
      <c r="GZ10" s="11" t="n">
        <v>1</v>
      </c>
      <c r="HA10" s="11" t="n">
        <v>1</v>
      </c>
      <c r="HB10" s="11" t="n">
        <v>1</v>
      </c>
      <c r="HC10" s="11" t="n">
        <v>1</v>
      </c>
      <c r="HD10" s="11" t="n">
        <v>1</v>
      </c>
      <c r="HE10" s="11" t="n">
        <v>1</v>
      </c>
      <c r="HF10" s="11" t="n">
        <v>1</v>
      </c>
      <c r="HG10" s="11" t="n">
        <v>1</v>
      </c>
      <c r="HH10" s="11" t="n">
        <v>1</v>
      </c>
      <c r="HI10" s="11" t="n">
        <v>1</v>
      </c>
      <c r="HJ10" s="11" t="n">
        <v>1</v>
      </c>
      <c r="HK10" s="11"/>
      <c r="HL10" s="11" t="s">
        <v>577</v>
      </c>
      <c r="HM10" s="11" t="n">
        <v>1</v>
      </c>
      <c r="HN10" s="11" t="s">
        <v>591</v>
      </c>
      <c r="HO10" s="11" t="s">
        <v>578</v>
      </c>
      <c r="HP10" s="11" t="s">
        <v>578</v>
      </c>
      <c r="HQ10" s="11" t="n">
        <v>0</v>
      </c>
      <c r="HR10" s="11" t="s">
        <v>204</v>
      </c>
      <c r="HS10" s="11" t="s">
        <v>190</v>
      </c>
      <c r="HT10" s="11" t="s">
        <v>190</v>
      </c>
      <c r="HU10" s="11" t="s">
        <v>622</v>
      </c>
      <c r="HV10" s="11" t="s">
        <v>622</v>
      </c>
      <c r="HW10" s="11" t="s">
        <v>623</v>
      </c>
      <c r="HX10" s="11" t="s">
        <v>616</v>
      </c>
      <c r="HY10" s="11" t="s">
        <v>583</v>
      </c>
      <c r="HZ10" s="11" t="s">
        <v>624</v>
      </c>
      <c r="IA10" s="11" t="s">
        <v>621</v>
      </c>
      <c r="IB10" s="11" t="s">
        <v>625</v>
      </c>
      <c r="IC10" s="11" t="s">
        <v>209</v>
      </c>
      <c r="ID10" s="11" t="s">
        <v>619</v>
      </c>
      <c r="IE10" s="11"/>
      <c r="IF10" s="11"/>
      <c r="IG10" s="11"/>
      <c r="IH10" s="11"/>
    </row>
    <row r="11" customFormat="false" ht="15" hidden="false" customHeight="false" outlineLevel="0" collapsed="false">
      <c r="A11" s="11" t="s">
        <v>86</v>
      </c>
      <c r="B11" s="11" t="s">
        <v>626</v>
      </c>
      <c r="C11" s="11" t="s">
        <v>569</v>
      </c>
      <c r="D11" s="11" t="s">
        <v>570</v>
      </c>
      <c r="E11" s="11" t="s">
        <v>51</v>
      </c>
      <c r="F11" s="11"/>
      <c r="G11" s="11"/>
      <c r="H11" s="11" t="s">
        <v>627</v>
      </c>
      <c r="I11" s="11" t="s">
        <v>628</v>
      </c>
      <c r="J11" s="11" t="n">
        <v>110</v>
      </c>
      <c r="K11" s="11" t="n">
        <v>3.66666666666667</v>
      </c>
      <c r="L11" s="11" t="n">
        <v>0.753107011318207</v>
      </c>
      <c r="M11" s="11" t="n">
        <v>0.816641926765442</v>
      </c>
      <c r="N11" s="11" t="n">
        <v>0</v>
      </c>
      <c r="O11" s="11" t="n">
        <v>1.59708291079041</v>
      </c>
      <c r="P11" s="11" t="n">
        <v>1.55429731862467</v>
      </c>
      <c r="Q11" s="11" t="n">
        <v>0.15425889883483</v>
      </c>
      <c r="R11" s="11" t="n">
        <v>0.463636363636364</v>
      </c>
      <c r="S11" s="11" t="n">
        <v>0.309090909090909</v>
      </c>
      <c r="T11" s="11" t="n">
        <v>0.00909090909090909</v>
      </c>
      <c r="U11" s="11" t="n">
        <v>0</v>
      </c>
      <c r="V11" s="11" t="n">
        <v>0</v>
      </c>
      <c r="W11" s="11" t="n">
        <v>0.718181818181818</v>
      </c>
      <c r="X11" s="11" t="n">
        <v>0.2</v>
      </c>
      <c r="Y11" s="11" t="n">
        <v>0.309090909090909</v>
      </c>
      <c r="Z11" s="11" t="n">
        <v>0.536363636363636</v>
      </c>
      <c r="AA11" s="11" t="n">
        <v>0.409090909090909</v>
      </c>
      <c r="AB11" s="11" t="n">
        <v>0.181818181818182</v>
      </c>
      <c r="AC11" s="11" t="n">
        <v>-0.00338068559702417</v>
      </c>
      <c r="AD11" s="11" t="n">
        <v>-0.00759637781234188</v>
      </c>
      <c r="AE11" s="11" t="n">
        <v>0.695652173913043</v>
      </c>
      <c r="AF11" s="11" t="n">
        <v>0.554347826086957</v>
      </c>
      <c r="AG11" s="11" t="n">
        <v>0.239130434782609</v>
      </c>
      <c r="AH11" s="11" t="n">
        <v>0.518181818181818</v>
      </c>
      <c r="AI11" s="11" t="n">
        <v>0.409090909090909</v>
      </c>
      <c r="AJ11" s="11" t="n">
        <v>0.181818181818182</v>
      </c>
      <c r="AK11" s="11" t="n">
        <v>0.430879154633896</v>
      </c>
      <c r="AL11" s="11" t="n">
        <v>0</v>
      </c>
      <c r="AM11" s="11" t="n">
        <v>0</v>
      </c>
      <c r="AN11" s="11" t="n">
        <v>0</v>
      </c>
      <c r="AO11" s="11"/>
      <c r="AP11" s="11"/>
      <c r="AQ11" s="11"/>
      <c r="AR11" s="11" t="n">
        <v>0</v>
      </c>
      <c r="AS11" s="11" t="n">
        <v>0.136363636363636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0.00766540205892247</v>
      </c>
      <c r="AZ11" s="11" t="n">
        <v>0.0189365427339113</v>
      </c>
      <c r="BA11" s="11"/>
      <c r="BB11" s="11" t="n">
        <v>0.672727272727273</v>
      </c>
      <c r="BC11" s="11" t="n">
        <v>0.781818181818182</v>
      </c>
      <c r="BD11" s="11" t="n">
        <v>0.7</v>
      </c>
      <c r="BE11" s="11" t="n">
        <v>0.790909090909091</v>
      </c>
      <c r="BF11" s="11" t="n">
        <v>0.718181818181818</v>
      </c>
      <c r="BG11" s="11" t="n">
        <v>0.827272727272727</v>
      </c>
      <c r="BH11" s="11" t="n">
        <v>0.763636363636364</v>
      </c>
      <c r="BI11" s="11" t="n">
        <v>0.918181818181818</v>
      </c>
      <c r="BJ11" s="11" t="n">
        <v>0.116432866470978</v>
      </c>
      <c r="BK11" s="11" t="n">
        <v>0.0396554907401393</v>
      </c>
      <c r="BL11" s="11" t="n">
        <v>0.132786663677199</v>
      </c>
      <c r="BM11" s="11" t="n">
        <v>0.0458574359157158</v>
      </c>
      <c r="BN11" s="11" t="n">
        <v>0.455254666615155</v>
      </c>
      <c r="BO11" s="11" t="n">
        <v>0.3559900900218</v>
      </c>
      <c r="BP11" s="11" t="n">
        <v>0.0139103899064983</v>
      </c>
      <c r="BQ11" s="11" t="n">
        <v>0.0161113807748434</v>
      </c>
      <c r="BR11" s="11" t="n">
        <v>3.62765023871329</v>
      </c>
      <c r="BS11" s="11" t="n">
        <v>12.2740070854567</v>
      </c>
      <c r="BT11" s="11" t="n">
        <v>15.6704113365364</v>
      </c>
      <c r="BU11" s="11" t="n">
        <v>11.6432866470978</v>
      </c>
      <c r="BV11" s="11" t="n">
        <v>7.60811540432581</v>
      </c>
      <c r="BW11" s="11" t="n">
        <v>10.4502258293931</v>
      </c>
      <c r="BX11" s="11" t="n">
        <v>4.86832225307164</v>
      </c>
      <c r="BY11" s="11" t="n">
        <v>6.69239077309183</v>
      </c>
      <c r="BZ11" s="11" t="n">
        <v>0.727272727272727</v>
      </c>
      <c r="CA11" s="11" t="n">
        <v>0.95</v>
      </c>
      <c r="CB11" s="11" t="n">
        <v>0.2375</v>
      </c>
      <c r="CC11" s="11" t="n">
        <v>0.3875</v>
      </c>
      <c r="CD11" s="11" t="n">
        <v>0.7</v>
      </c>
      <c r="CE11" s="11" t="n">
        <v>0.727272727272727</v>
      </c>
      <c r="CF11" s="11" t="n">
        <v>5</v>
      </c>
      <c r="CG11" s="11" t="n">
        <v>0</v>
      </c>
      <c r="CH11" s="11" t="n">
        <v>0.95</v>
      </c>
      <c r="CI11" s="11" t="n">
        <v>0.3875</v>
      </c>
      <c r="CJ11" s="11" t="n">
        <v>0.7</v>
      </c>
      <c r="CK11" s="11" t="n">
        <v>0.1</v>
      </c>
      <c r="CL11" s="11" t="n">
        <v>0.1</v>
      </c>
      <c r="CM11" s="11" t="n">
        <v>0.1</v>
      </c>
      <c r="CN11" s="11" t="n">
        <v>0.1</v>
      </c>
      <c r="CO11" s="11" t="n">
        <v>0</v>
      </c>
      <c r="CP11" s="11" t="n">
        <v>0</v>
      </c>
      <c r="CQ11" s="11" t="n">
        <v>0</v>
      </c>
      <c r="CR11" s="11" t="n">
        <v>0</v>
      </c>
      <c r="CS11" s="11" t="n">
        <v>0.230769230769231</v>
      </c>
      <c r="CT11" s="11" t="n">
        <v>0.230769230769231</v>
      </c>
      <c r="CU11" s="11" t="n">
        <v>0.230769230769231</v>
      </c>
      <c r="CV11" s="11" t="n">
        <v>0.230769230769231</v>
      </c>
      <c r="CW11" s="11" t="n">
        <v>0.0125</v>
      </c>
      <c r="CX11" s="11" t="n">
        <v>0</v>
      </c>
      <c r="CY11" s="11" t="n">
        <v>-0.0330785241211875</v>
      </c>
      <c r="CZ11" s="11" t="n">
        <v>-0.111704156688562</v>
      </c>
      <c r="DA11" s="11" t="n">
        <v>8.63948064161857</v>
      </c>
      <c r="DB11" s="11" t="n">
        <v>-0.0771007538627379</v>
      </c>
      <c r="DC11" s="11" t="n">
        <v>13.9984053575591</v>
      </c>
      <c r="DD11" s="11" t="n">
        <v>0.355164208737367</v>
      </c>
      <c r="DE11" s="11" t="n">
        <v>0.527272727272727</v>
      </c>
      <c r="DF11" s="11" t="n">
        <v>-0.0658095730124139</v>
      </c>
      <c r="DG11" s="11" t="n">
        <v>-0.103109424411294</v>
      </c>
      <c r="DH11" s="11" t="n">
        <v>3.72998513988805</v>
      </c>
      <c r="DI11" s="11" t="n">
        <v>109.21129238391</v>
      </c>
      <c r="DJ11" s="11" t="n">
        <v>78.3487135607209</v>
      </c>
      <c r="DK11" s="11" t="n">
        <v>12.1835008554296</v>
      </c>
      <c r="DL11" s="11" t="n">
        <v>49.05</v>
      </c>
      <c r="DM11" s="11" t="n">
        <v>0.645454545454546</v>
      </c>
      <c r="DN11" s="11" t="n">
        <v>0.363636363636364</v>
      </c>
      <c r="DO11" s="11" t="n">
        <v>-0.0101196396454842</v>
      </c>
      <c r="DP11" s="11" t="n">
        <v>0</v>
      </c>
      <c r="DQ11" s="11" t="n">
        <v>0</v>
      </c>
      <c r="DR11" s="11" t="n">
        <v>0</v>
      </c>
      <c r="DS11" s="11" t="n">
        <v>0</v>
      </c>
      <c r="DT11" s="11" t="n">
        <v>0</v>
      </c>
      <c r="DU11" s="11" t="n">
        <v>0</v>
      </c>
      <c r="DV11" s="11" t="n">
        <v>5</v>
      </c>
      <c r="DW11" s="11" t="s">
        <v>573</v>
      </c>
      <c r="DX11" s="11" t="n">
        <v>0.406307</v>
      </c>
      <c r="DY11" s="11" t="n">
        <v>0.0318730604789077</v>
      </c>
      <c r="DZ11" s="11" t="n">
        <v>0.780740939521092</v>
      </c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 t="n">
        <v>5.86036988760995</v>
      </c>
      <c r="EP11" s="11" t="n">
        <v>78.4777520421982</v>
      </c>
      <c r="EQ11" s="11" t="n">
        <v>1873.42352256918</v>
      </c>
      <c r="ER11" s="11" t="n">
        <v>4.30436290877239</v>
      </c>
      <c r="ES11" s="11" t="n">
        <v>4.30436290877239</v>
      </c>
      <c r="ET11" s="11" t="n">
        <v>1.60768610738173</v>
      </c>
      <c r="EU11" s="11" t="n">
        <v>54.3931745836723</v>
      </c>
      <c r="EV11" s="11" t="n">
        <v>54.3931745836723</v>
      </c>
      <c r="EW11" s="11" t="n">
        <v>516.435921469677</v>
      </c>
      <c r="EX11" s="11" t="n">
        <v>661.312357313043</v>
      </c>
      <c r="EY11" s="11" t="n">
        <v>1.13480726068139</v>
      </c>
      <c r="EZ11" s="11" t="n">
        <v>0.884335706592773</v>
      </c>
      <c r="FA11" s="11" t="n">
        <v>0.0499131230373677</v>
      </c>
      <c r="FB11" s="11" t="n">
        <v>1</v>
      </c>
      <c r="FC11" s="11" t="n">
        <v>0</v>
      </c>
      <c r="FD11" s="11" t="n">
        <v>0</v>
      </c>
      <c r="FE11" s="11" t="s">
        <v>574</v>
      </c>
      <c r="FF11" s="11" t="s">
        <v>215</v>
      </c>
      <c r="FG11" s="11" t="n">
        <v>110</v>
      </c>
      <c r="FH11" s="11" t="s">
        <v>575</v>
      </c>
      <c r="FI11" s="11" t="s">
        <v>59</v>
      </c>
      <c r="FJ11" s="11" t="n">
        <v>0.2</v>
      </c>
      <c r="FK11" s="11" t="n">
        <v>0.145978658166967</v>
      </c>
      <c r="FL11" s="11" t="n">
        <v>0.0896090289124859</v>
      </c>
      <c r="FM11" s="11" t="n">
        <v>0</v>
      </c>
      <c r="FN11" s="11" t="n">
        <v>1</v>
      </c>
      <c r="FO11" s="11" t="n">
        <v>0.597782978858787</v>
      </c>
      <c r="FP11" s="11" t="n">
        <v>0.426035983325089</v>
      </c>
      <c r="FQ11" s="11" t="n">
        <v>0.106818181818182</v>
      </c>
      <c r="FR11" s="11" t="n">
        <v>0</v>
      </c>
      <c r="FS11" s="11" t="n">
        <v>0.59319505614204</v>
      </c>
      <c r="FT11" s="11" t="n">
        <v>0.425929654693111</v>
      </c>
      <c r="FU11" s="11" t="n">
        <v>1</v>
      </c>
      <c r="FV11" s="11" t="n">
        <v>6.98154441844804</v>
      </c>
      <c r="FW11" s="11" t="n">
        <v>215.208366091016</v>
      </c>
      <c r="FX11" s="11" t="n">
        <v>0.0137044536018324</v>
      </c>
      <c r="FY11" s="11" t="n">
        <v>1</v>
      </c>
      <c r="FZ11" s="11" t="n">
        <v>13</v>
      </c>
      <c r="GA11" s="11" t="n">
        <v>1</v>
      </c>
      <c r="GB11" s="11" t="s">
        <v>576</v>
      </c>
      <c r="GC11" s="11" t="n">
        <v>0.876349154385653</v>
      </c>
      <c r="GD11" s="11" t="n">
        <v>0.91240234375</v>
      </c>
      <c r="GE11" s="11" t="n">
        <v>0.91800635027043</v>
      </c>
      <c r="GF11" s="11" t="n">
        <v>0.918181818181818</v>
      </c>
      <c r="GG11" s="11" t="n">
        <v>0.0272727272727273</v>
      </c>
      <c r="GH11" s="11" t="n">
        <v>0.0272727272727273</v>
      </c>
      <c r="GI11" s="11" t="n">
        <v>0.0377543848858543</v>
      </c>
      <c r="GJ11" s="11" t="n">
        <v>0.0473842441019687</v>
      </c>
      <c r="GK11" s="11" t="n">
        <v>0.0452841511167112</v>
      </c>
      <c r="GL11" s="11" t="n">
        <v>0.0502915176266635</v>
      </c>
      <c r="GM11" s="11" t="n">
        <v>0.00740524666880757</v>
      </c>
      <c r="GN11" s="11" t="n">
        <v>0.00199677441040959</v>
      </c>
      <c r="GO11" s="11" t="n">
        <v>0.917897727272727</v>
      </c>
      <c r="GP11" s="11" t="n">
        <v>0.918181818181818</v>
      </c>
      <c r="GQ11" s="11" t="n">
        <v>-0.0359706468880176</v>
      </c>
      <c r="GR11" s="11" t="n">
        <v>1</v>
      </c>
      <c r="GS11" s="11" t="n">
        <v>1</v>
      </c>
      <c r="GT11" s="11" t="n">
        <v>0</v>
      </c>
      <c r="GU11" s="11" t="n">
        <v>0</v>
      </c>
      <c r="GV11" s="11" t="n">
        <v>1</v>
      </c>
      <c r="GW11" s="11" t="n">
        <v>1</v>
      </c>
      <c r="GX11" s="11" t="n">
        <v>1</v>
      </c>
      <c r="GY11" s="11" t="n">
        <v>1</v>
      </c>
      <c r="GZ11" s="11" t="n">
        <v>0</v>
      </c>
      <c r="HA11" s="11" t="n">
        <v>1</v>
      </c>
      <c r="HB11" s="11" t="n">
        <v>1</v>
      </c>
      <c r="HC11" s="11" t="n">
        <v>1</v>
      </c>
      <c r="HD11" s="11" t="n">
        <v>1</v>
      </c>
      <c r="HE11" s="11" t="n">
        <v>1</v>
      </c>
      <c r="HF11" s="11" t="n">
        <v>1</v>
      </c>
      <c r="HG11" s="11" t="n">
        <v>1</v>
      </c>
      <c r="HH11" s="11" t="n">
        <v>0</v>
      </c>
      <c r="HI11" s="11" t="n">
        <v>0</v>
      </c>
      <c r="HJ11" s="11" t="n">
        <v>0</v>
      </c>
      <c r="HK11" s="11" t="s">
        <v>138</v>
      </c>
      <c r="HL11" s="11" t="s">
        <v>577</v>
      </c>
      <c r="HM11" s="11" t="n">
        <v>1</v>
      </c>
      <c r="HN11" s="11" t="s">
        <v>10</v>
      </c>
      <c r="HO11" s="11" t="s">
        <v>578</v>
      </c>
      <c r="HP11" s="11" t="s">
        <v>578</v>
      </c>
      <c r="HQ11" s="11" t="n">
        <v>0</v>
      </c>
      <c r="HR11" s="11" t="s">
        <v>189</v>
      </c>
      <c r="HS11" s="11" t="s">
        <v>579</v>
      </c>
      <c r="HT11" s="11" t="s">
        <v>579</v>
      </c>
      <c r="HU11" s="11" t="s">
        <v>629</v>
      </c>
      <c r="HV11" s="11" t="s">
        <v>629</v>
      </c>
      <c r="HW11" s="11" t="s">
        <v>630</v>
      </c>
      <c r="HX11" s="11" t="s">
        <v>631</v>
      </c>
      <c r="HY11" s="11" t="s">
        <v>583</v>
      </c>
      <c r="HZ11" s="11" t="s">
        <v>632</v>
      </c>
      <c r="IA11" s="11" t="s">
        <v>627</v>
      </c>
      <c r="IB11" s="11" t="s">
        <v>633</v>
      </c>
      <c r="IC11" s="11" t="s">
        <v>215</v>
      </c>
      <c r="ID11" s="11" t="s">
        <v>634</v>
      </c>
      <c r="IE11" s="11"/>
      <c r="IF11" s="11"/>
      <c r="IG11" s="11"/>
      <c r="IH11" s="11"/>
    </row>
    <row r="12" customFormat="false" ht="15" hidden="false" customHeight="false" outlineLevel="0" collapsed="false">
      <c r="A12" s="11" t="s">
        <v>86</v>
      </c>
      <c r="B12" s="11" t="s">
        <v>635</v>
      </c>
      <c r="C12" s="11" t="s">
        <v>588</v>
      </c>
      <c r="D12" s="11" t="s">
        <v>570</v>
      </c>
      <c r="E12" s="11" t="s">
        <v>51</v>
      </c>
      <c r="F12" s="11"/>
      <c r="G12" s="11"/>
      <c r="H12" s="11" t="s">
        <v>636</v>
      </c>
      <c r="I12" s="11" t="s">
        <v>214</v>
      </c>
      <c r="J12" s="11" t="n">
        <v>110</v>
      </c>
      <c r="K12" s="11" t="n">
        <v>3.66666666666667</v>
      </c>
      <c r="L12" s="11" t="n">
        <v>0.750339031219482</v>
      </c>
      <c r="M12" s="11" t="n">
        <v>0.811176657676697</v>
      </c>
      <c r="N12" s="11" t="n">
        <v>0</v>
      </c>
      <c r="O12" s="11" t="n">
        <v>1.58799959488559</v>
      </c>
      <c r="P12" s="11" t="n">
        <v>1.56698455545184</v>
      </c>
      <c r="Q12" s="11" t="n">
        <v>0.219131490508033</v>
      </c>
      <c r="R12" s="11" t="n">
        <v>0.363636363636364</v>
      </c>
      <c r="S12" s="11" t="n">
        <v>0.354545454545455</v>
      </c>
      <c r="T12" s="11" t="n">
        <v>0.0363636363636364</v>
      </c>
      <c r="U12" s="11" t="n">
        <v>0</v>
      </c>
      <c r="V12" s="11" t="n">
        <v>0</v>
      </c>
      <c r="W12" s="11" t="n">
        <v>0.563636363636364</v>
      </c>
      <c r="X12" s="11" t="n">
        <v>0.290909090909091</v>
      </c>
      <c r="Y12" s="11" t="n">
        <v>0.345454545454545</v>
      </c>
      <c r="Z12" s="11" t="n">
        <v>0.445454545454545</v>
      </c>
      <c r="AA12" s="11" t="n">
        <v>0.218181818181818</v>
      </c>
      <c r="AB12" s="11" t="n">
        <v>0.118181818181818</v>
      </c>
      <c r="AC12" s="11" t="n">
        <v>-0.00316465885041549</v>
      </c>
      <c r="AD12" s="11" t="n">
        <v>-0.00920735269812811</v>
      </c>
      <c r="AE12" s="11" t="n">
        <v>0.5875</v>
      </c>
      <c r="AF12" s="11" t="n">
        <v>0.5125</v>
      </c>
      <c r="AG12" s="11" t="n">
        <v>0.2</v>
      </c>
      <c r="AH12" s="11" t="n">
        <v>0.272727272727273</v>
      </c>
      <c r="AI12" s="11" t="n">
        <v>0.218181818181818</v>
      </c>
      <c r="AJ12" s="11" t="n">
        <v>0.118181818181818</v>
      </c>
      <c r="AK12" s="11" t="n">
        <v>0.442370981961864</v>
      </c>
      <c r="AL12" s="11" t="n">
        <v>0</v>
      </c>
      <c r="AM12" s="11" t="n">
        <v>0</v>
      </c>
      <c r="AN12" s="11" t="n">
        <v>0</v>
      </c>
      <c r="AO12" s="11"/>
      <c r="AP12" s="11"/>
      <c r="AQ12" s="11"/>
      <c r="AR12" s="11" t="n">
        <v>0</v>
      </c>
      <c r="AS12" s="11" t="n">
        <v>0.1</v>
      </c>
      <c r="AT12" s="11" t="n">
        <v>0</v>
      </c>
      <c r="AU12" s="11" t="n">
        <v>0</v>
      </c>
      <c r="AV12" s="11" t="n">
        <v>0</v>
      </c>
      <c r="AW12" s="11" t="n">
        <v>0</v>
      </c>
      <c r="AX12" s="11" t="n">
        <v>0</v>
      </c>
      <c r="AY12" s="11" t="n">
        <v>0.00836205438779144</v>
      </c>
      <c r="AZ12" s="11" t="n">
        <v>0.0191621308850879</v>
      </c>
      <c r="BA12" s="11"/>
      <c r="BB12" s="11" t="n">
        <v>0.209090909090909</v>
      </c>
      <c r="BC12" s="11" t="n">
        <v>0.772727272727273</v>
      </c>
      <c r="BD12" s="11" t="n">
        <v>0.490909090909091</v>
      </c>
      <c r="BE12" s="11" t="n">
        <v>0.781818181818182</v>
      </c>
      <c r="BF12" s="11" t="n">
        <v>0.618181818181818</v>
      </c>
      <c r="BG12" s="11" t="n">
        <v>0.818181818181818</v>
      </c>
      <c r="BH12" s="11" t="n">
        <v>0.727272727272727</v>
      </c>
      <c r="BI12" s="11" t="n">
        <v>0.927272727272727</v>
      </c>
      <c r="BJ12" s="11" t="n">
        <v>0.152868331051795</v>
      </c>
      <c r="BK12" s="11" t="n">
        <v>0.0375493655070709</v>
      </c>
      <c r="BL12" s="11" t="n">
        <v>0.115302498012895</v>
      </c>
      <c r="BM12" s="11" t="n">
        <v>0.0572392514554787</v>
      </c>
      <c r="BN12" s="11" t="n">
        <v>0.468356814800116</v>
      </c>
      <c r="BO12" s="11" t="n">
        <v>0.453559378511428</v>
      </c>
      <c r="BP12" s="11" t="n">
        <v>0.0104102807291883</v>
      </c>
      <c r="BQ12" s="11" t="n">
        <v>0.0125869991074679</v>
      </c>
      <c r="BR12" s="11" t="n">
        <v>3.73160332263407</v>
      </c>
      <c r="BS12" s="11" t="n">
        <v>14.0044263957123</v>
      </c>
      <c r="BT12" s="11" t="n">
        <v>18.3466165183425</v>
      </c>
      <c r="BU12" s="11" t="n">
        <v>15.2868331051795</v>
      </c>
      <c r="BV12" s="11" t="n">
        <v>6.60634650345371</v>
      </c>
      <c r="BW12" s="11" t="n">
        <v>9.43237871028085</v>
      </c>
      <c r="BX12" s="11" t="n">
        <v>3.31752693716426</v>
      </c>
      <c r="BY12" s="11" t="n">
        <v>5.78535677808721</v>
      </c>
      <c r="BZ12" s="11" t="n">
        <v>0.727272727272727</v>
      </c>
      <c r="CA12" s="11" t="n">
        <v>0.75</v>
      </c>
      <c r="CB12" s="11" t="n">
        <v>0.375</v>
      </c>
      <c r="CC12" s="11" t="n">
        <v>0.45</v>
      </c>
      <c r="CD12" s="11" t="n">
        <v>0.5875</v>
      </c>
      <c r="CE12" s="11" t="n">
        <v>0.727272727272727</v>
      </c>
      <c r="CF12" s="11" t="n">
        <v>5</v>
      </c>
      <c r="CG12" s="11" t="n">
        <v>0</v>
      </c>
      <c r="CH12" s="11" t="n">
        <v>0.75</v>
      </c>
      <c r="CI12" s="11" t="n">
        <v>0.45</v>
      </c>
      <c r="CJ12" s="11" t="n">
        <v>0.5875</v>
      </c>
      <c r="CK12" s="11" t="n">
        <v>0.0666666666666667</v>
      </c>
      <c r="CL12" s="11" t="n">
        <v>0.0666666666666667</v>
      </c>
      <c r="CM12" s="11" t="n">
        <v>0.0666666666666667</v>
      </c>
      <c r="CN12" s="11" t="n">
        <v>0.0666666666666667</v>
      </c>
      <c r="CO12" s="11" t="n">
        <v>0</v>
      </c>
      <c r="CP12" s="11" t="n">
        <v>0</v>
      </c>
      <c r="CQ12" s="11" t="n">
        <v>0</v>
      </c>
      <c r="CR12" s="11" t="n">
        <v>0</v>
      </c>
      <c r="CS12" s="11" t="n">
        <v>0.153846153846154</v>
      </c>
      <c r="CT12" s="11" t="n">
        <v>0.153846153846154</v>
      </c>
      <c r="CU12" s="11" t="n">
        <v>0.153846153846154</v>
      </c>
      <c r="CV12" s="11" t="n">
        <v>0.153846153846154</v>
      </c>
      <c r="CW12" s="11" t="n">
        <v>0.05</v>
      </c>
      <c r="CX12" s="11" t="n">
        <v>0</v>
      </c>
      <c r="CY12" s="11" t="n">
        <v>0.0116575788782755</v>
      </c>
      <c r="CZ12" s="11" t="n">
        <v>-0.0501852366565627</v>
      </c>
      <c r="DA12" s="11" t="n">
        <v>7.8269606233572</v>
      </c>
      <c r="DB12" s="11" t="n">
        <v>-0.00124677025942713</v>
      </c>
      <c r="DC12" s="11" t="n">
        <v>13.9383400069776</v>
      </c>
      <c r="DD12" s="11" t="n">
        <v>0.218004768957037</v>
      </c>
      <c r="DE12" s="11" t="n">
        <v>0.527272727272727</v>
      </c>
      <c r="DF12" s="11" t="n">
        <v>-0.0141998657177877</v>
      </c>
      <c r="DG12" s="11" t="n">
        <v>-0.0189443159547136</v>
      </c>
      <c r="DH12" s="11" t="n">
        <v>0.474445023692592</v>
      </c>
      <c r="DI12" s="11" t="n">
        <v>104.947844832169</v>
      </c>
      <c r="DJ12" s="11" t="n">
        <v>50.9099232614264</v>
      </c>
      <c r="DK12" s="11" t="n">
        <v>13.2775962522302</v>
      </c>
      <c r="DL12" s="11" t="n">
        <v>49.05</v>
      </c>
      <c r="DM12" s="11" t="n">
        <v>0.645454545454546</v>
      </c>
      <c r="DN12" s="11" t="n">
        <v>0.363636363636364</v>
      </c>
      <c r="DO12" s="11" t="n">
        <v>-0.0101196396454842</v>
      </c>
      <c r="DP12" s="11" t="n">
        <v>0</v>
      </c>
      <c r="DQ12" s="11" t="n">
        <v>0.0272727272727273</v>
      </c>
      <c r="DR12" s="11" t="n">
        <v>0</v>
      </c>
      <c r="DS12" s="11" t="n">
        <v>0</v>
      </c>
      <c r="DT12" s="11" t="n">
        <v>0</v>
      </c>
      <c r="DU12" s="11" t="n">
        <v>0</v>
      </c>
      <c r="DV12" s="11" t="n">
        <v>5</v>
      </c>
      <c r="DW12" s="11" t="s">
        <v>573</v>
      </c>
      <c r="DX12" s="11" t="n">
        <v>0.406307</v>
      </c>
      <c r="DY12" s="11" t="n">
        <v>0.0318730604789077</v>
      </c>
      <c r="DZ12" s="11" t="n">
        <v>0.780740939521092</v>
      </c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 t="n">
        <v>5.50842517384979</v>
      </c>
      <c r="EP12" s="11" t="n">
        <v>70.2855611670333</v>
      </c>
      <c r="EQ12" s="11" t="n">
        <v>1706.14981264342</v>
      </c>
      <c r="ER12" s="11" t="n">
        <v>4.34070531908903</v>
      </c>
      <c r="ES12" s="11" t="n">
        <v>4.34070531908903</v>
      </c>
      <c r="ET12" s="11" t="n">
        <v>1.59751498220777</v>
      </c>
      <c r="EU12" s="11" t="n">
        <v>41.9371281288407</v>
      </c>
      <c r="EV12" s="11" t="n">
        <v>41.9371281288407</v>
      </c>
      <c r="EW12" s="11" t="n">
        <v>477.183271356731</v>
      </c>
      <c r="EX12" s="11" t="n">
        <v>565.171678458816</v>
      </c>
      <c r="EY12" s="11" t="n">
        <v>1.13675148519082</v>
      </c>
      <c r="EZ12" s="11" t="n">
        <v>0.603660755672534</v>
      </c>
      <c r="FA12" s="11" t="n">
        <v>0.0496239266849706</v>
      </c>
      <c r="FB12" s="11" t="n">
        <v>1</v>
      </c>
      <c r="FC12" s="11" t="n">
        <v>0</v>
      </c>
      <c r="FD12" s="11" t="n">
        <v>0</v>
      </c>
      <c r="FE12" s="11" t="s">
        <v>574</v>
      </c>
      <c r="FF12" s="11" t="s">
        <v>215</v>
      </c>
      <c r="FG12" s="11" t="n">
        <v>110</v>
      </c>
      <c r="FH12" s="11" t="s">
        <v>575</v>
      </c>
      <c r="FI12" s="11" t="s">
        <v>59</v>
      </c>
      <c r="FJ12" s="11" t="n">
        <v>0.2</v>
      </c>
      <c r="FK12" s="11" t="n">
        <v>0.100920400541258</v>
      </c>
      <c r="FL12" s="11" t="n">
        <v>0.0632626044829842</v>
      </c>
      <c r="FM12" s="11" t="n">
        <v>0</v>
      </c>
      <c r="FN12" s="11" t="n">
        <v>1</v>
      </c>
      <c r="FO12" s="11" t="n">
        <v>0.684919867842336</v>
      </c>
      <c r="FP12" s="11" t="n">
        <v>0.553855911587221</v>
      </c>
      <c r="FQ12" s="11" t="n">
        <v>0.188636363636364</v>
      </c>
      <c r="FR12" s="11" t="n">
        <v>0</v>
      </c>
      <c r="FS12" s="11" t="n">
        <v>0.682750260068105</v>
      </c>
      <c r="FT12" s="11" t="n">
        <v>0.553819457846803</v>
      </c>
      <c r="FU12" s="11" t="n">
        <v>1</v>
      </c>
      <c r="FV12" s="11" t="n">
        <v>7.11692865675957</v>
      </c>
      <c r="FW12" s="11" t="n">
        <v>278.19209983453</v>
      </c>
      <c r="FX12" s="11" t="n">
        <v>0.0149250985037553</v>
      </c>
      <c r="FY12" s="11" t="n">
        <v>1</v>
      </c>
      <c r="FZ12" s="11" t="n">
        <v>13</v>
      </c>
      <c r="GA12" s="11" t="n">
        <v>1</v>
      </c>
      <c r="GB12" s="11" t="s">
        <v>576</v>
      </c>
      <c r="GC12" s="11" t="n">
        <v>0.94290077903054</v>
      </c>
      <c r="GD12" s="11" t="n">
        <v>0.945454545454545</v>
      </c>
      <c r="GE12" s="11" t="n">
        <v>0.945454545454545</v>
      </c>
      <c r="GF12" s="11" t="n">
        <v>0.945454545454545</v>
      </c>
      <c r="GG12" s="11" t="n">
        <v>0</v>
      </c>
      <c r="GH12" s="11" t="n">
        <v>0</v>
      </c>
      <c r="GI12" s="11" t="n">
        <v>0.0770197669463497</v>
      </c>
      <c r="GJ12" s="11" t="n">
        <v>0.0936567688022148</v>
      </c>
      <c r="GK12" s="11" t="n">
        <v>0.0897312817652846</v>
      </c>
      <c r="GL12" s="11" t="n">
        <v>0.0954986081500961</v>
      </c>
      <c r="GM12" s="11" t="n">
        <v>0.000212241672210212</v>
      </c>
      <c r="GN12" s="11" t="n">
        <v>0</v>
      </c>
      <c r="GO12" s="11" t="n">
        <v>0.945454545454545</v>
      </c>
      <c r="GP12" s="11" t="n">
        <v>0.945454545454545</v>
      </c>
      <c r="GQ12" s="11" t="n">
        <v>-0.0352094434201717</v>
      </c>
      <c r="GR12" s="11" t="n">
        <v>1</v>
      </c>
      <c r="GS12" s="11" t="n">
        <v>1</v>
      </c>
      <c r="GT12" s="11" t="n">
        <v>0</v>
      </c>
      <c r="GU12" s="11" t="n">
        <v>0</v>
      </c>
      <c r="GV12" s="11" t="n">
        <v>1</v>
      </c>
      <c r="GW12" s="11" t="n">
        <v>1</v>
      </c>
      <c r="GX12" s="11" t="n">
        <v>1</v>
      </c>
      <c r="GY12" s="11" t="n">
        <v>1</v>
      </c>
      <c r="GZ12" s="11" t="n">
        <v>1</v>
      </c>
      <c r="HA12" s="11" t="n">
        <v>1</v>
      </c>
      <c r="HB12" s="11" t="n">
        <v>1</v>
      </c>
      <c r="HC12" s="11" t="n">
        <v>1</v>
      </c>
      <c r="HD12" s="11" t="n">
        <v>1</v>
      </c>
      <c r="HE12" s="11" t="n">
        <v>1</v>
      </c>
      <c r="HF12" s="11" t="n">
        <v>1</v>
      </c>
      <c r="HG12" s="11" t="n">
        <v>1</v>
      </c>
      <c r="HH12" s="11" t="n">
        <v>1</v>
      </c>
      <c r="HI12" s="11" t="n">
        <v>1</v>
      </c>
      <c r="HJ12" s="11" t="n">
        <v>1</v>
      </c>
      <c r="HK12" s="11"/>
      <c r="HL12" s="11" t="s">
        <v>577</v>
      </c>
      <c r="HM12" s="11" t="n">
        <v>1</v>
      </c>
      <c r="HN12" s="11" t="s">
        <v>591</v>
      </c>
      <c r="HO12" s="11" t="s">
        <v>578</v>
      </c>
      <c r="HP12" s="11" t="s">
        <v>578</v>
      </c>
      <c r="HQ12" s="11" t="n">
        <v>0</v>
      </c>
      <c r="HR12" s="11" t="s">
        <v>189</v>
      </c>
      <c r="HS12" s="11" t="s">
        <v>190</v>
      </c>
      <c r="HT12" s="11" t="s">
        <v>190</v>
      </c>
      <c r="HU12" s="11" t="s">
        <v>637</v>
      </c>
      <c r="HV12" s="11" t="s">
        <v>637</v>
      </c>
      <c r="HW12" s="11" t="s">
        <v>638</v>
      </c>
      <c r="HX12" s="11" t="s">
        <v>631</v>
      </c>
      <c r="HY12" s="11" t="s">
        <v>583</v>
      </c>
      <c r="HZ12" s="11" t="s">
        <v>639</v>
      </c>
      <c r="IA12" s="11" t="s">
        <v>636</v>
      </c>
      <c r="IB12" s="11" t="s">
        <v>640</v>
      </c>
      <c r="IC12" s="11" t="s">
        <v>215</v>
      </c>
      <c r="ID12" s="11" t="s">
        <v>634</v>
      </c>
      <c r="IE12" s="11"/>
      <c r="IF12" s="11"/>
      <c r="IG12" s="11"/>
      <c r="IH12" s="11"/>
    </row>
    <row r="13" customFormat="false" ht="15" hidden="false" customHeight="false" outlineLevel="0" collapsed="false">
      <c r="A13" s="11" t="s">
        <v>87</v>
      </c>
      <c r="B13" s="11" t="s">
        <v>641</v>
      </c>
      <c r="C13" s="11" t="s">
        <v>569</v>
      </c>
      <c r="D13" s="11" t="s">
        <v>570</v>
      </c>
      <c r="E13" s="11" t="s">
        <v>51</v>
      </c>
      <c r="F13" s="11"/>
      <c r="G13" s="11"/>
      <c r="H13" s="11" t="s">
        <v>642</v>
      </c>
      <c r="I13" s="11" t="s">
        <v>643</v>
      </c>
      <c r="J13" s="11" t="n">
        <v>100</v>
      </c>
      <c r="K13" s="11" t="n">
        <v>3.33333333333333</v>
      </c>
      <c r="L13" s="11" t="n">
        <v>0.763698279857636</v>
      </c>
      <c r="M13" s="11" t="n">
        <v>0.804212212562561</v>
      </c>
      <c r="N13" s="11" t="n">
        <v>0</v>
      </c>
      <c r="O13" s="11" t="n">
        <v>0.58137653958359</v>
      </c>
      <c r="P13" s="11" t="n">
        <v>0.686665468949756</v>
      </c>
      <c r="Q13" s="11" t="n">
        <v>0.0547122791521483</v>
      </c>
      <c r="R13" s="11" t="n">
        <v>0.71</v>
      </c>
      <c r="S13" s="11" t="n">
        <v>0.39</v>
      </c>
      <c r="T13" s="11" t="n">
        <v>0.01</v>
      </c>
      <c r="U13" s="11" t="n">
        <v>0.01</v>
      </c>
      <c r="V13" s="11" t="n">
        <v>0</v>
      </c>
      <c r="W13" s="11" t="n">
        <v>0.68</v>
      </c>
      <c r="X13" s="11" t="n">
        <v>0.31</v>
      </c>
      <c r="Y13" s="11" t="n">
        <v>0.42</v>
      </c>
      <c r="Z13" s="11" t="n">
        <v>0.51</v>
      </c>
      <c r="AA13" s="11" t="n">
        <v>0.26</v>
      </c>
      <c r="AB13" s="11" t="n">
        <v>0.17</v>
      </c>
      <c r="AC13" s="11" t="n">
        <v>-0.00274657410118831</v>
      </c>
      <c r="AD13" s="11" t="n">
        <v>-0.00669969004785808</v>
      </c>
      <c r="AE13" s="11" t="n">
        <v>0.564102564102564</v>
      </c>
      <c r="AF13" s="11" t="n">
        <v>0.371794871794872</v>
      </c>
      <c r="AG13" s="11" t="n">
        <v>0.217948717948718</v>
      </c>
      <c r="AH13" s="11" t="n">
        <v>0.37</v>
      </c>
      <c r="AI13" s="11" t="n">
        <v>0.26</v>
      </c>
      <c r="AJ13" s="11" t="n">
        <v>0.17</v>
      </c>
      <c r="AK13" s="11" t="n">
        <v>0.454570582985988</v>
      </c>
      <c r="AL13" s="11" t="n">
        <v>0</v>
      </c>
      <c r="AM13" s="11" t="n">
        <v>0</v>
      </c>
      <c r="AN13" s="11" t="n">
        <v>0</v>
      </c>
      <c r="AO13" s="11"/>
      <c r="AP13" s="11"/>
      <c r="AQ13" s="11"/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0.00395458683939287</v>
      </c>
      <c r="AZ13" s="11" t="n">
        <v>0.0143580700401213</v>
      </c>
      <c r="BA13" s="11"/>
      <c r="BB13" s="11" t="n">
        <v>0.64</v>
      </c>
      <c r="BC13" s="11" t="n">
        <v>0.73</v>
      </c>
      <c r="BD13" s="11" t="n">
        <v>0.66</v>
      </c>
      <c r="BE13" s="11" t="n">
        <v>0.83</v>
      </c>
      <c r="BF13" s="11" t="n">
        <v>0.68</v>
      </c>
      <c r="BG13" s="11" t="n">
        <v>0.98</v>
      </c>
      <c r="BH13" s="11" t="n">
        <v>0.7</v>
      </c>
      <c r="BI13" s="11" t="n">
        <v>0.99</v>
      </c>
      <c r="BJ13" s="11" t="n">
        <v>0.103982598204072</v>
      </c>
      <c r="BK13" s="11" t="n">
        <v>0.15865261393571</v>
      </c>
      <c r="BL13" s="11" t="n">
        <v>0.111268343798911</v>
      </c>
      <c r="BM13" s="11" t="n">
        <v>0.015829083457997</v>
      </c>
      <c r="BN13" s="11" t="n">
        <v>0.388991296629006</v>
      </c>
      <c r="BO13" s="11" t="n">
        <v>0.440264394504916</v>
      </c>
      <c r="BP13" s="11" t="n">
        <v>0.00895434775602449</v>
      </c>
      <c r="BQ13" s="11" t="n">
        <v>0.0112481395059533</v>
      </c>
      <c r="BR13" s="11" t="n">
        <v>3.1058081457238</v>
      </c>
      <c r="BS13" s="11" t="n">
        <v>10.5406501218211</v>
      </c>
      <c r="BT13" s="11" t="n">
        <v>16.8626531534387</v>
      </c>
      <c r="BU13" s="11" t="n">
        <v>10.3982598204072</v>
      </c>
      <c r="BV13" s="11" t="n">
        <v>6.3752064930865</v>
      </c>
      <c r="BW13" s="11" t="n">
        <v>8.11116277870584</v>
      </c>
      <c r="BX13" s="11" t="n">
        <v>3.63167349674189</v>
      </c>
      <c r="BY13" s="11" t="n">
        <v>5.75213897282259</v>
      </c>
      <c r="BZ13" s="11" t="n">
        <v>0.63</v>
      </c>
      <c r="CA13" s="11" t="n">
        <v>0.984126984126984</v>
      </c>
      <c r="CB13" s="11" t="n">
        <v>0.46031746031746</v>
      </c>
      <c r="CC13" s="11" t="n">
        <v>0.619047619047619</v>
      </c>
      <c r="CD13" s="11" t="n">
        <v>0.746031746031746</v>
      </c>
      <c r="CE13" s="11" t="n">
        <v>0.63</v>
      </c>
      <c r="CF13" s="11" t="n">
        <v>5</v>
      </c>
      <c r="CG13" s="11" t="n">
        <v>0</v>
      </c>
      <c r="CH13" s="11" t="n">
        <v>0.984126984126984</v>
      </c>
      <c r="CI13" s="11" t="n">
        <v>0.619047619047619</v>
      </c>
      <c r="CJ13" s="11" t="n">
        <v>0.746031746031746</v>
      </c>
      <c r="CK13" s="11" t="n">
        <v>0.162162162162162</v>
      </c>
      <c r="CL13" s="11" t="n">
        <v>0.0540540540540541</v>
      </c>
      <c r="CM13" s="11" t="n">
        <v>0.0810810810810811</v>
      </c>
      <c r="CN13" s="11" t="n">
        <v>0.108108108108108</v>
      </c>
      <c r="CO13" s="11" t="n">
        <v>0</v>
      </c>
      <c r="CP13" s="11" t="n">
        <v>0</v>
      </c>
      <c r="CQ13" s="11" t="n">
        <v>0</v>
      </c>
      <c r="CR13" s="11" t="n">
        <v>0</v>
      </c>
      <c r="CS13" s="11" t="n">
        <v>0.285714285714286</v>
      </c>
      <c r="CT13" s="11" t="n">
        <v>0.0952380952380952</v>
      </c>
      <c r="CU13" s="11" t="n">
        <v>0.142857142857143</v>
      </c>
      <c r="CV13" s="11" t="n">
        <v>0.190476190476191</v>
      </c>
      <c r="CW13" s="11" t="n">
        <v>0</v>
      </c>
      <c r="CX13" s="11" t="n">
        <v>0</v>
      </c>
      <c r="CY13" s="11" t="n">
        <v>-0.00935148255070026</v>
      </c>
      <c r="CZ13" s="11" t="n">
        <v>-0.0985965326981914</v>
      </c>
      <c r="DA13" s="11" t="n">
        <v>6.9992993705961</v>
      </c>
      <c r="DB13" s="11" t="n">
        <v>-0.0756128715094893</v>
      </c>
      <c r="DC13" s="11" t="n">
        <v>10.8403106222193</v>
      </c>
      <c r="DD13" s="11" t="n">
        <v>0.410903838033794</v>
      </c>
      <c r="DE13" s="11" t="n">
        <v>0.3</v>
      </c>
      <c r="DF13" s="11" t="n">
        <v>-0.0606710723656942</v>
      </c>
      <c r="DG13" s="11" t="n">
        <v>-0.0604128409273715</v>
      </c>
      <c r="DH13" s="11" t="n">
        <v>-0.0258231438322702</v>
      </c>
      <c r="DI13" s="11" t="n">
        <v>92.7465911439352</v>
      </c>
      <c r="DJ13" s="11" t="n">
        <v>55.2772440106584</v>
      </c>
      <c r="DK13" s="11" t="n">
        <v>6.91820347884294</v>
      </c>
      <c r="DL13" s="11" t="n">
        <v>49.05</v>
      </c>
      <c r="DM13" s="11" t="n">
        <v>0.65</v>
      </c>
      <c r="DN13" s="11" t="n">
        <v>0.44</v>
      </c>
      <c r="DO13" s="11" t="n">
        <v>-0.00926860158441706</v>
      </c>
      <c r="DP13" s="11" t="n">
        <v>0</v>
      </c>
      <c r="DQ13" s="11" t="n">
        <v>0</v>
      </c>
      <c r="DR13" s="11" t="n">
        <v>0</v>
      </c>
      <c r="DS13" s="11" t="n">
        <v>0</v>
      </c>
      <c r="DT13" s="11" t="n">
        <v>0</v>
      </c>
      <c r="DU13" s="11" t="n">
        <v>0</v>
      </c>
      <c r="DV13" s="11" t="n">
        <v>5</v>
      </c>
      <c r="DW13" s="11" t="s">
        <v>573</v>
      </c>
      <c r="DX13" s="11" t="n">
        <v>0.406307</v>
      </c>
      <c r="DY13" s="11" t="n">
        <v>-0.000328289320646769</v>
      </c>
      <c r="DZ13" s="11" t="n">
        <v>0.812942289320647</v>
      </c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 t="n">
        <v>5.55383543500542</v>
      </c>
      <c r="EP13" s="11" t="n">
        <v>62.9754938076262</v>
      </c>
      <c r="EQ13" s="11" t="n">
        <v>1403.42576504103</v>
      </c>
      <c r="ER13" s="11" t="n">
        <v>2.25880266925441</v>
      </c>
      <c r="ES13" s="11" t="n">
        <v>2.25880266925441</v>
      </c>
      <c r="ET13" s="11" t="n">
        <v>1.49517028144106</v>
      </c>
      <c r="EU13" s="11" t="n">
        <v>25.7803189916507</v>
      </c>
      <c r="EV13" s="11" t="n">
        <v>25.7803189916507</v>
      </c>
      <c r="EW13" s="11" t="n">
        <v>255.63853678999</v>
      </c>
      <c r="EX13" s="11" t="n">
        <v>284.133766712875</v>
      </c>
      <c r="EY13" s="11" t="n">
        <v>0.857893903510359</v>
      </c>
      <c r="EZ13" s="11" t="n">
        <v>0.660956071515072</v>
      </c>
      <c r="FA13" s="11" t="n">
        <v>0.0474352455454494</v>
      </c>
      <c r="FB13" s="11" t="n">
        <v>1</v>
      </c>
      <c r="FC13" s="11" t="n">
        <v>0</v>
      </c>
      <c r="FD13" s="11" t="n">
        <v>0</v>
      </c>
      <c r="FE13" s="11" t="s">
        <v>574</v>
      </c>
      <c r="FF13" s="11" t="s">
        <v>220</v>
      </c>
      <c r="FG13" s="11" t="n">
        <v>100</v>
      </c>
      <c r="FH13" s="11" t="s">
        <v>575</v>
      </c>
      <c r="FI13" s="11" t="s">
        <v>59</v>
      </c>
      <c r="FJ13" s="11" t="n">
        <v>0.2</v>
      </c>
      <c r="FK13" s="11" t="n">
        <v>0.113312477572612</v>
      </c>
      <c r="FL13" s="11" t="n">
        <v>0.0751180707762042</v>
      </c>
      <c r="FM13" s="11" t="n">
        <v>0</v>
      </c>
      <c r="FN13" s="11" t="n">
        <v>1</v>
      </c>
      <c r="FO13" s="11" t="n">
        <v>0.517456582887331</v>
      </c>
      <c r="FP13" s="11" t="n">
        <v>0.363130295547695</v>
      </c>
      <c r="FQ13" s="11" t="n">
        <v>0.06</v>
      </c>
      <c r="FR13" s="11" t="n">
        <v>0</v>
      </c>
      <c r="FS13" s="11" t="n">
        <v>0.515346968358842</v>
      </c>
      <c r="FT13" s="11" t="n">
        <v>0.358754378783271</v>
      </c>
      <c r="FU13" s="11" t="n">
        <v>1</v>
      </c>
      <c r="FV13" s="11" t="n">
        <v>4.30171971922535</v>
      </c>
      <c r="FW13" s="11" t="n">
        <v>107.090204083418</v>
      </c>
      <c r="FX13" s="11" t="n">
        <v>0.0089857830625194</v>
      </c>
      <c r="FY13" s="11" t="n">
        <v>1</v>
      </c>
      <c r="FZ13" s="11" t="n">
        <v>21</v>
      </c>
      <c r="GA13" s="11" t="n">
        <v>1</v>
      </c>
      <c r="GB13" s="11" t="s">
        <v>576</v>
      </c>
      <c r="GC13" s="11" t="n">
        <v>0.93991943359375</v>
      </c>
      <c r="GD13" s="11" t="n">
        <v>0.94</v>
      </c>
      <c r="GE13" s="11" t="n">
        <v>0.94</v>
      </c>
      <c r="GF13" s="11" t="n">
        <v>0.94</v>
      </c>
      <c r="GG13" s="11" t="n">
        <v>0</v>
      </c>
      <c r="GH13" s="11" t="n">
        <v>0</v>
      </c>
      <c r="GI13" s="11" t="n">
        <v>0.0734836859425559</v>
      </c>
      <c r="GJ13" s="11" t="n">
        <v>0.0785331187024713</v>
      </c>
      <c r="GK13" s="11" t="n">
        <v>0.0774391837020812</v>
      </c>
      <c r="GL13" s="11" t="n">
        <v>0.0791688177734613</v>
      </c>
      <c r="GM13" s="11" t="n">
        <v>7.30514556948947E-006</v>
      </c>
      <c r="GN13" s="11" t="n">
        <v>0</v>
      </c>
      <c r="GO13" s="11" t="n">
        <v>0.94</v>
      </c>
      <c r="GP13" s="11" t="n">
        <v>0.94</v>
      </c>
      <c r="GQ13" s="11" t="n">
        <v>-0.0156914629042149</v>
      </c>
      <c r="GR13" s="11" t="n">
        <v>1</v>
      </c>
      <c r="GS13" s="11" t="n">
        <v>1</v>
      </c>
      <c r="GT13" s="11" t="n">
        <v>0</v>
      </c>
      <c r="GU13" s="11" t="n">
        <v>0</v>
      </c>
      <c r="GV13" s="11" t="n">
        <v>1</v>
      </c>
      <c r="GW13" s="11" t="n">
        <v>1</v>
      </c>
      <c r="GX13" s="11" t="n">
        <v>1</v>
      </c>
      <c r="GY13" s="11" t="n">
        <v>1</v>
      </c>
      <c r="GZ13" s="11" t="n">
        <v>1</v>
      </c>
      <c r="HA13" s="11" t="n">
        <v>1</v>
      </c>
      <c r="HB13" s="11" t="n">
        <v>1</v>
      </c>
      <c r="HC13" s="11" t="n">
        <v>1</v>
      </c>
      <c r="HD13" s="11" t="n">
        <v>1</v>
      </c>
      <c r="HE13" s="11" t="n">
        <v>1</v>
      </c>
      <c r="HF13" s="11" t="n">
        <v>1</v>
      </c>
      <c r="HG13" s="11" t="n">
        <v>1</v>
      </c>
      <c r="HH13" s="11" t="n">
        <v>1</v>
      </c>
      <c r="HI13" s="11" t="n">
        <v>1</v>
      </c>
      <c r="HJ13" s="11" t="n">
        <v>1</v>
      </c>
      <c r="HK13" s="11"/>
      <c r="HL13" s="11" t="s">
        <v>577</v>
      </c>
      <c r="HM13" s="11" t="n">
        <v>1</v>
      </c>
      <c r="HN13" s="11" t="s">
        <v>10</v>
      </c>
      <c r="HO13" s="11" t="s">
        <v>578</v>
      </c>
      <c r="HP13" s="11" t="s">
        <v>578</v>
      </c>
      <c r="HQ13" s="11" t="n">
        <v>0</v>
      </c>
      <c r="HR13" s="11" t="s">
        <v>204</v>
      </c>
      <c r="HS13" s="11" t="s">
        <v>579</v>
      </c>
      <c r="HT13" s="11" t="s">
        <v>579</v>
      </c>
      <c r="HU13" s="11" t="s">
        <v>644</v>
      </c>
      <c r="HV13" s="11" t="s">
        <v>644</v>
      </c>
      <c r="HW13" s="11" t="s">
        <v>645</v>
      </c>
      <c r="HX13" s="11" t="s">
        <v>646</v>
      </c>
      <c r="HY13" s="11" t="s">
        <v>583</v>
      </c>
      <c r="HZ13" s="11" t="s">
        <v>647</v>
      </c>
      <c r="IA13" s="11" t="s">
        <v>642</v>
      </c>
      <c r="IB13" s="11" t="s">
        <v>648</v>
      </c>
      <c r="IC13" s="11" t="s">
        <v>220</v>
      </c>
      <c r="ID13" s="11" t="s">
        <v>649</v>
      </c>
      <c r="IE13" s="11"/>
      <c r="IF13" s="11"/>
      <c r="IG13" s="11"/>
      <c r="IH13" s="11"/>
    </row>
    <row r="14" customFormat="false" ht="15" hidden="false" customHeight="false" outlineLevel="0" collapsed="false">
      <c r="A14" s="11" t="s">
        <v>87</v>
      </c>
      <c r="B14" s="11" t="s">
        <v>650</v>
      </c>
      <c r="C14" s="11" t="s">
        <v>588</v>
      </c>
      <c r="D14" s="11" t="s">
        <v>570</v>
      </c>
      <c r="E14" s="11" t="s">
        <v>51</v>
      </c>
      <c r="F14" s="11"/>
      <c r="G14" s="11"/>
      <c r="H14" s="11" t="s">
        <v>651</v>
      </c>
      <c r="I14" s="11" t="s">
        <v>219</v>
      </c>
      <c r="J14" s="11" t="n">
        <v>100</v>
      </c>
      <c r="K14" s="11" t="n">
        <v>3.33333333333333</v>
      </c>
      <c r="L14" s="11" t="n">
        <v>0.76080334186554</v>
      </c>
      <c r="M14" s="11" t="n">
        <v>0.804836452007294</v>
      </c>
      <c r="N14" s="11" t="n">
        <v>0</v>
      </c>
      <c r="O14" s="11" t="n">
        <v>0.609086055489053</v>
      </c>
      <c r="P14" s="11" t="n">
        <v>0.701739807686141</v>
      </c>
      <c r="Q14" s="11" t="n">
        <v>0.152476696953321</v>
      </c>
      <c r="R14" s="11" t="n">
        <v>0.49</v>
      </c>
      <c r="S14" s="11" t="n">
        <v>0.14</v>
      </c>
      <c r="T14" s="11" t="n">
        <v>0.01</v>
      </c>
      <c r="U14" s="11" t="n">
        <v>0</v>
      </c>
      <c r="V14" s="11" t="n">
        <v>0</v>
      </c>
      <c r="W14" s="11" t="n">
        <v>0.63</v>
      </c>
      <c r="X14" s="11" t="n">
        <v>0.42</v>
      </c>
      <c r="Y14" s="11" t="n">
        <v>0.56</v>
      </c>
      <c r="Z14" s="11" t="n">
        <v>0.6</v>
      </c>
      <c r="AA14" s="11" t="n">
        <v>0.07</v>
      </c>
      <c r="AB14" s="11" t="n">
        <v>0.03</v>
      </c>
      <c r="AC14" s="11" t="n">
        <v>-0.00174200912403004</v>
      </c>
      <c r="AD14" s="11" t="n">
        <v>-0.00670176657315471</v>
      </c>
      <c r="AE14" s="11" t="n">
        <v>0.283783783783784</v>
      </c>
      <c r="AF14" s="11" t="n">
        <v>0.0945945945945946</v>
      </c>
      <c r="AG14" s="11" t="n">
        <v>0.0405405405405405</v>
      </c>
      <c r="AH14" s="11" t="n">
        <v>0.21</v>
      </c>
      <c r="AI14" s="11" t="n">
        <v>0.07</v>
      </c>
      <c r="AJ14" s="11" t="n">
        <v>0.03</v>
      </c>
      <c r="AK14" s="11" t="n">
        <v>0.462999975749147</v>
      </c>
      <c r="AL14" s="11" t="n">
        <v>0</v>
      </c>
      <c r="AM14" s="11" t="n">
        <v>0</v>
      </c>
      <c r="AN14" s="11" t="n">
        <v>0</v>
      </c>
      <c r="AO14" s="11"/>
      <c r="AP14" s="11"/>
      <c r="AQ14" s="11"/>
      <c r="AR14" s="11" t="n">
        <v>0</v>
      </c>
      <c r="AS14" s="11" t="n">
        <v>0</v>
      </c>
      <c r="AT14" s="11" t="n">
        <v>0</v>
      </c>
      <c r="AU14" s="11" t="n">
        <v>0</v>
      </c>
      <c r="AV14" s="11" t="n">
        <v>0</v>
      </c>
      <c r="AW14" s="11" t="n">
        <v>0</v>
      </c>
      <c r="AX14" s="11" t="n">
        <v>0</v>
      </c>
      <c r="AY14" s="11" t="n">
        <v>0.00448841028261292</v>
      </c>
      <c r="AZ14" s="11" t="n">
        <v>0.0130694319519042</v>
      </c>
      <c r="BA14" s="11"/>
      <c r="BB14" s="11" t="n">
        <v>0.58</v>
      </c>
      <c r="BC14" s="11" t="n">
        <v>0.75</v>
      </c>
      <c r="BD14" s="11" t="n">
        <v>0.67</v>
      </c>
      <c r="BE14" s="11" t="n">
        <v>0.85</v>
      </c>
      <c r="BF14" s="11" t="n">
        <v>0.7</v>
      </c>
      <c r="BG14" s="11" t="n">
        <v>0.98</v>
      </c>
      <c r="BH14" s="11" t="n">
        <v>0.72</v>
      </c>
      <c r="BI14" s="11" t="n">
        <v>1</v>
      </c>
      <c r="BJ14" s="11" t="n">
        <v>0.0768103973968462</v>
      </c>
      <c r="BK14" s="11" t="n">
        <v>0.0301377705528117</v>
      </c>
      <c r="BL14" s="11" t="n">
        <v>0.0831749681048257</v>
      </c>
      <c r="BM14" s="11" t="n">
        <v>0.0148459589610566</v>
      </c>
      <c r="BN14" s="11" t="n">
        <v>0.397806943954312</v>
      </c>
      <c r="BO14" s="11" t="n">
        <v>0.444560154610851</v>
      </c>
      <c r="BP14" s="11" t="n">
        <v>0.0112337530809231</v>
      </c>
      <c r="BQ14" s="11" t="n">
        <v>0.0154460986111271</v>
      </c>
      <c r="BR14" s="11" t="n">
        <v>3.16802483741357</v>
      </c>
      <c r="BS14" s="11" t="n">
        <v>7.83236195953802</v>
      </c>
      <c r="BT14" s="11" t="n">
        <v>16.0951215109753</v>
      </c>
      <c r="BU14" s="11" t="n">
        <v>7.68103973968462</v>
      </c>
      <c r="BV14" s="11" t="n">
        <v>4.76557463354005</v>
      </c>
      <c r="BW14" s="11" t="n">
        <v>5.96125454325065</v>
      </c>
      <c r="BX14" s="11" t="n">
        <v>3.15174778228048</v>
      </c>
      <c r="BY14" s="11" t="n">
        <v>4.37988202533032</v>
      </c>
      <c r="BZ14" s="11" t="n">
        <v>0.63</v>
      </c>
      <c r="CA14" s="11" t="n">
        <v>0.936507936507936</v>
      </c>
      <c r="CB14" s="11" t="n">
        <v>0.603174603174603</v>
      </c>
      <c r="CC14" s="11" t="n">
        <v>0.825396825396825</v>
      </c>
      <c r="CD14" s="11" t="n">
        <v>0.888888888888889</v>
      </c>
      <c r="CE14" s="11" t="n">
        <v>0.63</v>
      </c>
      <c r="CF14" s="11" t="n">
        <v>5</v>
      </c>
      <c r="CG14" s="11" t="n">
        <v>0</v>
      </c>
      <c r="CH14" s="11" t="n">
        <v>0.936507936507936</v>
      </c>
      <c r="CI14" s="11" t="n">
        <v>0.825396825396825</v>
      </c>
      <c r="CJ14" s="11" t="n">
        <v>0.888888888888889</v>
      </c>
      <c r="CK14" s="11" t="n">
        <v>0.108108108108108</v>
      </c>
      <c r="CL14" s="11" t="n">
        <v>0.108108108108108</v>
      </c>
      <c r="CM14" s="11" t="n">
        <v>0.108108108108108</v>
      </c>
      <c r="CN14" s="11" t="n">
        <v>0.108108108108108</v>
      </c>
      <c r="CO14" s="11" t="n">
        <v>0</v>
      </c>
      <c r="CP14" s="11" t="n">
        <v>0</v>
      </c>
      <c r="CQ14" s="11" t="n">
        <v>0</v>
      </c>
      <c r="CR14" s="11" t="n">
        <v>0</v>
      </c>
      <c r="CS14" s="11" t="n">
        <v>0.190476190476191</v>
      </c>
      <c r="CT14" s="11" t="n">
        <v>0.190476190476191</v>
      </c>
      <c r="CU14" s="11" t="n">
        <v>0.190476190476191</v>
      </c>
      <c r="CV14" s="11" t="n">
        <v>0.190476190476191</v>
      </c>
      <c r="CW14" s="11" t="n">
        <v>0.0158730158730159</v>
      </c>
      <c r="CX14" s="11" t="n">
        <v>0</v>
      </c>
      <c r="CY14" s="11" t="n">
        <v>0.0159489924784932</v>
      </c>
      <c r="CZ14" s="11" t="n">
        <v>-0.0297616001117803</v>
      </c>
      <c r="DA14" s="11" t="n">
        <v>4.32022060306152</v>
      </c>
      <c r="DB14" s="11" t="n">
        <v>-0.0134610707109299</v>
      </c>
      <c r="DC14" s="11" t="n">
        <v>10.9616035024068</v>
      </c>
      <c r="DD14" s="11" t="n">
        <v>0.255104475185715</v>
      </c>
      <c r="DE14" s="11" t="n">
        <v>0.3</v>
      </c>
      <c r="DF14" s="11" t="n">
        <v>-0.0103499841851916</v>
      </c>
      <c r="DG14" s="11" t="n">
        <v>0.00402865910095996</v>
      </c>
      <c r="DH14" s="11" t="n">
        <v>-1.43786432861516</v>
      </c>
      <c r="DI14" s="11" t="n">
        <v>86.7074033363651</v>
      </c>
      <c r="DJ14" s="11" t="n">
        <v>42.2591838697557</v>
      </c>
      <c r="DK14" s="11" t="n">
        <v>5.72473281525472</v>
      </c>
      <c r="DL14" s="11" t="n">
        <v>49.05</v>
      </c>
      <c r="DM14" s="11" t="n">
        <v>0.65</v>
      </c>
      <c r="DN14" s="11" t="n">
        <v>0.44</v>
      </c>
      <c r="DO14" s="11" t="n">
        <v>-0.00926860158441706</v>
      </c>
      <c r="DP14" s="11" t="n">
        <v>0</v>
      </c>
      <c r="DQ14" s="11" t="n">
        <v>0</v>
      </c>
      <c r="DR14" s="11" t="n">
        <v>0</v>
      </c>
      <c r="DS14" s="11" t="n">
        <v>0</v>
      </c>
      <c r="DT14" s="11" t="n">
        <v>0</v>
      </c>
      <c r="DU14" s="11" t="n">
        <v>0</v>
      </c>
      <c r="DV14" s="11" t="n">
        <v>5</v>
      </c>
      <c r="DW14" s="11" t="s">
        <v>573</v>
      </c>
      <c r="DX14" s="11" t="n">
        <v>0.406307</v>
      </c>
      <c r="DY14" s="11" t="n">
        <v>-0.000328289320646769</v>
      </c>
      <c r="DZ14" s="11" t="n">
        <v>0.812942289320647</v>
      </c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 t="n">
        <v>6.00567727164436</v>
      </c>
      <c r="EP14" s="11" t="n">
        <v>61.2084059007565</v>
      </c>
      <c r="EQ14" s="11" t="n">
        <v>1452.84802735467</v>
      </c>
      <c r="ER14" s="11" t="n">
        <v>2.69354527449805</v>
      </c>
      <c r="ES14" s="11" t="n">
        <v>2.69354527449805</v>
      </c>
      <c r="ET14" s="11" t="n">
        <v>1.42761372960925</v>
      </c>
      <c r="EU14" s="11" t="n">
        <v>32.7285696230831</v>
      </c>
      <c r="EV14" s="11" t="n">
        <v>32.7285696230831</v>
      </c>
      <c r="EW14" s="11" t="n">
        <v>320.399077173451</v>
      </c>
      <c r="EX14" s="11" t="n">
        <v>413.552082454216</v>
      </c>
      <c r="EY14" s="11" t="n">
        <v>0.781267646449722</v>
      </c>
      <c r="EZ14" s="11" t="n">
        <v>0.640276954355849</v>
      </c>
      <c r="FA14" s="11" t="n">
        <v>0.0497541248570552</v>
      </c>
      <c r="FB14" s="11" t="n">
        <v>1</v>
      </c>
      <c r="FC14" s="11" t="n">
        <v>0</v>
      </c>
      <c r="FD14" s="11" t="n">
        <v>0</v>
      </c>
      <c r="FE14" s="11" t="s">
        <v>574</v>
      </c>
      <c r="FF14" s="11" t="s">
        <v>220</v>
      </c>
      <c r="FG14" s="11" t="n">
        <v>100</v>
      </c>
      <c r="FH14" s="11" t="s">
        <v>575</v>
      </c>
      <c r="FI14" s="11" t="s">
        <v>59</v>
      </c>
      <c r="FJ14" s="11" t="n">
        <v>0.2</v>
      </c>
      <c r="FK14" s="11" t="n">
        <v>0.109694316516702</v>
      </c>
      <c r="FL14" s="11" t="n">
        <v>0.0657705712924398</v>
      </c>
      <c r="FM14" s="11" t="n">
        <v>0</v>
      </c>
      <c r="FN14" s="11" t="n">
        <v>1</v>
      </c>
      <c r="FO14" s="11" t="n">
        <v>0.625943278056856</v>
      </c>
      <c r="FP14" s="11" t="n">
        <v>0.286897449911822</v>
      </c>
      <c r="FQ14" s="11" t="n">
        <v>0.045</v>
      </c>
      <c r="FR14" s="11" t="n">
        <v>0</v>
      </c>
      <c r="FS14" s="11" t="n">
        <v>0.621787926615486</v>
      </c>
      <c r="FT14" s="11" t="n">
        <v>0.286428421661295</v>
      </c>
      <c r="FU14" s="11" t="n">
        <v>1</v>
      </c>
      <c r="FV14" s="11" t="n">
        <v>4.58569423359384</v>
      </c>
      <c r="FW14" s="11" t="n">
        <v>138.385486473693</v>
      </c>
      <c r="FX14" s="11" t="n">
        <v>0.00926667135623105</v>
      </c>
      <c r="FY14" s="11" t="n">
        <v>1</v>
      </c>
      <c r="FZ14" s="11" t="n">
        <v>21</v>
      </c>
      <c r="GA14" s="11" t="n">
        <v>1</v>
      </c>
      <c r="GB14" s="11" t="s">
        <v>576</v>
      </c>
      <c r="GC14" s="11" t="n">
        <v>0.93997314453125</v>
      </c>
      <c r="GD14" s="11" t="n">
        <v>0.94</v>
      </c>
      <c r="GE14" s="11" t="n">
        <v>0.94</v>
      </c>
      <c r="GF14" s="11" t="n">
        <v>0.94</v>
      </c>
      <c r="GG14" s="11" t="n">
        <v>0</v>
      </c>
      <c r="GH14" s="11" t="n">
        <v>0</v>
      </c>
      <c r="GI14" s="11" t="n">
        <v>0.0568137804990693</v>
      </c>
      <c r="GJ14" s="11" t="n">
        <v>0.0654108982160687</v>
      </c>
      <c r="GK14" s="11" t="n">
        <v>0.0635375102065154</v>
      </c>
      <c r="GL14" s="11" t="n">
        <v>0.0670186540298164</v>
      </c>
      <c r="GM14" s="11" t="n">
        <v>2.05357875984191E-006</v>
      </c>
      <c r="GN14" s="11" t="n">
        <v>0</v>
      </c>
      <c r="GO14" s="11" t="n">
        <v>0.94</v>
      </c>
      <c r="GP14" s="11" t="n">
        <v>0.94</v>
      </c>
      <c r="GQ14" s="11" t="n">
        <v>-0.0115486728027463</v>
      </c>
      <c r="GR14" s="11" t="n">
        <v>1</v>
      </c>
      <c r="GS14" s="11" t="n">
        <v>1</v>
      </c>
      <c r="GT14" s="11" t="n">
        <v>0</v>
      </c>
      <c r="GU14" s="11" t="n">
        <v>0</v>
      </c>
      <c r="GV14" s="11" t="n">
        <v>1</v>
      </c>
      <c r="GW14" s="11" t="n">
        <v>1</v>
      </c>
      <c r="GX14" s="11" t="n">
        <v>1</v>
      </c>
      <c r="GY14" s="11" t="n">
        <v>1</v>
      </c>
      <c r="GZ14" s="11" t="n">
        <v>1</v>
      </c>
      <c r="HA14" s="11" t="n">
        <v>1</v>
      </c>
      <c r="HB14" s="11" t="n">
        <v>1</v>
      </c>
      <c r="HC14" s="11" t="n">
        <v>1</v>
      </c>
      <c r="HD14" s="11" t="n">
        <v>1</v>
      </c>
      <c r="HE14" s="11" t="n">
        <v>1</v>
      </c>
      <c r="HF14" s="11" t="n">
        <v>1</v>
      </c>
      <c r="HG14" s="11" t="n">
        <v>1</v>
      </c>
      <c r="HH14" s="11" t="n">
        <v>1</v>
      </c>
      <c r="HI14" s="11" t="n">
        <v>1</v>
      </c>
      <c r="HJ14" s="11" t="n">
        <v>1</v>
      </c>
      <c r="HK14" s="11"/>
      <c r="HL14" s="11" t="s">
        <v>577</v>
      </c>
      <c r="HM14" s="11" t="n">
        <v>1</v>
      </c>
      <c r="HN14" s="11" t="s">
        <v>591</v>
      </c>
      <c r="HO14" s="11" t="s">
        <v>578</v>
      </c>
      <c r="HP14" s="11" t="s">
        <v>578</v>
      </c>
      <c r="HQ14" s="11" t="n">
        <v>0</v>
      </c>
      <c r="HR14" s="11" t="s">
        <v>204</v>
      </c>
      <c r="HS14" s="11" t="s">
        <v>190</v>
      </c>
      <c r="HT14" s="11" t="s">
        <v>190</v>
      </c>
      <c r="HU14" s="11" t="s">
        <v>652</v>
      </c>
      <c r="HV14" s="11" t="s">
        <v>652</v>
      </c>
      <c r="HW14" s="11" t="s">
        <v>653</v>
      </c>
      <c r="HX14" s="11" t="s">
        <v>646</v>
      </c>
      <c r="HY14" s="11" t="s">
        <v>583</v>
      </c>
      <c r="HZ14" s="11" t="s">
        <v>654</v>
      </c>
      <c r="IA14" s="11" t="s">
        <v>651</v>
      </c>
      <c r="IB14" s="11" t="s">
        <v>655</v>
      </c>
      <c r="IC14" s="11" t="s">
        <v>220</v>
      </c>
      <c r="ID14" s="11" t="s">
        <v>649</v>
      </c>
      <c r="IE14" s="11"/>
      <c r="IF14" s="11"/>
      <c r="IG14" s="11"/>
      <c r="IH14" s="11"/>
    </row>
    <row r="15" customFormat="false" ht="15" hidden="false" customHeight="false" outlineLevel="0" collapsed="false">
      <c r="A15" s="11" t="s">
        <v>88</v>
      </c>
      <c r="B15" s="11" t="s">
        <v>656</v>
      </c>
      <c r="C15" s="11" t="s">
        <v>569</v>
      </c>
      <c r="D15" s="11" t="s">
        <v>570</v>
      </c>
      <c r="E15" s="11" t="s">
        <v>51</v>
      </c>
      <c r="F15" s="11"/>
      <c r="G15" s="11"/>
      <c r="H15" s="11" t="s">
        <v>657</v>
      </c>
      <c r="I15" s="11" t="s">
        <v>658</v>
      </c>
      <c r="J15" s="11" t="n">
        <v>97</v>
      </c>
      <c r="K15" s="11" t="n">
        <v>3.23333333333333</v>
      </c>
      <c r="L15" s="11" t="n">
        <v>0.743768215179443</v>
      </c>
      <c r="M15" s="11" t="n">
        <v>0.797468245029449</v>
      </c>
      <c r="N15" s="11" t="n">
        <v>0</v>
      </c>
      <c r="O15" s="11" t="n">
        <v>1.40359272438303</v>
      </c>
      <c r="P15" s="11" t="n">
        <v>1.5053600695402</v>
      </c>
      <c r="Q15" s="11" t="n">
        <v>0.180899421274231</v>
      </c>
      <c r="R15" s="11" t="n">
        <v>0.45360824742268</v>
      </c>
      <c r="S15" s="11" t="n">
        <v>0.144329896907217</v>
      </c>
      <c r="T15" s="11" t="n">
        <v>0</v>
      </c>
      <c r="U15" s="11" t="n">
        <v>0</v>
      </c>
      <c r="V15" s="11" t="n">
        <v>0</v>
      </c>
      <c r="W15" s="11" t="n">
        <v>0.752577319587629</v>
      </c>
      <c r="X15" s="11" t="n">
        <v>0.278350515463917</v>
      </c>
      <c r="Y15" s="11" t="n">
        <v>0.463917525773196</v>
      </c>
      <c r="Z15" s="11" t="n">
        <v>0.680412371134021</v>
      </c>
      <c r="AA15" s="11" t="n">
        <v>0.288659793814433</v>
      </c>
      <c r="AB15" s="11" t="n">
        <v>0.0721649484536082</v>
      </c>
      <c r="AC15" s="11" t="n">
        <v>-0.00275477857226139</v>
      </c>
      <c r="AD15" s="11" t="n">
        <v>-0.00846080114046911</v>
      </c>
      <c r="AE15" s="11" t="n">
        <v>0.636363636363636</v>
      </c>
      <c r="AF15" s="11" t="n">
        <v>0.386363636363636</v>
      </c>
      <c r="AG15" s="11" t="n">
        <v>0.0795454545454545</v>
      </c>
      <c r="AH15" s="11" t="n">
        <v>0.474226804123711</v>
      </c>
      <c r="AI15" s="11" t="n">
        <v>0.288659793814433</v>
      </c>
      <c r="AJ15" s="11" t="n">
        <v>0.0721649484536082</v>
      </c>
      <c r="AK15" s="11" t="n">
        <v>0.418086045606414</v>
      </c>
      <c r="AL15" s="11" t="n">
        <v>0</v>
      </c>
      <c r="AM15" s="11" t="n">
        <v>0</v>
      </c>
      <c r="AN15" s="11" t="n">
        <v>0</v>
      </c>
      <c r="AO15" s="11"/>
      <c r="AP15" s="11"/>
      <c r="AQ15" s="11"/>
      <c r="AR15" s="11" t="n">
        <v>0</v>
      </c>
      <c r="AS15" s="11" t="n">
        <v>0.0206185567010309</v>
      </c>
      <c r="AT15" s="11" t="n">
        <v>0.0103092783505155</v>
      </c>
      <c r="AU15" s="11" t="n">
        <v>0.0103092783505155</v>
      </c>
      <c r="AV15" s="11" t="n">
        <v>0</v>
      </c>
      <c r="AW15" s="11" t="n">
        <v>0</v>
      </c>
      <c r="AX15" s="11" t="n">
        <v>0</v>
      </c>
      <c r="AY15" s="11" t="n">
        <v>0.00902799781075048</v>
      </c>
      <c r="AZ15" s="11" t="n">
        <v>0.021513867457725</v>
      </c>
      <c r="BA15" s="11"/>
      <c r="BB15" s="11" t="n">
        <v>0.54639175257732</v>
      </c>
      <c r="BC15" s="11" t="n">
        <v>0.814432989690722</v>
      </c>
      <c r="BD15" s="11" t="n">
        <v>0.577319587628866</v>
      </c>
      <c r="BE15" s="11" t="n">
        <v>0.835051546391753</v>
      </c>
      <c r="BF15" s="11" t="n">
        <v>0.824742268041237</v>
      </c>
      <c r="BG15" s="11" t="n">
        <v>0.855670103092784</v>
      </c>
      <c r="BH15" s="11" t="n">
        <v>0.845360824742268</v>
      </c>
      <c r="BI15" s="11" t="n">
        <v>0.907216494845361</v>
      </c>
      <c r="BJ15" s="11" t="n">
        <v>0.133820378972449</v>
      </c>
      <c r="BK15" s="11" t="n">
        <v>0.104733273030631</v>
      </c>
      <c r="BL15" s="11" t="n">
        <v>0.222332011676013</v>
      </c>
      <c r="BM15" s="11" t="n">
        <v>0.234870329220966</v>
      </c>
      <c r="BN15" s="11" t="n">
        <v>0.452685424789028</v>
      </c>
      <c r="BO15" s="11" t="n">
        <v>0.442957214897415</v>
      </c>
      <c r="BP15" s="11" t="n">
        <v>0.0133012305251194</v>
      </c>
      <c r="BQ15" s="11" t="n">
        <v>0.00725088293545799</v>
      </c>
      <c r="BR15" s="11" t="n">
        <v>3.62661096752365</v>
      </c>
      <c r="BS15" s="11" t="n">
        <v>13.7029155881248</v>
      </c>
      <c r="BT15" s="11" t="n">
        <v>17.8858185157376</v>
      </c>
      <c r="BU15" s="11" t="n">
        <v>13.3820378972449</v>
      </c>
      <c r="BV15" s="11" t="n">
        <v>12.7386859196887</v>
      </c>
      <c r="BW15" s="11" t="n">
        <v>10.9884674822696</v>
      </c>
      <c r="BX15" s="11" t="n">
        <v>4.85963767851751</v>
      </c>
      <c r="BY15" s="11" t="n">
        <v>5.73325869037538</v>
      </c>
      <c r="BZ15" s="11" t="n">
        <v>0.742268041237113</v>
      </c>
      <c r="CA15" s="11" t="n">
        <v>0.930555555555556</v>
      </c>
      <c r="CB15" s="11" t="n">
        <v>0.361111111111111</v>
      </c>
      <c r="CC15" s="11" t="n">
        <v>0.611111111111111</v>
      </c>
      <c r="CD15" s="11" t="n">
        <v>0.888888888888889</v>
      </c>
      <c r="CE15" s="11" t="n">
        <v>0.742268041237113</v>
      </c>
      <c r="CF15" s="11" t="n">
        <v>5</v>
      </c>
      <c r="CG15" s="11" t="n">
        <v>0</v>
      </c>
      <c r="CH15" s="11" t="n">
        <v>0.930555555555556</v>
      </c>
      <c r="CI15" s="11" t="n">
        <v>0.611111111111111</v>
      </c>
      <c r="CJ15" s="11" t="n">
        <v>0.888888888888889</v>
      </c>
      <c r="CK15" s="11" t="n">
        <v>0.24</v>
      </c>
      <c r="CL15" s="11" t="n">
        <v>0.04</v>
      </c>
      <c r="CM15" s="11" t="n">
        <v>0.04</v>
      </c>
      <c r="CN15" s="11" t="n">
        <v>0.08</v>
      </c>
      <c r="CO15" s="11" t="n">
        <v>0</v>
      </c>
      <c r="CP15" s="11" t="n">
        <v>0</v>
      </c>
      <c r="CQ15" s="11" t="n">
        <v>0</v>
      </c>
      <c r="CR15" s="11" t="n">
        <v>0</v>
      </c>
      <c r="CS15" s="11" t="n">
        <v>0.5</v>
      </c>
      <c r="CT15" s="11" t="n">
        <v>0.0833333333333333</v>
      </c>
      <c r="CU15" s="11" t="n">
        <v>0.0833333333333333</v>
      </c>
      <c r="CV15" s="11" t="n">
        <v>0.166666666666667</v>
      </c>
      <c r="CW15" s="11" t="n">
        <v>0</v>
      </c>
      <c r="CX15" s="11" t="n">
        <v>0</v>
      </c>
      <c r="CY15" s="11" t="n">
        <v>-0.0455474205963027</v>
      </c>
      <c r="CZ15" s="11" t="n">
        <v>-0.117720775026366</v>
      </c>
      <c r="DA15" s="11" t="n">
        <v>9.22293523996688</v>
      </c>
      <c r="DB15" s="11" t="n">
        <v>-0.0830786072211733</v>
      </c>
      <c r="DC15" s="11" t="n">
        <v>14.7961428082149</v>
      </c>
      <c r="DD15" s="11" t="n">
        <v>0.359585329495398</v>
      </c>
      <c r="DE15" s="11" t="n">
        <v>0.54639175257732</v>
      </c>
      <c r="DF15" s="11" t="n">
        <v>-0.0714320004378892</v>
      </c>
      <c r="DG15" s="11" t="n">
        <v>-0.0986413790231799</v>
      </c>
      <c r="DH15" s="11" t="n">
        <v>2.72093785852907</v>
      </c>
      <c r="DI15" s="11" t="n">
        <v>111.199466714692</v>
      </c>
      <c r="DJ15" s="11" t="n">
        <v>77.8354790087434</v>
      </c>
      <c r="DK15" s="11" t="n">
        <v>12.0876967448783</v>
      </c>
      <c r="DL15" s="11" t="n">
        <v>49.05</v>
      </c>
      <c r="DM15" s="11" t="n">
        <v>0.701030927835051</v>
      </c>
      <c r="DN15" s="11" t="n">
        <v>0.649484536082474</v>
      </c>
      <c r="DO15" s="11" t="n">
        <v>-0.0120031081173676</v>
      </c>
      <c r="DP15" s="11" t="n">
        <v>0</v>
      </c>
      <c r="DQ15" s="11" t="n">
        <v>0.0206185567010309</v>
      </c>
      <c r="DR15" s="11" t="n">
        <v>0</v>
      </c>
      <c r="DS15" s="11" t="n">
        <v>0</v>
      </c>
      <c r="DT15" s="11" t="n">
        <v>0</v>
      </c>
      <c r="DU15" s="11" t="n">
        <v>0</v>
      </c>
      <c r="DV15" s="11" t="n">
        <v>5</v>
      </c>
      <c r="DW15" s="11" t="s">
        <v>573</v>
      </c>
      <c r="DX15" s="11" t="n">
        <v>0.406307</v>
      </c>
      <c r="DY15" s="11" t="n">
        <v>0.0391298790520282</v>
      </c>
      <c r="DZ15" s="11" t="n">
        <v>0.773484120947972</v>
      </c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 t="n">
        <v>6.0059267676675</v>
      </c>
      <c r="EP15" s="11" t="n">
        <v>82.2359177909702</v>
      </c>
      <c r="EQ15" s="11" t="n">
        <v>2068.47388713547</v>
      </c>
      <c r="ER15" s="11" t="n">
        <v>4.25157896374405</v>
      </c>
      <c r="ES15" s="11" t="n">
        <v>4.25157896374405</v>
      </c>
      <c r="ET15" s="11" t="n">
        <v>2.318979581466</v>
      </c>
      <c r="EU15" s="11" t="n">
        <v>77.8735588935614</v>
      </c>
      <c r="EV15" s="11" t="n">
        <v>77.8735588935614</v>
      </c>
      <c r="EW15" s="11" t="n">
        <v>540.831351161633</v>
      </c>
      <c r="EX15" s="11" t="n">
        <v>601.782212408123</v>
      </c>
      <c r="EY15" s="11" t="n">
        <v>1.25041408428802</v>
      </c>
      <c r="EZ15" s="11" t="n">
        <v>0.534689525166747</v>
      </c>
      <c r="FA15" s="11" t="n">
        <v>0.0486504629959523</v>
      </c>
      <c r="FB15" s="11" t="n">
        <v>0.917525773195876</v>
      </c>
      <c r="FC15" s="11" t="n">
        <v>0</v>
      </c>
      <c r="FD15" s="11" t="n">
        <v>0</v>
      </c>
      <c r="FE15" s="11" t="s">
        <v>574</v>
      </c>
      <c r="FF15" s="11" t="s">
        <v>225</v>
      </c>
      <c r="FG15" s="11" t="n">
        <v>97</v>
      </c>
      <c r="FH15" s="11" t="s">
        <v>575</v>
      </c>
      <c r="FI15" s="11" t="s">
        <v>59</v>
      </c>
      <c r="FJ15" s="11" t="n">
        <v>0.2</v>
      </c>
      <c r="FK15" s="11" t="n">
        <v>0.129006590606244</v>
      </c>
      <c r="FL15" s="11" t="n">
        <v>0.10022346036385</v>
      </c>
      <c r="FM15" s="11" t="n">
        <v>0</v>
      </c>
      <c r="FN15" s="11" t="n">
        <v>1</v>
      </c>
      <c r="FO15" s="11" t="n">
        <v>0.687936516412998</v>
      </c>
      <c r="FP15" s="11" t="n">
        <v>0.471024444441805</v>
      </c>
      <c r="FQ15" s="11" t="n">
        <v>0.121134020618557</v>
      </c>
      <c r="FR15" s="11" t="n">
        <v>0</v>
      </c>
      <c r="FS15" s="11" t="n">
        <v>0.68410400015495</v>
      </c>
      <c r="FT15" s="11" t="n">
        <v>0.467280430711843</v>
      </c>
      <c r="FU15" s="11" t="n">
        <v>1</v>
      </c>
      <c r="FV15" s="11" t="n">
        <v>10.6485196524509</v>
      </c>
      <c r="FW15" s="11" t="n">
        <v>294.487972181489</v>
      </c>
      <c r="FX15" s="11" t="n">
        <v>0.0277630453057499</v>
      </c>
      <c r="FY15" s="11" t="n">
        <v>1</v>
      </c>
      <c r="FZ15" s="11" t="n">
        <v>12</v>
      </c>
      <c r="GA15" s="11" t="n">
        <v>1</v>
      </c>
      <c r="GB15" s="11" t="s">
        <v>576</v>
      </c>
      <c r="GC15" s="11" t="n">
        <v>0.893837525672519</v>
      </c>
      <c r="GD15" s="11" t="n">
        <v>0.896877013530928</v>
      </c>
      <c r="GE15" s="11" t="n">
        <v>0.897011446296393</v>
      </c>
      <c r="GF15" s="11" t="n">
        <v>0.896907216494845</v>
      </c>
      <c r="GG15" s="11" t="n">
        <v>0.038659793814433</v>
      </c>
      <c r="GH15" s="11" t="n">
        <v>0.0412371134020619</v>
      </c>
      <c r="GI15" s="11" t="n">
        <v>0.055800550437404</v>
      </c>
      <c r="GJ15" s="11" t="n">
        <v>0.0636214674210425</v>
      </c>
      <c r="GK15" s="11" t="n">
        <v>0.0618936485665678</v>
      </c>
      <c r="GL15" s="11" t="n">
        <v>0.0649131324631882</v>
      </c>
      <c r="GM15" s="11" t="n">
        <v>0.00258887515729773</v>
      </c>
      <c r="GN15" s="11" t="n">
        <v>0.0024615415976834</v>
      </c>
      <c r="GO15" s="11" t="n">
        <v>0.896262886597938</v>
      </c>
      <c r="GP15" s="11" t="n">
        <v>0.896907216494845</v>
      </c>
      <c r="GQ15" s="11" t="n">
        <v>-0.0306256841868162</v>
      </c>
      <c r="GR15" s="11" t="n">
        <v>1</v>
      </c>
      <c r="GS15" s="11" t="n">
        <v>1</v>
      </c>
      <c r="GT15" s="11" t="n">
        <v>0</v>
      </c>
      <c r="GU15" s="11" t="n">
        <v>0</v>
      </c>
      <c r="GV15" s="11" t="n">
        <v>1</v>
      </c>
      <c r="GW15" s="11" t="n">
        <v>1</v>
      </c>
      <c r="GX15" s="11" t="n">
        <v>1</v>
      </c>
      <c r="GY15" s="11" t="n">
        <v>1</v>
      </c>
      <c r="GZ15" s="11" t="n">
        <v>1</v>
      </c>
      <c r="HA15" s="11" t="n">
        <v>1</v>
      </c>
      <c r="HB15" s="11" t="n">
        <v>1</v>
      </c>
      <c r="HC15" s="11" t="n">
        <v>1</v>
      </c>
      <c r="HD15" s="11" t="n">
        <v>1</v>
      </c>
      <c r="HE15" s="11" t="n">
        <v>1</v>
      </c>
      <c r="HF15" s="11" t="n">
        <v>1</v>
      </c>
      <c r="HG15" s="11" t="n">
        <v>1</v>
      </c>
      <c r="HH15" s="11" t="n">
        <v>1</v>
      </c>
      <c r="HI15" s="11" t="n">
        <v>1</v>
      </c>
      <c r="HJ15" s="11" t="n">
        <v>1</v>
      </c>
      <c r="HK15" s="11"/>
      <c r="HL15" s="11" t="s">
        <v>577</v>
      </c>
      <c r="HM15" s="11" t="n">
        <v>1</v>
      </c>
      <c r="HN15" s="11" t="s">
        <v>10</v>
      </c>
      <c r="HO15" s="11" t="s">
        <v>578</v>
      </c>
      <c r="HP15" s="11" t="s">
        <v>578</v>
      </c>
      <c r="HQ15" s="11" t="n">
        <v>0</v>
      </c>
      <c r="HR15" s="11" t="s">
        <v>189</v>
      </c>
      <c r="HS15" s="11" t="s">
        <v>579</v>
      </c>
      <c r="HT15" s="11" t="s">
        <v>579</v>
      </c>
      <c r="HU15" s="11" t="s">
        <v>659</v>
      </c>
      <c r="HV15" s="11" t="s">
        <v>659</v>
      </c>
      <c r="HW15" s="11" t="s">
        <v>660</v>
      </c>
      <c r="HX15" s="11" t="s">
        <v>661</v>
      </c>
      <c r="HY15" s="11" t="s">
        <v>583</v>
      </c>
      <c r="HZ15" s="11" t="s">
        <v>662</v>
      </c>
      <c r="IA15" s="11" t="s">
        <v>657</v>
      </c>
      <c r="IB15" s="11" t="s">
        <v>663</v>
      </c>
      <c r="IC15" s="11" t="s">
        <v>225</v>
      </c>
      <c r="ID15" s="11" t="s">
        <v>664</v>
      </c>
      <c r="IE15" s="11"/>
      <c r="IF15" s="11"/>
      <c r="IG15" s="11"/>
      <c r="IH15" s="11"/>
    </row>
    <row r="16" customFormat="false" ht="15" hidden="false" customHeight="false" outlineLevel="0" collapsed="false">
      <c r="A16" s="11" t="s">
        <v>88</v>
      </c>
      <c r="B16" s="11" t="s">
        <v>665</v>
      </c>
      <c r="C16" s="11" t="s">
        <v>588</v>
      </c>
      <c r="D16" s="11" t="s">
        <v>570</v>
      </c>
      <c r="E16" s="11" t="s">
        <v>51</v>
      </c>
      <c r="F16" s="11"/>
      <c r="G16" s="11"/>
      <c r="H16" s="11" t="s">
        <v>666</v>
      </c>
      <c r="I16" s="11" t="s">
        <v>224</v>
      </c>
      <c r="J16" s="11" t="n">
        <v>97</v>
      </c>
      <c r="K16" s="11" t="n">
        <v>3.23333333333333</v>
      </c>
      <c r="L16" s="11" t="n">
        <v>0.730970323085785</v>
      </c>
      <c r="M16" s="11" t="n">
        <v>0.802938044071198</v>
      </c>
      <c r="N16" s="11" t="n">
        <v>0</v>
      </c>
      <c r="O16" s="11" t="n">
        <v>1.35023033185097</v>
      </c>
      <c r="P16" s="11" t="n">
        <v>1.52125441597456</v>
      </c>
      <c r="Q16" s="11" t="n">
        <v>0.25947507554584</v>
      </c>
      <c r="R16" s="11" t="n">
        <v>0.185567010309278</v>
      </c>
      <c r="S16" s="11" t="n">
        <v>0.268041237113402</v>
      </c>
      <c r="T16" s="11" t="n">
        <v>0.0927835051546392</v>
      </c>
      <c r="U16" s="11" t="n">
        <v>0.0515463917525773</v>
      </c>
      <c r="V16" s="11" t="n">
        <v>0</v>
      </c>
      <c r="W16" s="11" t="n">
        <v>0.536082474226804</v>
      </c>
      <c r="X16" s="11" t="n">
        <v>0.360824742268041</v>
      </c>
      <c r="Y16" s="11" t="n">
        <v>0.412371134020618</v>
      </c>
      <c r="Z16" s="11" t="n">
        <v>0.432989690721649</v>
      </c>
      <c r="AA16" s="11" t="n">
        <v>0.123711340206186</v>
      </c>
      <c r="AB16" s="11" t="n">
        <v>0.103092783505155</v>
      </c>
      <c r="AC16" s="11" t="n">
        <v>-0.00266020771878951</v>
      </c>
      <c r="AD16" s="11" t="n">
        <v>-0.0122023030661991</v>
      </c>
      <c r="AE16" s="11" t="n">
        <v>0.333333333333333</v>
      </c>
      <c r="AF16" s="11" t="n">
        <v>0.222222222222222</v>
      </c>
      <c r="AG16" s="11" t="n">
        <v>0.185185185185185</v>
      </c>
      <c r="AH16" s="11" t="n">
        <v>0.175257731958763</v>
      </c>
      <c r="AI16" s="11" t="n">
        <v>0.123711340206186</v>
      </c>
      <c r="AJ16" s="11" t="n">
        <v>0.103092783505155</v>
      </c>
      <c r="AK16" s="11" t="n">
        <v>0.42788825282709</v>
      </c>
      <c r="AL16" s="11" t="n">
        <v>0</v>
      </c>
      <c r="AM16" s="11" t="n">
        <v>0</v>
      </c>
      <c r="AN16" s="11" t="n">
        <v>0</v>
      </c>
      <c r="AO16" s="11"/>
      <c r="AP16" s="11"/>
      <c r="AQ16" s="11"/>
      <c r="AR16" s="11" t="n">
        <v>0</v>
      </c>
      <c r="AS16" s="11" t="n">
        <v>0</v>
      </c>
      <c r="AT16" s="11" t="n">
        <v>0</v>
      </c>
      <c r="AU16" s="11" t="n">
        <v>0</v>
      </c>
      <c r="AV16" s="11" t="n">
        <v>0</v>
      </c>
      <c r="AW16" s="11" t="n">
        <v>0</v>
      </c>
      <c r="AX16" s="11" t="n">
        <v>0</v>
      </c>
      <c r="AY16" s="11" t="n">
        <v>0.00965922010176296</v>
      </c>
      <c r="AZ16" s="11" t="n">
        <v>0.0227665010493674</v>
      </c>
      <c r="BA16" s="11"/>
      <c r="BB16" s="11" t="n">
        <v>0.0618556701030928</v>
      </c>
      <c r="BC16" s="11" t="n">
        <v>0.731958762886598</v>
      </c>
      <c r="BD16" s="11" t="n">
        <v>0.164948453608247</v>
      </c>
      <c r="BE16" s="11" t="n">
        <v>0.762886597938144</v>
      </c>
      <c r="BF16" s="11" t="n">
        <v>0.257731958762887</v>
      </c>
      <c r="BG16" s="11" t="n">
        <v>0.783505154639175</v>
      </c>
      <c r="BH16" s="11" t="n">
        <v>0.484536082474227</v>
      </c>
      <c r="BI16" s="11" t="n">
        <v>0.814432989690722</v>
      </c>
      <c r="BJ16" s="11" t="n">
        <v>0.260757319314795</v>
      </c>
      <c r="BK16" s="11" t="n">
        <v>0.0946161558375208</v>
      </c>
      <c r="BL16" s="11" t="n">
        <v>0.179355920500948</v>
      </c>
      <c r="BM16" s="11" t="n">
        <v>0.181792465524375</v>
      </c>
      <c r="BN16" s="11" t="n">
        <v>0.528823529408265</v>
      </c>
      <c r="BO16" s="11" t="n">
        <v>0.514929888565049</v>
      </c>
      <c r="BP16" s="11" t="n">
        <v>0.01249925137925</v>
      </c>
      <c r="BQ16" s="11" t="n">
        <v>0.0135354953926127</v>
      </c>
      <c r="BR16" s="11" t="n">
        <v>4.2313491045779</v>
      </c>
      <c r="BS16" s="11" t="n">
        <v>24.6490901381848</v>
      </c>
      <c r="BT16" s="11" t="n">
        <v>25.536726511925</v>
      </c>
      <c r="BU16" s="11" t="n">
        <v>26.0757319314795</v>
      </c>
      <c r="BV16" s="11" t="n">
        <v>10.276337275388</v>
      </c>
      <c r="BW16" s="11" t="n">
        <v>12.4661361039605</v>
      </c>
      <c r="BX16" s="11" t="n">
        <v>3.13128992444881</v>
      </c>
      <c r="BY16" s="11" t="n">
        <v>7.45904498314708</v>
      </c>
      <c r="BZ16" s="11" t="n">
        <v>0.742268041237113</v>
      </c>
      <c r="CA16" s="11" t="n">
        <v>0.652777777777778</v>
      </c>
      <c r="CB16" s="11" t="n">
        <v>0.430555555555556</v>
      </c>
      <c r="CC16" s="11" t="n">
        <v>0.5</v>
      </c>
      <c r="CD16" s="11" t="n">
        <v>0.513888888888889</v>
      </c>
      <c r="CE16" s="11" t="n">
        <v>0.742268041237113</v>
      </c>
      <c r="CF16" s="11" t="n">
        <v>5</v>
      </c>
      <c r="CG16" s="11" t="n">
        <v>0</v>
      </c>
      <c r="CH16" s="11" t="n">
        <v>0.652777777777778</v>
      </c>
      <c r="CI16" s="11" t="n">
        <v>0.5</v>
      </c>
      <c r="CJ16" s="11" t="n">
        <v>0.513888888888889</v>
      </c>
      <c r="CK16" s="11" t="n">
        <v>0.2</v>
      </c>
      <c r="CL16" s="11" t="n">
        <v>0.16</v>
      </c>
      <c r="CM16" s="11" t="n">
        <v>0.16</v>
      </c>
      <c r="CN16" s="11" t="n">
        <v>0.2</v>
      </c>
      <c r="CO16" s="11" t="n">
        <v>0</v>
      </c>
      <c r="CP16" s="11" t="n">
        <v>0</v>
      </c>
      <c r="CQ16" s="11" t="n">
        <v>0</v>
      </c>
      <c r="CR16" s="11" t="n">
        <v>0</v>
      </c>
      <c r="CS16" s="11" t="n">
        <v>0.416666666666667</v>
      </c>
      <c r="CT16" s="11" t="n">
        <v>0.333333333333333</v>
      </c>
      <c r="CU16" s="11" t="n">
        <v>0.333333333333333</v>
      </c>
      <c r="CV16" s="11" t="n">
        <v>0.416666666666667</v>
      </c>
      <c r="CW16" s="11" t="n">
        <v>0.111111111111111</v>
      </c>
      <c r="CX16" s="11" t="n">
        <v>0.0694444444444444</v>
      </c>
      <c r="CY16" s="11" t="n">
        <v>0.00951953305777297</v>
      </c>
      <c r="CZ16" s="11" t="n">
        <v>-0.053161816624186</v>
      </c>
      <c r="DA16" s="11" t="n">
        <v>11.5200382882439</v>
      </c>
      <c r="DB16" s="11" t="n">
        <v>0.0025348930506693</v>
      </c>
      <c r="DC16" s="11" t="n">
        <v>18.9488415223137</v>
      </c>
      <c r="DD16" s="11" t="n">
        <v>0.177614125389299</v>
      </c>
      <c r="DE16" s="11" t="n">
        <v>0.54639175257732</v>
      </c>
      <c r="DF16" s="11" t="n">
        <v>-0.00958163618389534</v>
      </c>
      <c r="DG16" s="11" t="n">
        <v>0.00973232498555622</v>
      </c>
      <c r="DH16" s="11" t="n">
        <v>-1.93139611694516</v>
      </c>
      <c r="DI16" s="11" t="n">
        <v>145.106272339211</v>
      </c>
      <c r="DJ16" s="11" t="n">
        <v>39.2714324258119</v>
      </c>
      <c r="DK16" s="11" t="n">
        <v>18.2254926894608</v>
      </c>
      <c r="DL16" s="11" t="n">
        <v>49.05</v>
      </c>
      <c r="DM16" s="11" t="n">
        <v>0.701030927835051</v>
      </c>
      <c r="DN16" s="11" t="n">
        <v>0.649484536082474</v>
      </c>
      <c r="DO16" s="11" t="n">
        <v>-0.0120031081173676</v>
      </c>
      <c r="DP16" s="11" t="n">
        <v>0</v>
      </c>
      <c r="DQ16" s="11" t="n">
        <v>0.0824742268041237</v>
      </c>
      <c r="DR16" s="11" t="n">
        <v>0.0309278350515464</v>
      </c>
      <c r="DS16" s="11" t="n">
        <v>0.0103092783505155</v>
      </c>
      <c r="DT16" s="11" t="n">
        <v>0</v>
      </c>
      <c r="DU16" s="11" t="n">
        <v>0</v>
      </c>
      <c r="DV16" s="11" t="n">
        <v>5</v>
      </c>
      <c r="DW16" s="11" t="s">
        <v>573</v>
      </c>
      <c r="DX16" s="11" t="n">
        <v>0.406307</v>
      </c>
      <c r="DY16" s="11" t="n">
        <v>0.0391298790520282</v>
      </c>
      <c r="DZ16" s="11" t="n">
        <v>0.773484120947972</v>
      </c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 t="n">
        <v>6.83413582832698</v>
      </c>
      <c r="EP16" s="11" t="n">
        <v>82.6291483509495</v>
      </c>
      <c r="EQ16" s="11" t="n">
        <v>1733.84301058085</v>
      </c>
      <c r="ER16" s="11" t="n">
        <v>3.94554077019778</v>
      </c>
      <c r="ES16" s="11" t="n">
        <v>3.94554077019778</v>
      </c>
      <c r="ET16" s="11" t="n">
        <v>2.21710875817877</v>
      </c>
      <c r="EU16" s="11" t="n">
        <v>41.4962563686223</v>
      </c>
      <c r="EV16" s="11" t="n">
        <v>41.4962563686223</v>
      </c>
      <c r="EW16" s="11" t="n">
        <v>520.787707312652</v>
      </c>
      <c r="EX16" s="11" t="n">
        <v>580.529813106771</v>
      </c>
      <c r="EY16" s="11" t="n">
        <v>1.36202627143584</v>
      </c>
      <c r="EZ16" s="11" t="n">
        <v>0.634049460651737</v>
      </c>
      <c r="FA16" s="11" t="n">
        <v>0.0499935919968165</v>
      </c>
      <c r="FB16" s="11" t="n">
        <v>1</v>
      </c>
      <c r="FC16" s="11" t="n">
        <v>0</v>
      </c>
      <c r="FD16" s="11" t="n">
        <v>0</v>
      </c>
      <c r="FE16" s="11" t="s">
        <v>574</v>
      </c>
      <c r="FF16" s="11" t="s">
        <v>225</v>
      </c>
      <c r="FG16" s="11" t="n">
        <v>97</v>
      </c>
      <c r="FH16" s="11" t="s">
        <v>575</v>
      </c>
      <c r="FI16" s="11" t="s">
        <v>59</v>
      </c>
      <c r="FJ16" s="11" t="n">
        <v>0.2</v>
      </c>
      <c r="FK16" s="11" t="n">
        <v>0.223550778021852</v>
      </c>
      <c r="FL16" s="11" t="n">
        <v>0.0886678367884466</v>
      </c>
      <c r="FM16" s="11" t="n">
        <v>0.0077319587628866</v>
      </c>
      <c r="FN16" s="11" t="n">
        <v>1</v>
      </c>
      <c r="FO16" s="11" t="n">
        <v>0.879232514885401</v>
      </c>
      <c r="FP16" s="11" t="n">
        <v>0.730446424389879</v>
      </c>
      <c r="FQ16" s="11" t="n">
        <v>0.355670103092783</v>
      </c>
      <c r="FR16" s="11" t="n">
        <v>0</v>
      </c>
      <c r="FS16" s="11" t="n">
        <v>0.879141988746336</v>
      </c>
      <c r="FT16" s="11" t="n">
        <v>0.73026678435552</v>
      </c>
      <c r="FU16" s="11" t="n">
        <v>1</v>
      </c>
      <c r="FV16" s="11" t="n">
        <v>9.27243007653403</v>
      </c>
      <c r="FW16" s="11" t="n">
        <v>274.425724759611</v>
      </c>
      <c r="FX16" s="11" t="n">
        <v>0.0175355304089317</v>
      </c>
      <c r="FY16" s="11" t="n">
        <v>1</v>
      </c>
      <c r="FZ16" s="11" t="n">
        <v>12</v>
      </c>
      <c r="GA16" s="11" t="n">
        <v>1</v>
      </c>
      <c r="GB16" s="11" t="s">
        <v>576</v>
      </c>
      <c r="GC16" s="11" t="n">
        <v>0.93725208400451</v>
      </c>
      <c r="GD16" s="11" t="n">
        <v>0.938144329896907</v>
      </c>
      <c r="GE16" s="11" t="n">
        <v>0.938144329896907</v>
      </c>
      <c r="GF16" s="11" t="n">
        <v>0.938144329896907</v>
      </c>
      <c r="GG16" s="11" t="n">
        <v>0</v>
      </c>
      <c r="GH16" s="11" t="n">
        <v>0</v>
      </c>
      <c r="GI16" s="11" t="n">
        <v>0.110985822529777</v>
      </c>
      <c r="GJ16" s="11" t="n">
        <v>0.123204991759099</v>
      </c>
      <c r="GK16" s="11" t="n">
        <v>0.120108687927585</v>
      </c>
      <c r="GL16" s="11" t="n">
        <v>0.12696734512436</v>
      </c>
      <c r="GM16" s="11" t="n">
        <v>4.15684034318399E-005</v>
      </c>
      <c r="GN16" s="11" t="n">
        <v>0</v>
      </c>
      <c r="GO16" s="11" t="n">
        <v>0.938144329896907</v>
      </c>
      <c r="GP16" s="11" t="n">
        <v>0.938144329896907</v>
      </c>
      <c r="GQ16" s="11" t="n">
        <v>-0.0355400666594505</v>
      </c>
      <c r="GR16" s="11" t="n">
        <v>1</v>
      </c>
      <c r="GS16" s="11" t="n">
        <v>1</v>
      </c>
      <c r="GT16" s="11" t="n">
        <v>0</v>
      </c>
      <c r="GU16" s="11" t="n">
        <v>0</v>
      </c>
      <c r="GV16" s="11" t="n">
        <v>1</v>
      </c>
      <c r="GW16" s="11" t="n">
        <v>1</v>
      </c>
      <c r="GX16" s="11" t="n">
        <v>1</v>
      </c>
      <c r="GY16" s="11" t="n">
        <v>0</v>
      </c>
      <c r="GZ16" s="11" t="n">
        <v>1</v>
      </c>
      <c r="HA16" s="11" t="n">
        <v>1</v>
      </c>
      <c r="HB16" s="11" t="n">
        <v>0</v>
      </c>
      <c r="HC16" s="11" t="n">
        <v>1</v>
      </c>
      <c r="HD16" s="11" t="n">
        <v>0</v>
      </c>
      <c r="HE16" s="11" t="n">
        <v>0</v>
      </c>
      <c r="HF16" s="11" t="n">
        <v>1</v>
      </c>
      <c r="HG16" s="11" t="n">
        <v>1</v>
      </c>
      <c r="HH16" s="11" t="n">
        <v>0</v>
      </c>
      <c r="HI16" s="11" t="n">
        <v>0</v>
      </c>
      <c r="HJ16" s="11" t="n">
        <v>0</v>
      </c>
      <c r="HK16" s="11" t="s">
        <v>667</v>
      </c>
      <c r="HL16" s="11" t="s">
        <v>577</v>
      </c>
      <c r="HM16" s="11" t="n">
        <v>1</v>
      </c>
      <c r="HN16" s="11" t="s">
        <v>591</v>
      </c>
      <c r="HO16" s="11" t="s">
        <v>578</v>
      </c>
      <c r="HP16" s="11" t="s">
        <v>578</v>
      </c>
      <c r="HQ16" s="11" t="n">
        <v>0</v>
      </c>
      <c r="HR16" s="11" t="s">
        <v>189</v>
      </c>
      <c r="HS16" s="11" t="s">
        <v>190</v>
      </c>
      <c r="HT16" s="11" t="s">
        <v>190</v>
      </c>
      <c r="HU16" s="11" t="s">
        <v>668</v>
      </c>
      <c r="HV16" s="11" t="s">
        <v>668</v>
      </c>
      <c r="HW16" s="11" t="s">
        <v>669</v>
      </c>
      <c r="HX16" s="11" t="s">
        <v>661</v>
      </c>
      <c r="HY16" s="11" t="s">
        <v>583</v>
      </c>
      <c r="HZ16" s="11" t="s">
        <v>670</v>
      </c>
      <c r="IA16" s="11" t="s">
        <v>666</v>
      </c>
      <c r="IB16" s="11" t="s">
        <v>671</v>
      </c>
      <c r="IC16" s="11" t="s">
        <v>225</v>
      </c>
      <c r="ID16" s="11" t="s">
        <v>664</v>
      </c>
      <c r="IE16" s="11"/>
      <c r="IF16" s="11"/>
      <c r="IG16" s="11"/>
      <c r="IH16" s="11"/>
    </row>
    <row r="17" customFormat="false" ht="15" hidden="false" customHeight="false" outlineLevel="0" collapsed="false">
      <c r="A17" s="11" t="s">
        <v>89</v>
      </c>
      <c r="B17" s="11" t="s">
        <v>672</v>
      </c>
      <c r="C17" s="11" t="s">
        <v>569</v>
      </c>
      <c r="D17" s="11" t="s">
        <v>570</v>
      </c>
      <c r="E17" s="11" t="s">
        <v>51</v>
      </c>
      <c r="F17" s="11"/>
      <c r="G17" s="11"/>
      <c r="H17" s="11" t="s">
        <v>673</v>
      </c>
      <c r="I17" s="11" t="s">
        <v>674</v>
      </c>
      <c r="J17" s="11" t="n">
        <v>110</v>
      </c>
      <c r="K17" s="11" t="n">
        <v>3.66666666666667</v>
      </c>
      <c r="L17" s="11" t="n">
        <v>0.739580750465393</v>
      </c>
      <c r="M17" s="11" t="n">
        <v>0.793477892875671</v>
      </c>
      <c r="N17" s="11" t="n">
        <v>0</v>
      </c>
      <c r="O17" s="11" t="n">
        <v>1.04281968897096</v>
      </c>
      <c r="P17" s="11" t="n">
        <v>1.05494898927779</v>
      </c>
      <c r="Q17" s="11" t="n">
        <v>0.150877864052087</v>
      </c>
      <c r="R17" s="11" t="n">
        <v>0.554545454545455</v>
      </c>
      <c r="S17" s="11" t="n">
        <v>0.309090909090909</v>
      </c>
      <c r="T17" s="11" t="n">
        <v>0.00909090909090909</v>
      </c>
      <c r="U17" s="11" t="n">
        <v>0</v>
      </c>
      <c r="V17" s="11" t="n">
        <v>0</v>
      </c>
      <c r="W17" s="11" t="n">
        <v>0.681818181818182</v>
      </c>
      <c r="X17" s="11" t="n">
        <v>0.454545454545454</v>
      </c>
      <c r="Y17" s="11" t="n">
        <v>0.518181818181818</v>
      </c>
      <c r="Z17" s="11" t="n">
        <v>0.590909090909091</v>
      </c>
      <c r="AA17" s="11" t="n">
        <v>0.163636363636364</v>
      </c>
      <c r="AB17" s="11" t="n">
        <v>0.0909090909090909</v>
      </c>
      <c r="AC17" s="11" t="n">
        <v>-0.00201132150333372</v>
      </c>
      <c r="AD17" s="11" t="n">
        <v>-0.00745769520254088</v>
      </c>
      <c r="AE17" s="11" t="n">
        <v>0.342105263157895</v>
      </c>
      <c r="AF17" s="11" t="n">
        <v>0.236842105263158</v>
      </c>
      <c r="AG17" s="11" t="n">
        <v>0.131578947368421</v>
      </c>
      <c r="AH17" s="11" t="n">
        <v>0.227272727272727</v>
      </c>
      <c r="AI17" s="11" t="n">
        <v>0.163636363636364</v>
      </c>
      <c r="AJ17" s="11" t="n">
        <v>0.0909090909090909</v>
      </c>
      <c r="AK17" s="11" t="n">
        <v>0.398189981852354</v>
      </c>
      <c r="AL17" s="11" t="n">
        <v>0</v>
      </c>
      <c r="AM17" s="11" t="n">
        <v>0</v>
      </c>
      <c r="AN17" s="11" t="n">
        <v>0</v>
      </c>
      <c r="AO17" s="11"/>
      <c r="AP17" s="11"/>
      <c r="AQ17" s="11"/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0.00563511600253122</v>
      </c>
      <c r="AZ17" s="11" t="n">
        <v>0.0147816402361124</v>
      </c>
      <c r="BA17" s="11"/>
      <c r="BB17" s="11" t="n">
        <v>0.709090909090909</v>
      </c>
      <c r="BC17" s="11" t="n">
        <v>0.809090909090909</v>
      </c>
      <c r="BD17" s="11" t="n">
        <v>0.790909090909091</v>
      </c>
      <c r="BE17" s="11" t="n">
        <v>0.854545454545455</v>
      </c>
      <c r="BF17" s="11" t="n">
        <v>0.818181818181818</v>
      </c>
      <c r="BG17" s="11" t="n">
        <v>0.963636363636364</v>
      </c>
      <c r="BH17" s="11" t="n">
        <v>0.890909090909091</v>
      </c>
      <c r="BI17" s="11" t="n">
        <v>1</v>
      </c>
      <c r="BJ17" s="11" t="n">
        <v>0.0836574808224468</v>
      </c>
      <c r="BK17" s="11" t="n">
        <v>0.0259085854227184</v>
      </c>
      <c r="BL17" s="11" t="n">
        <v>0.124513507561637</v>
      </c>
      <c r="BM17" s="11" t="n">
        <v>0.0339059124268454</v>
      </c>
      <c r="BN17" s="11" t="n">
        <v>0.366750777124295</v>
      </c>
      <c r="BO17" s="11" t="n">
        <v>0.198139672523725</v>
      </c>
      <c r="BP17" s="11" t="n">
        <v>0.0104331859312716</v>
      </c>
      <c r="BQ17" s="11" t="n">
        <v>0.00873262518807522</v>
      </c>
      <c r="BR17" s="11" t="n">
        <v>2.79074325223522</v>
      </c>
      <c r="BS17" s="11" t="n">
        <v>9.12608433770638</v>
      </c>
      <c r="BT17" s="11" t="n">
        <v>13.6925125903131</v>
      </c>
      <c r="BU17" s="11" t="n">
        <v>8.36574808224468</v>
      </c>
      <c r="BV17" s="11" t="n">
        <v>7.13409847565149</v>
      </c>
      <c r="BW17" s="11" t="n">
        <v>7.40077015121696</v>
      </c>
      <c r="BX17" s="11" t="n">
        <v>3.77819815735063</v>
      </c>
      <c r="BY17" s="11" t="n">
        <v>2.87071432826034</v>
      </c>
      <c r="BZ17" s="11" t="n">
        <v>0.618181818181818</v>
      </c>
      <c r="CA17" s="11" t="n">
        <v>0.838235294117647</v>
      </c>
      <c r="CB17" s="11" t="n">
        <v>0.544117647058823</v>
      </c>
      <c r="CC17" s="11" t="n">
        <v>0.602941176470588</v>
      </c>
      <c r="CD17" s="11" t="n">
        <v>0.691176470588235</v>
      </c>
      <c r="CE17" s="11" t="n">
        <v>0.618181818181818</v>
      </c>
      <c r="CF17" s="11" t="n">
        <v>5</v>
      </c>
      <c r="CG17" s="11" t="n">
        <v>0</v>
      </c>
      <c r="CH17" s="11" t="n">
        <v>0.838235294117647</v>
      </c>
      <c r="CI17" s="11" t="n">
        <v>0.602941176470588</v>
      </c>
      <c r="CJ17" s="11" t="n">
        <v>0.691176470588235</v>
      </c>
      <c r="CK17" s="11" t="n">
        <v>0.428571428571429</v>
      </c>
      <c r="CL17" s="11" t="n">
        <v>0.309523809523809</v>
      </c>
      <c r="CM17" s="11" t="n">
        <v>0.380952380952381</v>
      </c>
      <c r="CN17" s="11" t="n">
        <v>0.428571428571429</v>
      </c>
      <c r="CO17" s="11" t="n">
        <v>0</v>
      </c>
      <c r="CP17" s="11" t="n">
        <v>0</v>
      </c>
      <c r="CQ17" s="11" t="n">
        <v>0</v>
      </c>
      <c r="CR17" s="11" t="n">
        <v>0</v>
      </c>
      <c r="CS17" s="11" t="n">
        <v>0.72</v>
      </c>
      <c r="CT17" s="11" t="n">
        <v>0.52</v>
      </c>
      <c r="CU17" s="11" t="n">
        <v>0.64</v>
      </c>
      <c r="CV17" s="11" t="n">
        <v>0.72</v>
      </c>
      <c r="CW17" s="11" t="n">
        <v>0.0147058823529412</v>
      </c>
      <c r="CX17" s="11" t="n">
        <v>0</v>
      </c>
      <c r="CY17" s="11" t="n">
        <v>-0.0338216300491427</v>
      </c>
      <c r="CZ17" s="11" t="n">
        <v>-0.109575626251338</v>
      </c>
      <c r="DA17" s="11" t="n">
        <v>5.64656672802165</v>
      </c>
      <c r="DB17" s="11" t="n">
        <v>-0.0835689620560067</v>
      </c>
      <c r="DC17" s="11" t="n">
        <v>11.1318031532849</v>
      </c>
      <c r="DD17" s="11" t="n">
        <v>0.428807282195077</v>
      </c>
      <c r="DE17" s="11" t="n">
        <v>0.418181818181818</v>
      </c>
      <c r="DF17" s="11" t="n">
        <v>-0.0748304637626568</v>
      </c>
      <c r="DG17" s="11" t="n">
        <v>-0.0975866311530737</v>
      </c>
      <c r="DH17" s="11" t="n">
        <v>2.27561673904169</v>
      </c>
      <c r="DI17" s="11" t="n">
        <v>91.3404015417554</v>
      </c>
      <c r="DJ17" s="11" t="n">
        <v>75.080283542501</v>
      </c>
      <c r="DK17" s="11" t="n">
        <v>6.56979768119013</v>
      </c>
      <c r="DL17" s="11" t="n">
        <v>49.05</v>
      </c>
      <c r="DM17" s="11" t="n">
        <v>0.6</v>
      </c>
      <c r="DN17" s="11" t="n">
        <v>0.490909090909091</v>
      </c>
      <c r="DO17" s="11" t="n">
        <v>-0.0144575755561275</v>
      </c>
      <c r="DP17" s="11" t="n">
        <v>0</v>
      </c>
      <c r="DQ17" s="11" t="n">
        <v>0</v>
      </c>
      <c r="DR17" s="11" t="n">
        <v>0</v>
      </c>
      <c r="DS17" s="11" t="n">
        <v>0</v>
      </c>
      <c r="DT17" s="11" t="n">
        <v>0</v>
      </c>
      <c r="DU17" s="11" t="n">
        <v>0</v>
      </c>
      <c r="DV17" s="11" t="n">
        <v>5</v>
      </c>
      <c r="DW17" s="11" t="s">
        <v>573</v>
      </c>
      <c r="DX17" s="11" t="n">
        <v>0.406307</v>
      </c>
      <c r="DY17" s="11" t="n">
        <v>0.0331925404707268</v>
      </c>
      <c r="DZ17" s="11" t="n">
        <v>0.779421459529273</v>
      </c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 t="n">
        <v>4.98406200878588</v>
      </c>
      <c r="EP17" s="11" t="n">
        <v>60.0736315510937</v>
      </c>
      <c r="EQ17" s="11" t="n">
        <v>1496.30194155104</v>
      </c>
      <c r="ER17" s="11" t="n">
        <v>3.11717947523596</v>
      </c>
      <c r="ES17" s="11" t="n">
        <v>3.11717947523596</v>
      </c>
      <c r="ET17" s="11" t="n">
        <v>1.07952346861655</v>
      </c>
      <c r="EU17" s="11" t="n">
        <v>36.3901781353509</v>
      </c>
      <c r="EV17" s="11" t="n">
        <v>36.3901781353509</v>
      </c>
      <c r="EW17" s="11" t="n">
        <v>289.439626649303</v>
      </c>
      <c r="EX17" s="11" t="n">
        <v>394.470164584698</v>
      </c>
      <c r="EY17" s="11" t="n">
        <v>0.885896518230304</v>
      </c>
      <c r="EZ17" s="11" t="n">
        <v>0.790330085082445</v>
      </c>
      <c r="FA17" s="11" t="n">
        <v>0.0494331168764389</v>
      </c>
      <c r="FB17" s="11" t="n">
        <v>1</v>
      </c>
      <c r="FC17" s="11" t="n">
        <v>0</v>
      </c>
      <c r="FD17" s="11" t="n">
        <v>0</v>
      </c>
      <c r="FE17" s="11" t="s">
        <v>574</v>
      </c>
      <c r="FF17" s="11" t="s">
        <v>230</v>
      </c>
      <c r="FG17" s="11" t="n">
        <v>110</v>
      </c>
      <c r="FH17" s="11" t="s">
        <v>575</v>
      </c>
      <c r="FI17" s="11" t="s">
        <v>59</v>
      </c>
      <c r="FJ17" s="11" t="n">
        <v>0.2</v>
      </c>
      <c r="FK17" s="11" t="n">
        <v>0.145141263418094</v>
      </c>
      <c r="FL17" s="11" t="n">
        <v>0.0801076144766328</v>
      </c>
      <c r="FM17" s="11" t="n">
        <v>0</v>
      </c>
      <c r="FN17" s="11" t="n">
        <v>1</v>
      </c>
      <c r="FO17" s="11" t="n">
        <v>0.485736336356292</v>
      </c>
      <c r="FP17" s="11" t="n">
        <v>0.345109476889693</v>
      </c>
      <c r="FQ17" s="11" t="n">
        <v>0.075</v>
      </c>
      <c r="FR17" s="11" t="n">
        <v>0</v>
      </c>
      <c r="FS17" s="11" t="n">
        <v>0.484174179424384</v>
      </c>
      <c r="FT17" s="11" t="n">
        <v>0.344576753091035</v>
      </c>
      <c r="FU17" s="11" t="n">
        <v>1</v>
      </c>
      <c r="FV17" s="11" t="n">
        <v>5.24003592396562</v>
      </c>
      <c r="FW17" s="11" t="n">
        <v>150.617438454985</v>
      </c>
      <c r="FX17" s="11" t="n">
        <v>0.013259742885402</v>
      </c>
      <c r="FY17" s="11" t="n">
        <v>1</v>
      </c>
      <c r="FZ17" s="11" t="n">
        <v>25</v>
      </c>
      <c r="GA17" s="11" t="n">
        <v>1</v>
      </c>
      <c r="GB17" s="11" t="s">
        <v>576</v>
      </c>
      <c r="GC17" s="11" t="n">
        <v>0.944628073952415</v>
      </c>
      <c r="GD17" s="11" t="n">
        <v>0.945454545454545</v>
      </c>
      <c r="GE17" s="11" t="n">
        <v>0.945454545454545</v>
      </c>
      <c r="GF17" s="11" t="n">
        <v>0.945454545454545</v>
      </c>
      <c r="GG17" s="11" t="n">
        <v>0</v>
      </c>
      <c r="GH17" s="11" t="n">
        <v>0</v>
      </c>
      <c r="GI17" s="11" t="n">
        <v>0.0497180447530065</v>
      </c>
      <c r="GJ17" s="11" t="n">
        <v>0.0585867827588862</v>
      </c>
      <c r="GK17" s="11" t="n">
        <v>0.0571395231538314</v>
      </c>
      <c r="GL17" s="11" t="n">
        <v>0.0594398670745167</v>
      </c>
      <c r="GM17" s="11" t="n">
        <v>6.07924048531252E-005</v>
      </c>
      <c r="GN17" s="11" t="n">
        <v>0</v>
      </c>
      <c r="GO17" s="11" t="n">
        <v>0.945454545454545</v>
      </c>
      <c r="GP17" s="11" t="n">
        <v>0.945454545454545</v>
      </c>
      <c r="GQ17" s="11" t="n">
        <v>-0.0329291485249996</v>
      </c>
      <c r="GR17" s="11" t="n">
        <v>1</v>
      </c>
      <c r="GS17" s="11" t="n">
        <v>1</v>
      </c>
      <c r="GT17" s="11" t="n">
        <v>0</v>
      </c>
      <c r="GU17" s="11" t="n">
        <v>0</v>
      </c>
      <c r="GV17" s="11" t="n">
        <v>1</v>
      </c>
      <c r="GW17" s="11" t="n">
        <v>1</v>
      </c>
      <c r="GX17" s="11" t="n">
        <v>1</v>
      </c>
      <c r="GY17" s="11" t="n">
        <v>0</v>
      </c>
      <c r="GZ17" s="11" t="n">
        <v>1</v>
      </c>
      <c r="HA17" s="11" t="n">
        <v>1</v>
      </c>
      <c r="HB17" s="11" t="n">
        <v>1</v>
      </c>
      <c r="HC17" s="11" t="n">
        <v>1</v>
      </c>
      <c r="HD17" s="11" t="n">
        <v>1</v>
      </c>
      <c r="HE17" s="11" t="n">
        <v>1</v>
      </c>
      <c r="HF17" s="11" t="n">
        <v>1</v>
      </c>
      <c r="HG17" s="11" t="n">
        <v>1</v>
      </c>
      <c r="HH17" s="11" t="n">
        <v>0</v>
      </c>
      <c r="HI17" s="11" t="n">
        <v>0</v>
      </c>
      <c r="HJ17" s="11" t="n">
        <v>0</v>
      </c>
      <c r="HK17" s="11" t="s">
        <v>137</v>
      </c>
      <c r="HL17" s="11" t="s">
        <v>577</v>
      </c>
      <c r="HM17" s="11" t="n">
        <v>1</v>
      </c>
      <c r="HN17" s="11" t="s">
        <v>10</v>
      </c>
      <c r="HO17" s="11" t="s">
        <v>578</v>
      </c>
      <c r="HP17" s="11" t="s">
        <v>578</v>
      </c>
      <c r="HQ17" s="11" t="n">
        <v>0</v>
      </c>
      <c r="HR17" s="11" t="s">
        <v>189</v>
      </c>
      <c r="HS17" s="11" t="s">
        <v>579</v>
      </c>
      <c r="HT17" s="11" t="s">
        <v>579</v>
      </c>
      <c r="HU17" s="11" t="s">
        <v>675</v>
      </c>
      <c r="HV17" s="11" t="s">
        <v>675</v>
      </c>
      <c r="HW17" s="11" t="s">
        <v>676</v>
      </c>
      <c r="HX17" s="11" t="s">
        <v>677</v>
      </c>
      <c r="HY17" s="11" t="s">
        <v>583</v>
      </c>
      <c r="HZ17" s="11" t="s">
        <v>678</v>
      </c>
      <c r="IA17" s="11" t="s">
        <v>673</v>
      </c>
      <c r="IB17" s="11" t="s">
        <v>679</v>
      </c>
      <c r="IC17" s="11" t="s">
        <v>230</v>
      </c>
      <c r="ID17" s="11" t="s">
        <v>680</v>
      </c>
      <c r="IE17" s="11"/>
      <c r="IF17" s="11"/>
      <c r="IG17" s="11"/>
      <c r="IH17" s="11"/>
    </row>
    <row r="18" customFormat="false" ht="15" hidden="false" customHeight="false" outlineLevel="0" collapsed="false">
      <c r="A18" s="11" t="s">
        <v>89</v>
      </c>
      <c r="B18" s="11" t="s">
        <v>681</v>
      </c>
      <c r="C18" s="11" t="s">
        <v>588</v>
      </c>
      <c r="D18" s="11" t="s">
        <v>570</v>
      </c>
      <c r="E18" s="11" t="s">
        <v>51</v>
      </c>
      <c r="F18" s="11"/>
      <c r="G18" s="11"/>
      <c r="H18" s="11" t="s">
        <v>682</v>
      </c>
      <c r="I18" s="11" t="s">
        <v>229</v>
      </c>
      <c r="J18" s="11" t="n">
        <v>110</v>
      </c>
      <c r="K18" s="11" t="n">
        <v>3.66666666666667</v>
      </c>
      <c r="L18" s="11" t="n">
        <v>0.745628654956818</v>
      </c>
      <c r="M18" s="11" t="n">
        <v>0.792461514472961</v>
      </c>
      <c r="N18" s="11" t="n">
        <v>0</v>
      </c>
      <c r="O18" s="11" t="n">
        <v>1.04709091060636</v>
      </c>
      <c r="P18" s="11" t="n">
        <v>1.06734240885014</v>
      </c>
      <c r="Q18" s="11" t="n">
        <v>0.250490318981686</v>
      </c>
      <c r="R18" s="11" t="n">
        <v>0.181818181818182</v>
      </c>
      <c r="S18" s="11" t="n">
        <v>0.472727272727273</v>
      </c>
      <c r="T18" s="11" t="n">
        <v>0.0272727272727273</v>
      </c>
      <c r="U18" s="11" t="n">
        <v>0</v>
      </c>
      <c r="V18" s="11" t="n">
        <v>0</v>
      </c>
      <c r="W18" s="11" t="n">
        <v>0.672727272727273</v>
      </c>
      <c r="X18" s="11" t="n">
        <v>0.6</v>
      </c>
      <c r="Y18" s="11" t="n">
        <v>0.636363636363636</v>
      </c>
      <c r="Z18" s="11" t="n">
        <v>0.672727272727273</v>
      </c>
      <c r="AA18" s="11" t="n">
        <v>0.0363636363636364</v>
      </c>
      <c r="AB18" s="11" t="n">
        <v>0</v>
      </c>
      <c r="AC18" s="11" t="n">
        <v>-0.00102352077772848</v>
      </c>
      <c r="AD18" s="11" t="n">
        <v>-0.0040778506832874</v>
      </c>
      <c r="AE18" s="11" t="n">
        <v>0.106666666666667</v>
      </c>
      <c r="AF18" s="11" t="n">
        <v>0.0533333333333333</v>
      </c>
      <c r="AG18" s="11" t="n">
        <v>0</v>
      </c>
      <c r="AH18" s="11" t="n">
        <v>0.0727272727272727</v>
      </c>
      <c r="AI18" s="11" t="n">
        <v>0.0363636363636364</v>
      </c>
      <c r="AJ18" s="11" t="n">
        <v>0</v>
      </c>
      <c r="AK18" s="11" t="n">
        <v>0.404476342309784</v>
      </c>
      <c r="AL18" s="11" t="n">
        <v>0</v>
      </c>
      <c r="AM18" s="11" t="n">
        <v>0</v>
      </c>
      <c r="AN18" s="11" t="n">
        <v>0</v>
      </c>
      <c r="AO18" s="11"/>
      <c r="AP18" s="11"/>
      <c r="AQ18" s="11"/>
      <c r="AR18" s="11" t="n">
        <v>0</v>
      </c>
      <c r="AS18" s="11" t="n">
        <v>0</v>
      </c>
      <c r="AT18" s="11" t="n">
        <v>0</v>
      </c>
      <c r="AU18" s="11" t="n">
        <v>0</v>
      </c>
      <c r="AV18" s="11" t="n">
        <v>0</v>
      </c>
      <c r="AW18" s="11" t="n">
        <v>0</v>
      </c>
      <c r="AX18" s="11" t="n">
        <v>0</v>
      </c>
      <c r="AY18" s="11" t="n">
        <v>0.00622240739270861</v>
      </c>
      <c r="AZ18" s="11" t="n">
        <v>0.0155861275121815</v>
      </c>
      <c r="BA18" s="11"/>
      <c r="BB18" s="11" t="n">
        <v>0.663636363636364</v>
      </c>
      <c r="BC18" s="11" t="n">
        <v>0.8</v>
      </c>
      <c r="BD18" s="11" t="n">
        <v>0.772727272727273</v>
      </c>
      <c r="BE18" s="11" t="n">
        <v>0.836363636363636</v>
      </c>
      <c r="BF18" s="11" t="n">
        <v>0.809090909090909</v>
      </c>
      <c r="BG18" s="11" t="n">
        <v>0.972727272727273</v>
      </c>
      <c r="BH18" s="11" t="n">
        <v>0.9</v>
      </c>
      <c r="BI18" s="11" t="n">
        <v>1</v>
      </c>
      <c r="BJ18" s="11" t="n">
        <v>0.100268911446351</v>
      </c>
      <c r="BK18" s="11" t="n">
        <v>0.0352562202890166</v>
      </c>
      <c r="BL18" s="11" t="n">
        <v>0.106551148496805</v>
      </c>
      <c r="BM18" s="11" t="n">
        <v>0.0296182585982928</v>
      </c>
      <c r="BN18" s="11" t="n">
        <v>0.381538437389533</v>
      </c>
      <c r="BO18" s="11" t="n">
        <v>0.245710539060087</v>
      </c>
      <c r="BP18" s="11" t="n">
        <v>0.0084696399991921</v>
      </c>
      <c r="BQ18" s="11" t="n">
        <v>0.00828584367200008</v>
      </c>
      <c r="BR18" s="11" t="n">
        <v>2.92661543760284</v>
      </c>
      <c r="BS18" s="11" t="n">
        <v>9.68140752130415</v>
      </c>
      <c r="BT18" s="11" t="n">
        <v>13.8127810169872</v>
      </c>
      <c r="BU18" s="11" t="n">
        <v>10.0268911446351</v>
      </c>
      <c r="BV18" s="11" t="n">
        <v>6.10493111113806</v>
      </c>
      <c r="BW18" s="11" t="n">
        <v>7.26006264889374</v>
      </c>
      <c r="BX18" s="11" t="n">
        <v>3.19232297369773</v>
      </c>
      <c r="BY18" s="11" t="n">
        <v>2.83975765680084</v>
      </c>
      <c r="BZ18" s="11" t="n">
        <v>0.618181818181818</v>
      </c>
      <c r="CA18" s="11" t="n">
        <v>0.838235294117647</v>
      </c>
      <c r="CB18" s="11" t="n">
        <v>0.779411764705882</v>
      </c>
      <c r="CC18" s="11" t="n">
        <v>0.808823529411765</v>
      </c>
      <c r="CD18" s="11" t="n">
        <v>0.838235294117647</v>
      </c>
      <c r="CE18" s="11" t="n">
        <v>0.618181818181818</v>
      </c>
      <c r="CF18" s="11" t="n">
        <v>5</v>
      </c>
      <c r="CG18" s="11" t="n">
        <v>0</v>
      </c>
      <c r="CH18" s="11" t="n">
        <v>0.838235294117647</v>
      </c>
      <c r="CI18" s="11" t="n">
        <v>0.808823529411765</v>
      </c>
      <c r="CJ18" s="11" t="n">
        <v>0.838235294117647</v>
      </c>
      <c r="CK18" s="11" t="n">
        <v>0.404761904761905</v>
      </c>
      <c r="CL18" s="11" t="n">
        <v>0.309523809523809</v>
      </c>
      <c r="CM18" s="11" t="n">
        <v>0.357142857142857</v>
      </c>
      <c r="CN18" s="11" t="n">
        <v>0.404761904761905</v>
      </c>
      <c r="CO18" s="11" t="n">
        <v>0</v>
      </c>
      <c r="CP18" s="11" t="n">
        <v>0</v>
      </c>
      <c r="CQ18" s="11" t="n">
        <v>0</v>
      </c>
      <c r="CR18" s="11" t="n">
        <v>0</v>
      </c>
      <c r="CS18" s="11" t="n">
        <v>0.68</v>
      </c>
      <c r="CT18" s="11" t="n">
        <v>0.52</v>
      </c>
      <c r="CU18" s="11" t="n">
        <v>0.6</v>
      </c>
      <c r="CV18" s="11" t="n">
        <v>0.68</v>
      </c>
      <c r="CW18" s="11" t="n">
        <v>0.0441176470588235</v>
      </c>
      <c r="CX18" s="11" t="n">
        <v>0</v>
      </c>
      <c r="CY18" s="11" t="n">
        <v>0.00788227878083715</v>
      </c>
      <c r="CZ18" s="11" t="n">
        <v>-0.0534014422607627</v>
      </c>
      <c r="DA18" s="11" t="n">
        <v>5.66440620193339</v>
      </c>
      <c r="DB18" s="11" t="n">
        <v>-0.00533280909110815</v>
      </c>
      <c r="DC18" s="11" t="n">
        <v>11.6949391698786</v>
      </c>
      <c r="DD18" s="11" t="n">
        <v>0.298897548341432</v>
      </c>
      <c r="DE18" s="11" t="n">
        <v>0.418181818181818</v>
      </c>
      <c r="DF18" s="11" t="n">
        <v>-0.0113899235091125</v>
      </c>
      <c r="DG18" s="11" t="n">
        <v>0.00161840123068264</v>
      </c>
      <c r="DH18" s="11" t="n">
        <v>-1.30083247397952</v>
      </c>
      <c r="DI18" s="11" t="n">
        <v>91.292319770084</v>
      </c>
      <c r="DJ18" s="11" t="n">
        <v>52.4834962964431</v>
      </c>
      <c r="DK18" s="11" t="n">
        <v>4.06891860274159</v>
      </c>
      <c r="DL18" s="11" t="n">
        <v>49.05</v>
      </c>
      <c r="DM18" s="11" t="n">
        <v>0.6</v>
      </c>
      <c r="DN18" s="11" t="n">
        <v>0.490909090909091</v>
      </c>
      <c r="DO18" s="11" t="n">
        <v>-0.0144575755561275</v>
      </c>
      <c r="DP18" s="11" t="n">
        <v>0</v>
      </c>
      <c r="DQ18" s="11" t="n">
        <v>0</v>
      </c>
      <c r="DR18" s="11" t="n">
        <v>0</v>
      </c>
      <c r="DS18" s="11" t="n">
        <v>0</v>
      </c>
      <c r="DT18" s="11" t="n">
        <v>0</v>
      </c>
      <c r="DU18" s="11" t="n">
        <v>0</v>
      </c>
      <c r="DV18" s="11" t="n">
        <v>5</v>
      </c>
      <c r="DW18" s="11" t="s">
        <v>573</v>
      </c>
      <c r="DX18" s="11" t="n">
        <v>0.406307</v>
      </c>
      <c r="DY18" s="11" t="n">
        <v>0.0331925404707268</v>
      </c>
      <c r="DZ18" s="11" t="n">
        <v>0.779421459529273</v>
      </c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 t="n">
        <v>5.13759896897357</v>
      </c>
      <c r="EP18" s="11" t="n">
        <v>64.8223381910171</v>
      </c>
      <c r="EQ18" s="11" t="n">
        <v>1455.12231635307</v>
      </c>
      <c r="ER18" s="11" t="n">
        <v>2.8130761404237</v>
      </c>
      <c r="ES18" s="11" t="n">
        <v>2.8130761404237</v>
      </c>
      <c r="ET18" s="11" t="n">
        <v>1.15437005405821</v>
      </c>
      <c r="EU18" s="11" t="n">
        <v>30.1288973240444</v>
      </c>
      <c r="EV18" s="11" t="n">
        <v>30.1288973240444</v>
      </c>
      <c r="EW18" s="11" t="n">
        <v>307.370923327891</v>
      </c>
      <c r="EX18" s="11" t="n">
        <v>442.327711653129</v>
      </c>
      <c r="EY18" s="11" t="n">
        <v>0.91611427757429</v>
      </c>
      <c r="EZ18" s="11" t="n">
        <v>0.626216666800202</v>
      </c>
      <c r="FA18" s="11" t="n">
        <v>0.0464268859130978</v>
      </c>
      <c r="FB18" s="11" t="n">
        <v>1</v>
      </c>
      <c r="FC18" s="11" t="n">
        <v>0</v>
      </c>
      <c r="FD18" s="11" t="n">
        <v>0</v>
      </c>
      <c r="FE18" s="11" t="s">
        <v>574</v>
      </c>
      <c r="FF18" s="11" t="s">
        <v>230</v>
      </c>
      <c r="FG18" s="11" t="n">
        <v>110</v>
      </c>
      <c r="FH18" s="11" t="s">
        <v>575</v>
      </c>
      <c r="FI18" s="11" t="s">
        <v>59</v>
      </c>
      <c r="FJ18" s="11" t="n">
        <v>0.2</v>
      </c>
      <c r="FK18" s="11" t="n">
        <v>0.108504280439995</v>
      </c>
      <c r="FL18" s="11" t="n">
        <v>0.0653182039074831</v>
      </c>
      <c r="FM18" s="11" t="n">
        <v>0</v>
      </c>
      <c r="FN18" s="11" t="n">
        <v>1</v>
      </c>
      <c r="FO18" s="11" t="n">
        <v>0.493546656453276</v>
      </c>
      <c r="FP18" s="11" t="n">
        <v>0.381559490849855</v>
      </c>
      <c r="FQ18" s="11" t="n">
        <v>0.075</v>
      </c>
      <c r="FR18" s="11" t="n">
        <v>0</v>
      </c>
      <c r="FS18" s="11" t="n">
        <v>0.490369562230751</v>
      </c>
      <c r="FT18" s="11" t="n">
        <v>0.375809808640824</v>
      </c>
      <c r="FU18" s="11" t="n">
        <v>1</v>
      </c>
      <c r="FV18" s="11" t="n">
        <v>5.52194701101964</v>
      </c>
      <c r="FW18" s="11" t="n">
        <v>171.007659431594</v>
      </c>
      <c r="FX18" s="11" t="n">
        <v>0.013678286611097</v>
      </c>
      <c r="FY18" s="11" t="n">
        <v>1</v>
      </c>
      <c r="FZ18" s="11" t="n">
        <v>25</v>
      </c>
      <c r="GA18" s="11" t="n">
        <v>1</v>
      </c>
      <c r="GB18" s="11" t="s">
        <v>576</v>
      </c>
      <c r="GC18" s="11" t="n">
        <v>0.945351063121449</v>
      </c>
      <c r="GD18" s="11" t="n">
        <v>0.945454545454545</v>
      </c>
      <c r="GE18" s="11" t="n">
        <v>0.945454545454545</v>
      </c>
      <c r="GF18" s="11" t="n">
        <v>0.945454545454545</v>
      </c>
      <c r="GG18" s="11" t="n">
        <v>0</v>
      </c>
      <c r="GH18" s="11" t="n">
        <v>0</v>
      </c>
      <c r="GI18" s="11" t="n">
        <v>0.0798548292871353</v>
      </c>
      <c r="GJ18" s="11" t="n">
        <v>0.0894052549857985</v>
      </c>
      <c r="GK18" s="11" t="n">
        <v>0.0880552565999096</v>
      </c>
      <c r="GL18" s="11" t="n">
        <v>0.0901154804974794</v>
      </c>
      <c r="GM18" s="11" t="n">
        <v>5.84920267721662E-006</v>
      </c>
      <c r="GN18" s="11" t="n">
        <v>0</v>
      </c>
      <c r="GO18" s="11" t="n">
        <v>0.945454545454545</v>
      </c>
      <c r="GP18" s="11" t="n">
        <v>0.945454545454545</v>
      </c>
      <c r="GQ18" s="11" t="n">
        <v>-0.0342218838632107</v>
      </c>
      <c r="GR18" s="11" t="n">
        <v>1</v>
      </c>
      <c r="GS18" s="11" t="n">
        <v>1</v>
      </c>
      <c r="GT18" s="11" t="n">
        <v>0</v>
      </c>
      <c r="GU18" s="11" t="n">
        <v>0</v>
      </c>
      <c r="GV18" s="11" t="n">
        <v>1</v>
      </c>
      <c r="GW18" s="11" t="n">
        <v>1</v>
      </c>
      <c r="GX18" s="11" t="n">
        <v>1</v>
      </c>
      <c r="GY18" s="11" t="n">
        <v>0</v>
      </c>
      <c r="GZ18" s="11" t="n">
        <v>1</v>
      </c>
      <c r="HA18" s="11" t="n">
        <v>1</v>
      </c>
      <c r="HB18" s="11" t="n">
        <v>1</v>
      </c>
      <c r="HC18" s="11" t="n">
        <v>1</v>
      </c>
      <c r="HD18" s="11" t="n">
        <v>1</v>
      </c>
      <c r="HE18" s="11" t="n">
        <v>1</v>
      </c>
      <c r="HF18" s="11" t="n">
        <v>1</v>
      </c>
      <c r="HG18" s="11" t="n">
        <v>1</v>
      </c>
      <c r="HH18" s="11" t="n">
        <v>0</v>
      </c>
      <c r="HI18" s="11" t="n">
        <v>0</v>
      </c>
      <c r="HJ18" s="11" t="n">
        <v>0</v>
      </c>
      <c r="HK18" s="11" t="s">
        <v>137</v>
      </c>
      <c r="HL18" s="11" t="s">
        <v>577</v>
      </c>
      <c r="HM18" s="11" t="n">
        <v>1</v>
      </c>
      <c r="HN18" s="11" t="s">
        <v>591</v>
      </c>
      <c r="HO18" s="11" t="s">
        <v>578</v>
      </c>
      <c r="HP18" s="11" t="s">
        <v>578</v>
      </c>
      <c r="HQ18" s="11" t="n">
        <v>0</v>
      </c>
      <c r="HR18" s="11" t="s">
        <v>189</v>
      </c>
      <c r="HS18" s="11" t="s">
        <v>190</v>
      </c>
      <c r="HT18" s="11" t="s">
        <v>190</v>
      </c>
      <c r="HU18" s="11" t="s">
        <v>683</v>
      </c>
      <c r="HV18" s="11" t="s">
        <v>683</v>
      </c>
      <c r="HW18" s="11" t="s">
        <v>684</v>
      </c>
      <c r="HX18" s="11" t="s">
        <v>677</v>
      </c>
      <c r="HY18" s="11" t="s">
        <v>583</v>
      </c>
      <c r="HZ18" s="11" t="s">
        <v>685</v>
      </c>
      <c r="IA18" s="11" t="s">
        <v>682</v>
      </c>
      <c r="IB18" s="11" t="s">
        <v>686</v>
      </c>
      <c r="IC18" s="11" t="s">
        <v>230</v>
      </c>
      <c r="ID18" s="11" t="s">
        <v>680</v>
      </c>
      <c r="IE18" s="11"/>
      <c r="IF18" s="11"/>
      <c r="IG18" s="11"/>
      <c r="IH18" s="11"/>
    </row>
    <row r="19" customFormat="false" ht="15" hidden="false" customHeight="false" outlineLevel="0" collapsed="false">
      <c r="A19" s="11" t="s">
        <v>90</v>
      </c>
      <c r="B19" s="11" t="s">
        <v>687</v>
      </c>
      <c r="C19" s="11" t="s">
        <v>569</v>
      </c>
      <c r="D19" s="11" t="s">
        <v>570</v>
      </c>
      <c r="E19" s="11" t="s">
        <v>91</v>
      </c>
      <c r="F19" s="11"/>
      <c r="G19" s="11"/>
      <c r="H19" s="11" t="s">
        <v>688</v>
      </c>
      <c r="I19" s="11" t="s">
        <v>689</v>
      </c>
      <c r="J19" s="11" t="n">
        <v>79</v>
      </c>
      <c r="K19" s="11" t="n">
        <v>2.63333333333333</v>
      </c>
      <c r="L19" s="11" t="n">
        <v>0.641038239002228</v>
      </c>
      <c r="M19" s="11" t="n">
        <v>0.827764451503754</v>
      </c>
      <c r="N19" s="11" t="n">
        <v>0</v>
      </c>
      <c r="O19" s="11" t="n">
        <v>0.547352075664532</v>
      </c>
      <c r="P19" s="11" t="n">
        <v>0.461344511316418</v>
      </c>
      <c r="Q19" s="11" t="n">
        <v>0.295821246036468</v>
      </c>
      <c r="R19" s="11" t="n">
        <v>0.607594936708861</v>
      </c>
      <c r="S19" s="11" t="n">
        <v>0.291139240506329</v>
      </c>
      <c r="T19" s="11" t="n">
        <v>0.0379746835443038</v>
      </c>
      <c r="U19" s="11" t="n">
        <v>0</v>
      </c>
      <c r="V19" s="11" t="n">
        <v>0</v>
      </c>
      <c r="W19" s="11" t="n">
        <v>0.481012658227848</v>
      </c>
      <c r="X19" s="11" t="n">
        <v>0.316455696202532</v>
      </c>
      <c r="Y19" s="11" t="n">
        <v>0.430379746835443</v>
      </c>
      <c r="Z19" s="11" t="n">
        <v>0.481012658227848</v>
      </c>
      <c r="AA19" s="11" t="n">
        <v>0.0506329113924051</v>
      </c>
      <c r="AB19" s="11" t="n">
        <v>0</v>
      </c>
      <c r="AC19" s="11" t="n">
        <v>-0.00157176790043836</v>
      </c>
      <c r="AD19" s="11" t="n">
        <v>-0.00385045181175285</v>
      </c>
      <c r="AE19" s="11" t="n">
        <v>0.333333333333333</v>
      </c>
      <c r="AF19" s="11" t="n">
        <v>0.102564102564103</v>
      </c>
      <c r="AG19" s="11" t="n">
        <v>0</v>
      </c>
      <c r="AH19" s="11" t="n">
        <v>0.164556962025316</v>
      </c>
      <c r="AI19" s="11" t="n">
        <v>0.0506329113924051</v>
      </c>
      <c r="AJ19" s="11" t="n">
        <v>0</v>
      </c>
      <c r="AK19" s="11" t="n">
        <v>0.116117520448618</v>
      </c>
      <c r="AL19" s="11" t="n">
        <v>0</v>
      </c>
      <c r="AM19" s="11" t="n">
        <v>0</v>
      </c>
      <c r="AN19" s="11" t="n">
        <v>0</v>
      </c>
      <c r="AO19" s="11"/>
      <c r="AP19" s="11"/>
      <c r="AQ19" s="11"/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0.00523118408258466</v>
      </c>
      <c r="AZ19" s="11" t="n">
        <v>0.0162338342954423</v>
      </c>
      <c r="BA19" s="11"/>
      <c r="BB19" s="11" t="n">
        <v>0</v>
      </c>
      <c r="BC19" s="11" t="n">
        <v>0.582278481012658</v>
      </c>
      <c r="BD19" s="11" t="n">
        <v>0.0126582278481013</v>
      </c>
      <c r="BE19" s="11" t="n">
        <v>0.582278481012658</v>
      </c>
      <c r="BF19" s="11" t="n">
        <v>0.341772151898734</v>
      </c>
      <c r="BG19" s="11" t="n">
        <v>0.607594936708861</v>
      </c>
      <c r="BH19" s="11" t="n">
        <v>0.544303797468354</v>
      </c>
      <c r="BI19" s="11" t="n">
        <v>0.607594936708861</v>
      </c>
      <c r="BJ19" s="11" t="n">
        <v>0.104402677670031</v>
      </c>
      <c r="BK19" s="11" t="n">
        <v>0.0822032119620476</v>
      </c>
      <c r="BL19" s="11" t="n">
        <v>0.15478337853764</v>
      </c>
      <c r="BM19" s="11" t="n">
        <v>0.063135774685801</v>
      </c>
      <c r="BN19" s="11" t="n">
        <v>0.584539877202172</v>
      </c>
      <c r="BO19" s="11" t="n">
        <v>0.418840590099313</v>
      </c>
      <c r="BP19" s="11" t="n">
        <v>0.0199358341286441</v>
      </c>
      <c r="BQ19" s="11" t="n">
        <v>0.0112765540047045</v>
      </c>
      <c r="BR19" s="11" t="n">
        <v>4.41810838575304</v>
      </c>
      <c r="BS19" s="11" t="n">
        <v>12.35936775397</v>
      </c>
      <c r="BT19" s="11" t="n">
        <v>12.8908775001264</v>
      </c>
      <c r="BU19" s="11" t="n">
        <v>10.4402677670031</v>
      </c>
      <c r="BV19" s="11" t="n">
        <v>8.86843432898189</v>
      </c>
      <c r="BW19" s="11" t="n">
        <v>9.99164570288978</v>
      </c>
      <c r="BX19" s="11" t="n">
        <v>4.96963996294855</v>
      </c>
      <c r="BY19" s="11" t="n">
        <v>4.27048867924926</v>
      </c>
      <c r="BZ19" s="11" t="n">
        <v>0.620253164556962</v>
      </c>
      <c r="CA19" s="11" t="n">
        <v>0.775510204081633</v>
      </c>
      <c r="CB19" s="11" t="n">
        <v>0.510204081632653</v>
      </c>
      <c r="CC19" s="11" t="n">
        <v>0.693877551020408</v>
      </c>
      <c r="CD19" s="11" t="n">
        <v>0.775510204081633</v>
      </c>
      <c r="CE19" s="11" t="n">
        <v>0.620253164556962</v>
      </c>
      <c r="CF19" s="11" t="n">
        <v>5</v>
      </c>
      <c r="CG19" s="11" t="n">
        <v>0</v>
      </c>
      <c r="CH19" s="11" t="n">
        <v>0.775510204081633</v>
      </c>
      <c r="CI19" s="11" t="n">
        <v>0.693877551020408</v>
      </c>
      <c r="CJ19" s="11" t="n">
        <v>0.775510204081633</v>
      </c>
      <c r="CK19" s="11" t="n">
        <v>0</v>
      </c>
      <c r="CL19" s="11" t="n">
        <v>0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0</v>
      </c>
      <c r="CR19" s="11" t="n">
        <v>0</v>
      </c>
      <c r="CS19" s="11" t="n">
        <v>0</v>
      </c>
      <c r="CT19" s="11" t="n">
        <v>0</v>
      </c>
      <c r="CU19" s="11" t="n">
        <v>0</v>
      </c>
      <c r="CV19" s="11" t="n">
        <v>0</v>
      </c>
      <c r="CW19" s="11" t="n">
        <v>0.0612244897959184</v>
      </c>
      <c r="CX19" s="11" t="n">
        <v>0</v>
      </c>
      <c r="CY19" s="11" t="n">
        <v>-0.0341061662218336</v>
      </c>
      <c r="CZ19" s="11" t="n">
        <v>-0.200098659987404</v>
      </c>
      <c r="DA19" s="11" t="n">
        <v>6.80930908525412</v>
      </c>
      <c r="DB19" s="11" t="n">
        <v>-0.106178523461318</v>
      </c>
      <c r="DC19" s="11" t="n">
        <v>9.91889730670349</v>
      </c>
      <c r="DD19" s="11" t="n">
        <v>0.556426849102928</v>
      </c>
      <c r="DE19" s="11" t="n">
        <v>0.354430379746835</v>
      </c>
      <c r="DF19" s="11" t="n">
        <v>-0.0898808769889463</v>
      </c>
      <c r="DG19" s="11" t="n">
        <v>-0.11786279426441</v>
      </c>
      <c r="DH19" s="11" t="n">
        <v>2.7981917275464</v>
      </c>
      <c r="DI19" s="11" t="n">
        <v>132.766965415087</v>
      </c>
      <c r="DJ19" s="11" t="n">
        <v>130.688567784436</v>
      </c>
      <c r="DK19" s="11" t="n">
        <v>10.9946167303533</v>
      </c>
      <c r="DL19" s="11" t="n">
        <v>49.05</v>
      </c>
      <c r="DM19" s="11" t="n">
        <v>0.253164556962025</v>
      </c>
      <c r="DN19" s="11" t="n">
        <v>0.0253164556962025</v>
      </c>
      <c r="DO19" s="11" t="n">
        <v>-0.00455305306521348</v>
      </c>
      <c r="DP19" s="11" t="n">
        <v>0</v>
      </c>
      <c r="DQ19" s="11" t="n">
        <v>0</v>
      </c>
      <c r="DR19" s="11" t="n">
        <v>0</v>
      </c>
      <c r="DS19" s="11" t="n">
        <v>0</v>
      </c>
      <c r="DT19" s="11" t="n">
        <v>0</v>
      </c>
      <c r="DU19" s="11" t="n">
        <v>0</v>
      </c>
      <c r="DV19" s="11" t="n">
        <v>5</v>
      </c>
      <c r="DW19" s="11" t="s">
        <v>690</v>
      </c>
      <c r="DX19" s="11" t="n">
        <v>0.195506</v>
      </c>
      <c r="DY19" s="11" t="n">
        <v>-0.0750600903209566</v>
      </c>
      <c r="DZ19" s="11" t="n">
        <v>0.466072090320957</v>
      </c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 t="n">
        <v>11.5386033057538</v>
      </c>
      <c r="EP19" s="11" t="n">
        <v>71.9036440052842</v>
      </c>
      <c r="EQ19" s="11" t="n">
        <v>1677.40562674363</v>
      </c>
      <c r="ER19" s="11" t="n">
        <v>2.17298892503939</v>
      </c>
      <c r="ES19" s="11" t="n">
        <v>1.86172981844073</v>
      </c>
      <c r="ET19" s="11" t="n">
        <v>2.17298892503939</v>
      </c>
      <c r="EU19" s="11" t="n">
        <v>48.4231598360085</v>
      </c>
      <c r="EV19" s="11" t="n">
        <v>48.4231598360085</v>
      </c>
      <c r="EW19" s="11" t="n">
        <v>551.982950036613</v>
      </c>
      <c r="EX19" s="11" t="n">
        <v>682.555044613072</v>
      </c>
      <c r="EY19" s="11" t="n">
        <v>0.977937357579896</v>
      </c>
      <c r="EZ19" s="11" t="n">
        <v>0.501324001683183</v>
      </c>
      <c r="FA19" s="11" t="n">
        <v>0.049444040954337</v>
      </c>
      <c r="FB19" s="11" t="n">
        <v>0.873417721518987</v>
      </c>
      <c r="FC19" s="11" t="n">
        <v>0</v>
      </c>
      <c r="FD19" s="11" t="n">
        <v>0</v>
      </c>
      <c r="FE19" s="11" t="s">
        <v>574</v>
      </c>
      <c r="FF19" s="11" t="s">
        <v>235</v>
      </c>
      <c r="FG19" s="11" t="n">
        <v>79</v>
      </c>
      <c r="FH19" s="11" t="s">
        <v>575</v>
      </c>
      <c r="FI19" s="11" t="s">
        <v>59</v>
      </c>
      <c r="FJ19" s="11" t="n">
        <v>0.2</v>
      </c>
      <c r="FK19" s="11" t="n">
        <v>0.206237712909093</v>
      </c>
      <c r="FL19" s="11" t="n">
        <v>0.140284904366363</v>
      </c>
      <c r="FM19" s="11" t="n">
        <v>0.00949367088607595</v>
      </c>
      <c r="FN19" s="11" t="n">
        <v>1</v>
      </c>
      <c r="FO19" s="11" t="n">
        <v>0.296668927758715</v>
      </c>
      <c r="FP19" s="11" t="n">
        <v>0.222480248299071</v>
      </c>
      <c r="FQ19" s="11" t="n">
        <v>0</v>
      </c>
      <c r="FR19" s="11" t="n">
        <v>1</v>
      </c>
      <c r="FS19" s="11" t="n">
        <v>0.296497946403904</v>
      </c>
      <c r="FT19" s="11" t="n">
        <v>0.21664587511412</v>
      </c>
      <c r="FU19" s="11" t="n">
        <v>0</v>
      </c>
      <c r="FV19" s="11" t="n">
        <v>10.2845606572858</v>
      </c>
      <c r="FW19" s="11" t="n">
        <v>281.117848837297</v>
      </c>
      <c r="FX19" s="11" t="n">
        <v>0.0329837043445372</v>
      </c>
      <c r="FY19" s="11" t="n">
        <v>1</v>
      </c>
      <c r="FZ19" s="11" t="n">
        <v>14</v>
      </c>
      <c r="GA19" s="11" t="n">
        <v>1</v>
      </c>
      <c r="GB19" s="11" t="s">
        <v>576</v>
      </c>
      <c r="GC19" s="11" t="n">
        <v>0.924050632911392</v>
      </c>
      <c r="GD19" s="11" t="n">
        <v>0.924050632911392</v>
      </c>
      <c r="GE19" s="11" t="n">
        <v>0.924050632911392</v>
      </c>
      <c r="GF19" s="11" t="n">
        <v>0.924050632911392</v>
      </c>
      <c r="GG19" s="11" t="n">
        <v>0</v>
      </c>
      <c r="GH19" s="11" t="n">
        <v>0</v>
      </c>
      <c r="GI19" s="11" t="n">
        <v>0.18798062244218</v>
      </c>
      <c r="GJ19" s="11" t="n">
        <v>0.205986279098293</v>
      </c>
      <c r="GK19" s="11" t="n">
        <v>0.201482982825653</v>
      </c>
      <c r="GL19" s="11" t="n">
        <v>0.209190918297707</v>
      </c>
      <c r="GM19" s="11" t="n">
        <v>0</v>
      </c>
      <c r="GN19" s="11" t="n">
        <v>0</v>
      </c>
      <c r="GO19" s="11" t="n">
        <v>0.924050632911392</v>
      </c>
      <c r="GP19" s="11" t="n">
        <v>0.924050632911392</v>
      </c>
      <c r="GQ19" s="11" t="n">
        <v>0</v>
      </c>
      <c r="GR19" s="11" t="n">
        <v>1</v>
      </c>
      <c r="GS19" s="11" t="n">
        <v>1</v>
      </c>
      <c r="GT19" s="11" t="n">
        <v>0</v>
      </c>
      <c r="GU19" s="11" t="n">
        <v>0</v>
      </c>
      <c r="GV19" s="11" t="n">
        <v>1</v>
      </c>
      <c r="GW19" s="11" t="n">
        <v>1</v>
      </c>
      <c r="GX19" s="11" t="n">
        <v>1</v>
      </c>
      <c r="GY19" s="11" t="n">
        <v>1</v>
      </c>
      <c r="GZ19" s="11" t="n">
        <v>1</v>
      </c>
      <c r="HA19" s="11" t="n">
        <v>1</v>
      </c>
      <c r="HB19" s="11" t="n">
        <v>1</v>
      </c>
      <c r="HC19" s="11" t="n">
        <v>1</v>
      </c>
      <c r="HD19" s="11" t="n">
        <v>1</v>
      </c>
      <c r="HE19" s="11" t="n">
        <v>1</v>
      </c>
      <c r="HF19" s="11" t="n">
        <v>1</v>
      </c>
      <c r="HG19" s="11" t="n">
        <v>1</v>
      </c>
      <c r="HH19" s="11" t="n">
        <v>1</v>
      </c>
      <c r="HI19" s="11" t="n">
        <v>1</v>
      </c>
      <c r="HJ19" s="11" t="n">
        <v>1</v>
      </c>
      <c r="HK19" s="11"/>
      <c r="HL19" s="11" t="s">
        <v>577</v>
      </c>
      <c r="HM19" s="11" t="n">
        <v>1</v>
      </c>
      <c r="HN19" s="11" t="s">
        <v>10</v>
      </c>
      <c r="HO19" s="11" t="s">
        <v>578</v>
      </c>
      <c r="HP19" s="11" t="s">
        <v>578</v>
      </c>
      <c r="HQ19" s="11" t="n">
        <v>0</v>
      </c>
      <c r="HR19" s="11" t="s">
        <v>189</v>
      </c>
      <c r="HS19" s="11" t="s">
        <v>579</v>
      </c>
      <c r="HT19" s="11" t="s">
        <v>579</v>
      </c>
      <c r="HU19" s="11" t="s">
        <v>691</v>
      </c>
      <c r="HV19" s="11" t="s">
        <v>691</v>
      </c>
      <c r="HW19" s="11" t="s">
        <v>692</v>
      </c>
      <c r="HX19" s="11" t="s">
        <v>693</v>
      </c>
      <c r="HY19" s="11" t="s">
        <v>583</v>
      </c>
      <c r="HZ19" s="11" t="s">
        <v>694</v>
      </c>
      <c r="IA19" s="11" t="s">
        <v>688</v>
      </c>
      <c r="IB19" s="11" t="s">
        <v>695</v>
      </c>
      <c r="IC19" s="11" t="s">
        <v>235</v>
      </c>
      <c r="ID19" s="11" t="s">
        <v>696</v>
      </c>
      <c r="IE19" s="11"/>
      <c r="IF19" s="11"/>
      <c r="IG19" s="11"/>
      <c r="IH19" s="11"/>
    </row>
    <row r="20" customFormat="false" ht="15" hidden="false" customHeight="false" outlineLevel="0" collapsed="false">
      <c r="A20" s="11" t="s">
        <v>90</v>
      </c>
      <c r="B20" s="11" t="s">
        <v>697</v>
      </c>
      <c r="C20" s="11" t="s">
        <v>588</v>
      </c>
      <c r="D20" s="11" t="s">
        <v>570</v>
      </c>
      <c r="E20" s="11" t="s">
        <v>91</v>
      </c>
      <c r="F20" s="11"/>
      <c r="G20" s="11"/>
      <c r="H20" s="11" t="s">
        <v>698</v>
      </c>
      <c r="I20" s="11" t="s">
        <v>234</v>
      </c>
      <c r="J20" s="11" t="n">
        <v>79</v>
      </c>
      <c r="K20" s="11" t="n">
        <v>2.63333333333333</v>
      </c>
      <c r="L20" s="11" t="n">
        <v>0.639885544776917</v>
      </c>
      <c r="M20" s="11" t="n">
        <v>0.831268191337585</v>
      </c>
      <c r="N20" s="11" t="n">
        <v>0</v>
      </c>
      <c r="O20" s="11" t="n">
        <v>0.560238142493766</v>
      </c>
      <c r="P20" s="11" t="n">
        <v>0.509803714732866</v>
      </c>
      <c r="Q20" s="11" t="n">
        <v>0.376436574625633</v>
      </c>
      <c r="R20" s="11" t="n">
        <v>0.329113924050633</v>
      </c>
      <c r="S20" s="11" t="n">
        <v>0.139240506329114</v>
      </c>
      <c r="T20" s="11" t="n">
        <v>0.0126582278481013</v>
      </c>
      <c r="U20" s="11" t="n">
        <v>0</v>
      </c>
      <c r="V20" s="11" t="n">
        <v>0</v>
      </c>
      <c r="W20" s="11" t="n">
        <v>0.556962025316456</v>
      </c>
      <c r="X20" s="11" t="n">
        <v>0.151898734177215</v>
      </c>
      <c r="Y20" s="11" t="n">
        <v>0.253164556962025</v>
      </c>
      <c r="Z20" s="11" t="n">
        <v>0.40506329113924</v>
      </c>
      <c r="AA20" s="11" t="n">
        <v>0.30379746835443</v>
      </c>
      <c r="AB20" s="11" t="n">
        <v>0.151898734177215</v>
      </c>
      <c r="AC20" s="11" t="n">
        <v>-0.00323702497274994</v>
      </c>
      <c r="AD20" s="11" t="n">
        <v>-0.00719975613609931</v>
      </c>
      <c r="AE20" s="11" t="n">
        <v>0.686274509803922</v>
      </c>
      <c r="AF20" s="11" t="n">
        <v>0.509803921568627</v>
      </c>
      <c r="AG20" s="11" t="n">
        <v>0.235294117647059</v>
      </c>
      <c r="AH20" s="11" t="n">
        <v>0.40506329113924</v>
      </c>
      <c r="AI20" s="11" t="n">
        <v>0.30379746835443</v>
      </c>
      <c r="AJ20" s="11" t="n">
        <v>0.151898734177215</v>
      </c>
      <c r="AK20" s="11" t="n">
        <v>0.117658157665241</v>
      </c>
      <c r="AL20" s="11" t="n">
        <v>0</v>
      </c>
      <c r="AM20" s="11" t="n">
        <v>0</v>
      </c>
      <c r="AN20" s="11" t="n">
        <v>0</v>
      </c>
      <c r="AO20" s="11"/>
      <c r="AP20" s="11"/>
      <c r="AQ20" s="11"/>
      <c r="AR20" s="11" t="n">
        <v>0</v>
      </c>
      <c r="AS20" s="11" t="n">
        <v>0.0506329113924051</v>
      </c>
      <c r="AT20" s="11" t="n">
        <v>0.0379746835443038</v>
      </c>
      <c r="AU20" s="11" t="n">
        <v>0.0379746835443038</v>
      </c>
      <c r="AV20" s="11" t="n">
        <v>0</v>
      </c>
      <c r="AW20" s="11" t="n">
        <v>0</v>
      </c>
      <c r="AX20" s="11" t="n">
        <v>0</v>
      </c>
      <c r="AY20" s="11" t="n">
        <v>0.00695421202296194</v>
      </c>
      <c r="AZ20" s="11" t="n">
        <v>0.0182143096794957</v>
      </c>
      <c r="BA20" s="11"/>
      <c r="BB20" s="11" t="n">
        <v>0</v>
      </c>
      <c r="BC20" s="11" t="n">
        <v>0.594936708860759</v>
      </c>
      <c r="BD20" s="11" t="n">
        <v>0</v>
      </c>
      <c r="BE20" s="11" t="n">
        <v>0.620253164556962</v>
      </c>
      <c r="BF20" s="11" t="n">
        <v>0.341772151898734</v>
      </c>
      <c r="BG20" s="11" t="n">
        <v>0.620253164556962</v>
      </c>
      <c r="BH20" s="11" t="n">
        <v>0.569620253164557</v>
      </c>
      <c r="BI20" s="11" t="n">
        <v>0.632911392405063</v>
      </c>
      <c r="BJ20" s="11" t="n">
        <v>0.115773996416302</v>
      </c>
      <c r="BK20" s="11" t="n">
        <v>0.0376737073094137</v>
      </c>
      <c r="BL20" s="11" t="n">
        <v>0.167860598925853</v>
      </c>
      <c r="BM20" s="11" t="n">
        <v>0.142619318046996</v>
      </c>
      <c r="BN20" s="11" t="n">
        <v>0.609624589292131</v>
      </c>
      <c r="BO20" s="11" t="n">
        <v>0.535838285537885</v>
      </c>
      <c r="BP20" s="11" t="n">
        <v>0.0180145386309188</v>
      </c>
      <c r="BQ20" s="11" t="n">
        <v>0.0106206674452739</v>
      </c>
      <c r="BR20" s="11" t="n">
        <v>4.53223164106093</v>
      </c>
      <c r="BS20" s="11" t="n">
        <v>12.4504693339912</v>
      </c>
      <c r="BT20" s="11" t="n">
        <v>12.8339137939497</v>
      </c>
      <c r="BU20" s="11" t="n">
        <v>11.5773996416302</v>
      </c>
      <c r="BV20" s="11" t="n">
        <v>9.61770386498901</v>
      </c>
      <c r="BW20" s="11" t="n">
        <v>10.0330569033744</v>
      </c>
      <c r="BX20" s="11" t="n">
        <v>5.26004338445045</v>
      </c>
      <c r="BY20" s="11" t="n">
        <v>6.11053813182119</v>
      </c>
      <c r="BZ20" s="11" t="n">
        <v>0.620253164556962</v>
      </c>
      <c r="CA20" s="11" t="n">
        <v>0.857142857142857</v>
      </c>
      <c r="CB20" s="11" t="n">
        <v>0.224489795918367</v>
      </c>
      <c r="CC20" s="11" t="n">
        <v>0.387755102040816</v>
      </c>
      <c r="CD20" s="11" t="n">
        <v>0.63265306122449</v>
      </c>
      <c r="CE20" s="11" t="n">
        <v>0.620253164556962</v>
      </c>
      <c r="CF20" s="11" t="n">
        <v>5</v>
      </c>
      <c r="CG20" s="11" t="n">
        <v>0</v>
      </c>
      <c r="CH20" s="11" t="n">
        <v>0.857142857142857</v>
      </c>
      <c r="CI20" s="11" t="n">
        <v>0.387755102040816</v>
      </c>
      <c r="CJ20" s="11" t="n">
        <v>0.63265306122449</v>
      </c>
      <c r="CK20" s="11" t="n">
        <v>0.0666666666666667</v>
      </c>
      <c r="CL20" s="11" t="n">
        <v>0.0333333333333333</v>
      </c>
      <c r="CM20" s="11" t="n">
        <v>0.0333333333333333</v>
      </c>
      <c r="CN20" s="11" t="n">
        <v>0.0333333333333333</v>
      </c>
      <c r="CO20" s="11" t="n">
        <v>0</v>
      </c>
      <c r="CP20" s="11" t="n">
        <v>0</v>
      </c>
      <c r="CQ20" s="11" t="n">
        <v>0</v>
      </c>
      <c r="CR20" s="11" t="n">
        <v>0</v>
      </c>
      <c r="CS20" s="11" t="n">
        <v>0.142857142857143</v>
      </c>
      <c r="CT20" s="11" t="n">
        <v>0.0714285714285714</v>
      </c>
      <c r="CU20" s="11" t="n">
        <v>0.0714285714285714</v>
      </c>
      <c r="CV20" s="11" t="n">
        <v>0.0714285714285714</v>
      </c>
      <c r="CW20" s="11" t="n">
        <v>0.0204081632653061</v>
      </c>
      <c r="CX20" s="11" t="n">
        <v>0</v>
      </c>
      <c r="CY20" s="11" t="n">
        <v>0.0043634532046467</v>
      </c>
      <c r="CZ20" s="11" t="n">
        <v>-0.118294182578039</v>
      </c>
      <c r="DA20" s="11" t="n">
        <v>7.67256795522963</v>
      </c>
      <c r="DB20" s="11" t="n">
        <v>-0.0276517241801345</v>
      </c>
      <c r="DC20" s="11" t="n">
        <v>14.4030376012071</v>
      </c>
      <c r="DD20" s="11" t="n">
        <v>0.418084341712017</v>
      </c>
      <c r="DE20" s="11" t="n">
        <v>0.354430379746835</v>
      </c>
      <c r="DF20" s="11" t="n">
        <v>-0.010858519569736</v>
      </c>
      <c r="DG20" s="11" t="n">
        <v>-0.0390534082713212</v>
      </c>
      <c r="DH20" s="11" t="n">
        <v>2.81948887015852</v>
      </c>
      <c r="DI20" s="11" t="n">
        <v>113.603160388248</v>
      </c>
      <c r="DJ20" s="11" t="n">
        <v>89.4108550046409</v>
      </c>
      <c r="DK20" s="11" t="n">
        <v>12.5125980349219</v>
      </c>
      <c r="DL20" s="11" t="n">
        <v>49.05</v>
      </c>
      <c r="DM20" s="11" t="n">
        <v>0.253164556962025</v>
      </c>
      <c r="DN20" s="11" t="n">
        <v>0.0253164556962025</v>
      </c>
      <c r="DO20" s="11" t="n">
        <v>-0.00455305306521348</v>
      </c>
      <c r="DP20" s="11" t="n">
        <v>0</v>
      </c>
      <c r="DQ20" s="11" t="n">
        <v>0</v>
      </c>
      <c r="DR20" s="11" t="n">
        <v>0</v>
      </c>
      <c r="DS20" s="11" t="n">
        <v>0</v>
      </c>
      <c r="DT20" s="11" t="n">
        <v>0</v>
      </c>
      <c r="DU20" s="11" t="n">
        <v>0</v>
      </c>
      <c r="DV20" s="11" t="n">
        <v>5</v>
      </c>
      <c r="DW20" s="11" t="s">
        <v>690</v>
      </c>
      <c r="DX20" s="11" t="n">
        <v>0.195506</v>
      </c>
      <c r="DY20" s="11" t="n">
        <v>-0.0750600903209566</v>
      </c>
      <c r="DZ20" s="11" t="n">
        <v>0.466072090320957</v>
      </c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 t="n">
        <v>12.2224157630255</v>
      </c>
      <c r="EP20" s="11" t="n">
        <v>77.0702272792061</v>
      </c>
      <c r="EQ20" s="11" t="n">
        <v>1763.06602397201</v>
      </c>
      <c r="ER20" s="11" t="n">
        <v>2.76311975234091</v>
      </c>
      <c r="ES20" s="11" t="n">
        <v>2.08891961666185</v>
      </c>
      <c r="ET20" s="11" t="n">
        <v>2.76311975234091</v>
      </c>
      <c r="EU20" s="11" t="n">
        <v>39.7779327119355</v>
      </c>
      <c r="EV20" s="11" t="n">
        <v>39.7779327119355</v>
      </c>
      <c r="EW20" s="11" t="n">
        <v>450.430448110035</v>
      </c>
      <c r="EX20" s="11" t="n">
        <v>517.095656953163</v>
      </c>
      <c r="EY20" s="11" t="n">
        <v>1.08957597262228</v>
      </c>
      <c r="EZ20" s="11" t="n">
        <v>0.446342650621979</v>
      </c>
      <c r="FA20" s="11" t="n">
        <v>0.0484704662902223</v>
      </c>
      <c r="FB20" s="11" t="n">
        <v>0.886075949367089</v>
      </c>
      <c r="FC20" s="11" t="n">
        <v>0</v>
      </c>
      <c r="FD20" s="11" t="n">
        <v>0</v>
      </c>
      <c r="FE20" s="11" t="s">
        <v>574</v>
      </c>
      <c r="FF20" s="11" t="s">
        <v>235</v>
      </c>
      <c r="FG20" s="11" t="n">
        <v>79</v>
      </c>
      <c r="FH20" s="11" t="s">
        <v>575</v>
      </c>
      <c r="FI20" s="11" t="s">
        <v>59</v>
      </c>
      <c r="FJ20" s="11" t="n">
        <v>0.2</v>
      </c>
      <c r="FK20" s="11" t="n">
        <v>0.129471163678922</v>
      </c>
      <c r="FL20" s="11" t="n">
        <v>0.103876514477906</v>
      </c>
      <c r="FM20" s="11" t="n">
        <v>0</v>
      </c>
      <c r="FN20" s="11" t="n">
        <v>1</v>
      </c>
      <c r="FO20" s="11" t="n">
        <v>0.350438119284734</v>
      </c>
      <c r="FP20" s="11" t="n">
        <v>0.279754485698773</v>
      </c>
      <c r="FQ20" s="11" t="n">
        <v>0.0474683544303798</v>
      </c>
      <c r="FR20" s="11" t="n">
        <v>0</v>
      </c>
      <c r="FS20" s="11" t="n">
        <v>0.350438117408122</v>
      </c>
      <c r="FT20" s="11" t="n">
        <v>0.276829415415956</v>
      </c>
      <c r="FU20" s="11" t="n">
        <v>1</v>
      </c>
      <c r="FV20" s="11" t="n">
        <v>11.7454024065348</v>
      </c>
      <c r="FW20" s="11" t="n">
        <v>268.184567563669</v>
      </c>
      <c r="FX20" s="11" t="n">
        <v>0.0392568750146131</v>
      </c>
      <c r="FY20" s="11" t="n">
        <v>1</v>
      </c>
      <c r="FZ20" s="11" t="n">
        <v>14</v>
      </c>
      <c r="GA20" s="11" t="n">
        <v>1</v>
      </c>
      <c r="GB20" s="11" t="s">
        <v>576</v>
      </c>
      <c r="GC20" s="11" t="n">
        <v>0.860757948477057</v>
      </c>
      <c r="GD20" s="11" t="n">
        <v>0.860759493670886</v>
      </c>
      <c r="GE20" s="11" t="n">
        <v>0.860759493670886</v>
      </c>
      <c r="GF20" s="11" t="n">
        <v>0.860759493670886</v>
      </c>
      <c r="GG20" s="11" t="n">
        <v>0.0632911392405063</v>
      </c>
      <c r="GH20" s="11" t="n">
        <v>0.0632911392405063</v>
      </c>
      <c r="GI20" s="11" t="n">
        <v>0.132668258945378</v>
      </c>
      <c r="GJ20" s="11" t="n">
        <v>0.148428936382826</v>
      </c>
      <c r="GK20" s="11" t="n">
        <v>0.145248695617266</v>
      </c>
      <c r="GL20" s="11" t="n">
        <v>0.15203118002443</v>
      </c>
      <c r="GM20" s="11" t="n">
        <v>0.0049917488280327</v>
      </c>
      <c r="GN20" s="11" t="n">
        <v>0.00501157878603362</v>
      </c>
      <c r="GO20" s="11" t="n">
        <v>0.860759493670886</v>
      </c>
      <c r="GP20" s="11" t="n">
        <v>0.860759493670886</v>
      </c>
      <c r="GQ20" s="11" t="n">
        <v>-0.0140832709148526</v>
      </c>
      <c r="GR20" s="11" t="n">
        <v>1</v>
      </c>
      <c r="GS20" s="11" t="n">
        <v>1</v>
      </c>
      <c r="GT20" s="11" t="n">
        <v>0</v>
      </c>
      <c r="GU20" s="11" t="n">
        <v>0</v>
      </c>
      <c r="GV20" s="11" t="n">
        <v>1</v>
      </c>
      <c r="GW20" s="11" t="n">
        <v>1</v>
      </c>
      <c r="GX20" s="11" t="n">
        <v>1</v>
      </c>
      <c r="GY20" s="11" t="n">
        <v>1</v>
      </c>
      <c r="GZ20" s="11" t="n">
        <v>0</v>
      </c>
      <c r="HA20" s="11" t="n">
        <v>1</v>
      </c>
      <c r="HB20" s="11" t="n">
        <v>1</v>
      </c>
      <c r="HC20" s="11" t="n">
        <v>1</v>
      </c>
      <c r="HD20" s="11" t="n">
        <v>1</v>
      </c>
      <c r="HE20" s="11" t="n">
        <v>1</v>
      </c>
      <c r="HF20" s="11" t="n">
        <v>1</v>
      </c>
      <c r="HG20" s="11" t="n">
        <v>1</v>
      </c>
      <c r="HH20" s="11" t="n">
        <v>0</v>
      </c>
      <c r="HI20" s="11" t="n">
        <v>0</v>
      </c>
      <c r="HJ20" s="11" t="n">
        <v>0</v>
      </c>
      <c r="HK20" s="11" t="s">
        <v>138</v>
      </c>
      <c r="HL20" s="11" t="s">
        <v>577</v>
      </c>
      <c r="HM20" s="11" t="n">
        <v>1</v>
      </c>
      <c r="HN20" s="11" t="s">
        <v>591</v>
      </c>
      <c r="HO20" s="11" t="s">
        <v>578</v>
      </c>
      <c r="HP20" s="11" t="s">
        <v>578</v>
      </c>
      <c r="HQ20" s="11" t="n">
        <v>0</v>
      </c>
      <c r="HR20" s="11" t="s">
        <v>189</v>
      </c>
      <c r="HS20" s="11" t="s">
        <v>249</v>
      </c>
      <c r="HT20" s="11" t="s">
        <v>249</v>
      </c>
      <c r="HU20" s="11" t="s">
        <v>699</v>
      </c>
      <c r="HV20" s="11" t="s">
        <v>699</v>
      </c>
      <c r="HW20" s="11" t="s">
        <v>700</v>
      </c>
      <c r="HX20" s="11" t="s">
        <v>693</v>
      </c>
      <c r="HY20" s="11" t="s">
        <v>583</v>
      </c>
      <c r="HZ20" s="11" t="s">
        <v>701</v>
      </c>
      <c r="IA20" s="11" t="s">
        <v>698</v>
      </c>
      <c r="IB20" s="11" t="s">
        <v>702</v>
      </c>
      <c r="IC20" s="11" t="s">
        <v>235</v>
      </c>
      <c r="ID20" s="11" t="s">
        <v>696</v>
      </c>
      <c r="IE20" s="11"/>
      <c r="IF20" s="11"/>
      <c r="IG20" s="11"/>
      <c r="IH20" s="11"/>
    </row>
    <row r="21" customFormat="false" ht="15" hidden="false" customHeight="false" outlineLevel="0" collapsed="false">
      <c r="A21" s="11" t="s">
        <v>92</v>
      </c>
      <c r="B21" s="11" t="s">
        <v>703</v>
      </c>
      <c r="C21" s="11" t="s">
        <v>569</v>
      </c>
      <c r="D21" s="11" t="s">
        <v>570</v>
      </c>
      <c r="E21" s="11" t="s">
        <v>91</v>
      </c>
      <c r="F21" s="11"/>
      <c r="G21" s="11"/>
      <c r="H21" s="11" t="s">
        <v>704</v>
      </c>
      <c r="I21" s="11" t="s">
        <v>705</v>
      </c>
      <c r="J21" s="11" t="n">
        <v>130</v>
      </c>
      <c r="K21" s="11" t="n">
        <v>4.33333333333333</v>
      </c>
      <c r="L21" s="11" t="n">
        <v>0.592924058437347</v>
      </c>
      <c r="M21" s="11" t="n">
        <v>0.84874963760376</v>
      </c>
      <c r="N21" s="11" t="n">
        <v>0</v>
      </c>
      <c r="O21" s="11" t="n">
        <v>1.81009868199023</v>
      </c>
      <c r="P21" s="11" t="n">
        <v>1.81546780087454</v>
      </c>
      <c r="Q21" s="11" t="n">
        <v>0.399824266011118</v>
      </c>
      <c r="R21" s="11" t="n">
        <v>0.446153846153846</v>
      </c>
      <c r="S21" s="11" t="n">
        <v>0.307692307692308</v>
      </c>
      <c r="T21" s="11" t="n">
        <v>0.0307692307692308</v>
      </c>
      <c r="U21" s="11" t="n">
        <v>0</v>
      </c>
      <c r="V21" s="11" t="n">
        <v>0</v>
      </c>
      <c r="W21" s="11" t="n">
        <v>0.492307692307692</v>
      </c>
      <c r="X21" s="11" t="n">
        <v>0.353846153846154</v>
      </c>
      <c r="Y21" s="11" t="n">
        <v>0.423076923076923</v>
      </c>
      <c r="Z21" s="11" t="n">
        <v>0.484615384615385</v>
      </c>
      <c r="AA21" s="11" t="n">
        <v>0.0692307692307692</v>
      </c>
      <c r="AB21" s="11" t="n">
        <v>0.00769230769230769</v>
      </c>
      <c r="AC21" s="11" t="n">
        <v>-0.0014478888441147</v>
      </c>
      <c r="AD21" s="11" t="n">
        <v>-0.00582672221093332</v>
      </c>
      <c r="AE21" s="11" t="n">
        <v>0.260869565217391</v>
      </c>
      <c r="AF21" s="11" t="n">
        <v>0.130434782608696</v>
      </c>
      <c r="AG21" s="11" t="n">
        <v>0.0144927536231884</v>
      </c>
      <c r="AH21" s="11" t="n">
        <v>0.138461538461538</v>
      </c>
      <c r="AI21" s="11" t="n">
        <v>0.0692307692307692</v>
      </c>
      <c r="AJ21" s="11" t="n">
        <v>0.00769230769230769</v>
      </c>
      <c r="AK21" s="11" t="n">
        <v>0.156004256940661</v>
      </c>
      <c r="AL21" s="11" t="n">
        <v>0</v>
      </c>
      <c r="AM21" s="11" t="n">
        <v>0</v>
      </c>
      <c r="AN21" s="11" t="n">
        <v>0</v>
      </c>
      <c r="AO21" s="11"/>
      <c r="AP21" s="11"/>
      <c r="AQ21" s="11"/>
      <c r="AR21" s="11" t="n">
        <v>0</v>
      </c>
      <c r="AS21" s="11" t="n">
        <v>0.107692307692308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0.00908029952662054</v>
      </c>
      <c r="AZ21" s="11" t="n">
        <v>0.0270476012934275</v>
      </c>
      <c r="BA21" s="11"/>
      <c r="BB21" s="11" t="n">
        <v>0.0153846153846154</v>
      </c>
      <c r="BC21" s="11" t="n">
        <v>0.707692307692308</v>
      </c>
      <c r="BD21" s="11" t="n">
        <v>0.292307692307692</v>
      </c>
      <c r="BE21" s="11" t="n">
        <v>0.707692307692308</v>
      </c>
      <c r="BF21" s="11" t="n">
        <v>0.646153846153846</v>
      </c>
      <c r="BG21" s="11" t="n">
        <v>0.723076923076923</v>
      </c>
      <c r="BH21" s="11" t="n">
        <v>0.669230769230769</v>
      </c>
      <c r="BI21" s="11" t="n">
        <v>0.730769230769231</v>
      </c>
      <c r="BJ21" s="11" t="n">
        <v>0.142055821030038</v>
      </c>
      <c r="BK21" s="11" t="n">
        <v>0.0930868571291759</v>
      </c>
      <c r="BL21" s="11" t="n">
        <v>0.2362740549091</v>
      </c>
      <c r="BM21" s="11" t="n">
        <v>0.0341834586966033</v>
      </c>
      <c r="BN21" s="11" t="n">
        <v>0.604929161712308</v>
      </c>
      <c r="BO21" s="11" t="n">
        <v>0.396506669989614</v>
      </c>
      <c r="BP21" s="11" t="n">
        <v>0.0288107010874274</v>
      </c>
      <c r="BQ21" s="11" t="n">
        <v>0.0169262584660421</v>
      </c>
      <c r="BR21" s="11" t="n">
        <v>4.6120177958383</v>
      </c>
      <c r="BS21" s="11" t="n">
        <v>14.7403597702732</v>
      </c>
      <c r="BT21" s="11" t="n">
        <v>20.2054800244609</v>
      </c>
      <c r="BU21" s="11" t="n">
        <v>14.2055821030038</v>
      </c>
      <c r="BV21" s="11" t="n">
        <v>13.5375061497274</v>
      </c>
      <c r="BW21" s="11" t="n">
        <v>12.6841855684371</v>
      </c>
      <c r="BX21" s="11" t="n">
        <v>6.52019630033408</v>
      </c>
      <c r="BY21" s="11" t="n">
        <v>3.77675807398714</v>
      </c>
      <c r="BZ21" s="11" t="n">
        <v>0.715384615384615</v>
      </c>
      <c r="CA21" s="11" t="n">
        <v>0.688172043010753</v>
      </c>
      <c r="CB21" s="11" t="n">
        <v>0.494623655913979</v>
      </c>
      <c r="CC21" s="11" t="n">
        <v>0.591397849462366</v>
      </c>
      <c r="CD21" s="11" t="n">
        <v>0.67741935483871</v>
      </c>
      <c r="CE21" s="11" t="n">
        <v>0.715384615384615</v>
      </c>
      <c r="CF21" s="11" t="n">
        <v>5</v>
      </c>
      <c r="CG21" s="11" t="n">
        <v>0</v>
      </c>
      <c r="CH21" s="11" t="n">
        <v>0.688172043010753</v>
      </c>
      <c r="CI21" s="11" t="n">
        <v>0.591397849462366</v>
      </c>
      <c r="CJ21" s="11" t="n">
        <v>0.67741935483871</v>
      </c>
      <c r="CK21" s="11" t="n">
        <v>0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0</v>
      </c>
      <c r="CR21" s="11" t="n">
        <v>0</v>
      </c>
      <c r="CS21" s="11" t="n">
        <v>0</v>
      </c>
      <c r="CT21" s="11" t="n">
        <v>0</v>
      </c>
      <c r="CU21" s="11" t="n">
        <v>0</v>
      </c>
      <c r="CV21" s="11" t="n">
        <v>0</v>
      </c>
      <c r="CW21" s="11" t="n">
        <v>0.0430107526881721</v>
      </c>
      <c r="CX21" s="11" t="n">
        <v>0</v>
      </c>
      <c r="CY21" s="11" t="n">
        <v>-0.056004594376209</v>
      </c>
      <c r="CZ21" s="11" t="n">
        <v>-0.169287052019159</v>
      </c>
      <c r="DA21" s="11" t="n">
        <v>9.28170447670388</v>
      </c>
      <c r="DB21" s="11" t="n">
        <v>-0.106004623114981</v>
      </c>
      <c r="DC21" s="11" t="n">
        <v>14.1754857362588</v>
      </c>
      <c r="DD21" s="11" t="n">
        <v>0.452275203884424</v>
      </c>
      <c r="DE21" s="11" t="n">
        <v>0.538461538461538</v>
      </c>
      <c r="DF21" s="11" t="n">
        <v>-0.100596776099883</v>
      </c>
      <c r="DG21" s="11" t="n">
        <v>-0.106234687057445</v>
      </c>
      <c r="DH21" s="11" t="n">
        <v>0.563791095756258</v>
      </c>
      <c r="DI21" s="11" t="n">
        <v>143.968029666767</v>
      </c>
      <c r="DJ21" s="11" t="n">
        <v>133.847764136064</v>
      </c>
      <c r="DK21" s="11" t="n">
        <v>7.42656216764925</v>
      </c>
      <c r="DL21" s="11" t="n">
        <v>49.05</v>
      </c>
      <c r="DM21" s="11" t="n">
        <v>0.246153846153846</v>
      </c>
      <c r="DN21" s="11" t="n">
        <v>0.0923076923076923</v>
      </c>
      <c r="DO21" s="11" t="n">
        <v>-0.0104973195751245</v>
      </c>
      <c r="DP21" s="11" t="n">
        <v>0</v>
      </c>
      <c r="DQ21" s="11" t="n">
        <v>0</v>
      </c>
      <c r="DR21" s="11" t="n">
        <v>0</v>
      </c>
      <c r="DS21" s="11" t="n">
        <v>0</v>
      </c>
      <c r="DT21" s="11" t="n">
        <v>0</v>
      </c>
      <c r="DU21" s="11" t="n">
        <v>0</v>
      </c>
      <c r="DV21" s="11" t="n">
        <v>5</v>
      </c>
      <c r="DW21" s="11" t="s">
        <v>690</v>
      </c>
      <c r="DX21" s="11" t="n">
        <v>0.195506</v>
      </c>
      <c r="DY21" s="11" t="n">
        <v>0.0195449265128515</v>
      </c>
      <c r="DZ21" s="11" t="n">
        <v>0.371467073487149</v>
      </c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 t="n">
        <v>9.29971803442144</v>
      </c>
      <c r="EP21" s="11" t="n">
        <v>86.5516903023369</v>
      </c>
      <c r="EQ21" s="11" t="n">
        <v>2119.69725292636</v>
      </c>
      <c r="ER21" s="11" t="n">
        <v>4.47341591775677</v>
      </c>
      <c r="ES21" s="11" t="n">
        <v>4.47341591775677</v>
      </c>
      <c r="ET21" s="11" t="n">
        <v>2.91993275973243</v>
      </c>
      <c r="EU21" s="11" t="n">
        <v>71.4167240830729</v>
      </c>
      <c r="EV21" s="11" t="n">
        <v>71.4167240830729</v>
      </c>
      <c r="EW21" s="11" t="n">
        <v>511.382679648188</v>
      </c>
      <c r="EX21" s="11" t="n">
        <v>720.792792555244</v>
      </c>
      <c r="EY21" s="11" t="n">
        <v>1.61920093478609</v>
      </c>
      <c r="EZ21" s="11" t="n">
        <v>0.742964561444045</v>
      </c>
      <c r="FA21" s="11" t="n">
        <v>0.0499942534711646</v>
      </c>
      <c r="FB21" s="11" t="n">
        <v>0.830769230769231</v>
      </c>
      <c r="FC21" s="11" t="n">
        <v>0</v>
      </c>
      <c r="FD21" s="11" t="n">
        <v>0</v>
      </c>
      <c r="FE21" s="11" t="s">
        <v>574</v>
      </c>
      <c r="FF21" s="11" t="s">
        <v>241</v>
      </c>
      <c r="FG21" s="11" t="n">
        <v>130</v>
      </c>
      <c r="FH21" s="11" t="s">
        <v>575</v>
      </c>
      <c r="FI21" s="11" t="s">
        <v>59</v>
      </c>
      <c r="FJ21" s="11" t="n">
        <v>0.2</v>
      </c>
      <c r="FK21" s="11" t="n">
        <v>0.234464018988584</v>
      </c>
      <c r="FL21" s="11" t="n">
        <v>0.130381208811936</v>
      </c>
      <c r="FM21" s="11" t="n">
        <v>0.00961538461538462</v>
      </c>
      <c r="FN21" s="11" t="n">
        <v>1</v>
      </c>
      <c r="FO21" s="11" t="n">
        <v>0.76564728400559</v>
      </c>
      <c r="FP21" s="11" t="n">
        <v>0.554509048188016</v>
      </c>
      <c r="FQ21" s="11" t="n">
        <v>0.163461538461538</v>
      </c>
      <c r="FR21" s="11" t="n">
        <v>0</v>
      </c>
      <c r="FS21" s="11" t="n">
        <v>0.765643911595398</v>
      </c>
      <c r="FT21" s="11" t="n">
        <v>0.553618500374969</v>
      </c>
      <c r="FU21" s="11" t="n">
        <v>1</v>
      </c>
      <c r="FV21" s="11" t="n">
        <v>9.68494409648121</v>
      </c>
      <c r="FW21" s="11" t="n">
        <v>330.005177991362</v>
      </c>
      <c r="FX21" s="11" t="n">
        <v>0.0468379476353509</v>
      </c>
      <c r="FY21" s="11" t="n">
        <v>1</v>
      </c>
      <c r="FZ21" s="11" t="n">
        <v>26</v>
      </c>
      <c r="GA21" s="11" t="n">
        <v>1</v>
      </c>
      <c r="GB21" s="11" t="s">
        <v>576</v>
      </c>
      <c r="GC21" s="11" t="n">
        <v>0.854810274564303</v>
      </c>
      <c r="GD21" s="11" t="n">
        <v>0.876419771634615</v>
      </c>
      <c r="GE21" s="11" t="n">
        <v>0.876908936659814</v>
      </c>
      <c r="GF21" s="11" t="n">
        <v>0.876923076923077</v>
      </c>
      <c r="GG21" s="11" t="n">
        <v>0.0723557692307692</v>
      </c>
      <c r="GH21" s="11" t="n">
        <v>0.0769230769230769</v>
      </c>
      <c r="GI21" s="11" t="n">
        <v>0.0348614805042206</v>
      </c>
      <c r="GJ21" s="11" t="n">
        <v>0.0433704059857589</v>
      </c>
      <c r="GK21" s="11" t="n">
        <v>0.0413234743455099</v>
      </c>
      <c r="GL21" s="11" t="n">
        <v>0.0456926172455916</v>
      </c>
      <c r="GM21" s="11" t="n">
        <v>0.0169841333064006</v>
      </c>
      <c r="GN21" s="11" t="n">
        <v>0.0110896188977747</v>
      </c>
      <c r="GO21" s="11" t="n">
        <v>0.876682692307692</v>
      </c>
      <c r="GP21" s="11" t="n">
        <v>0.876923076923077</v>
      </c>
      <c r="GQ21" s="11" t="n">
        <v>-0.0421751067042351</v>
      </c>
      <c r="GR21" s="11" t="n">
        <v>1</v>
      </c>
      <c r="GS21" s="11" t="n">
        <v>1</v>
      </c>
      <c r="GT21" s="11" t="n">
        <v>0</v>
      </c>
      <c r="GU21" s="11" t="n">
        <v>0</v>
      </c>
      <c r="GV21" s="11" t="n">
        <v>1</v>
      </c>
      <c r="GW21" s="11" t="n">
        <v>1</v>
      </c>
      <c r="GX21" s="11" t="n">
        <v>1</v>
      </c>
      <c r="GY21" s="11" t="n">
        <v>1</v>
      </c>
      <c r="GZ21" s="11" t="n">
        <v>1</v>
      </c>
      <c r="HA21" s="11" t="n">
        <v>1</v>
      </c>
      <c r="HB21" s="11" t="n">
        <v>1</v>
      </c>
      <c r="HC21" s="11" t="n">
        <v>1</v>
      </c>
      <c r="HD21" s="11" t="n">
        <v>1</v>
      </c>
      <c r="HE21" s="11" t="n">
        <v>0</v>
      </c>
      <c r="HF21" s="11" t="n">
        <v>1</v>
      </c>
      <c r="HG21" s="11" t="n">
        <v>1</v>
      </c>
      <c r="HH21" s="11" t="n">
        <v>1</v>
      </c>
      <c r="HI21" s="11" t="n">
        <v>0</v>
      </c>
      <c r="HJ21" s="11" t="n">
        <v>0</v>
      </c>
      <c r="HK21" s="11" t="s">
        <v>143</v>
      </c>
      <c r="HL21" s="11" t="s">
        <v>577</v>
      </c>
      <c r="HM21" s="11" t="n">
        <v>1</v>
      </c>
      <c r="HN21" s="11" t="s">
        <v>10</v>
      </c>
      <c r="HO21" s="11" t="s">
        <v>578</v>
      </c>
      <c r="HP21" s="11" t="s">
        <v>578</v>
      </c>
      <c r="HQ21" s="11" t="n">
        <v>0</v>
      </c>
      <c r="HR21" s="11" t="s">
        <v>189</v>
      </c>
      <c r="HS21" s="11" t="s">
        <v>579</v>
      </c>
      <c r="HT21" s="11" t="s">
        <v>579</v>
      </c>
      <c r="HU21" s="11" t="s">
        <v>706</v>
      </c>
      <c r="HV21" s="11" t="s">
        <v>706</v>
      </c>
      <c r="HW21" s="11" t="s">
        <v>707</v>
      </c>
      <c r="HX21" s="11" t="s">
        <v>708</v>
      </c>
      <c r="HY21" s="11" t="s">
        <v>583</v>
      </c>
      <c r="HZ21" s="11" t="s">
        <v>709</v>
      </c>
      <c r="IA21" s="11" t="s">
        <v>704</v>
      </c>
      <c r="IB21" s="11" t="s">
        <v>710</v>
      </c>
      <c r="IC21" s="11" t="s">
        <v>241</v>
      </c>
      <c r="ID21" s="11" t="s">
        <v>711</v>
      </c>
      <c r="IE21" s="11"/>
      <c r="IF21" s="11"/>
      <c r="IG21" s="11"/>
      <c r="IH21" s="11"/>
    </row>
    <row r="22" customFormat="false" ht="15" hidden="false" customHeight="false" outlineLevel="0" collapsed="false">
      <c r="A22" s="11" t="s">
        <v>92</v>
      </c>
      <c r="B22" s="11" t="s">
        <v>712</v>
      </c>
      <c r="C22" s="11" t="s">
        <v>588</v>
      </c>
      <c r="D22" s="11" t="s">
        <v>570</v>
      </c>
      <c r="E22" s="11" t="s">
        <v>91</v>
      </c>
      <c r="F22" s="11"/>
      <c r="G22" s="11"/>
      <c r="H22" s="11" t="s">
        <v>713</v>
      </c>
      <c r="I22" s="11" t="s">
        <v>240</v>
      </c>
      <c r="J22" s="11" t="n">
        <v>130</v>
      </c>
      <c r="K22" s="11" t="n">
        <v>4.33333333333333</v>
      </c>
      <c r="L22" s="11" t="n">
        <v>0.600848078727722</v>
      </c>
      <c r="M22" s="11" t="n">
        <v>0.847509920597076</v>
      </c>
      <c r="N22" s="11" t="n">
        <v>0</v>
      </c>
      <c r="O22" s="11" t="n">
        <v>1.85210138042726</v>
      </c>
      <c r="P22" s="11" t="n">
        <v>1.78623132877852</v>
      </c>
      <c r="Q22" s="11" t="n">
        <v>0.491146860081576</v>
      </c>
      <c r="R22" s="11" t="n">
        <v>0.269230769230769</v>
      </c>
      <c r="S22" s="11" t="n">
        <v>0.361538461538461</v>
      </c>
      <c r="T22" s="11" t="n">
        <v>0.0538461538461539</v>
      </c>
      <c r="U22" s="11" t="n">
        <v>0</v>
      </c>
      <c r="V22" s="11" t="n">
        <v>0</v>
      </c>
      <c r="W22" s="11" t="n">
        <v>0.453846153846154</v>
      </c>
      <c r="X22" s="11" t="n">
        <v>0.292307692307692</v>
      </c>
      <c r="Y22" s="11" t="n">
        <v>0.392307692307692</v>
      </c>
      <c r="Z22" s="11" t="n">
        <v>0.430769230769231</v>
      </c>
      <c r="AA22" s="11" t="n">
        <v>0.0615384615384615</v>
      </c>
      <c r="AB22" s="11" t="n">
        <v>0.0230769230769231</v>
      </c>
      <c r="AC22" s="11" t="n">
        <v>-0.00164573466972507</v>
      </c>
      <c r="AD22" s="11" t="n">
        <v>-0.00945674636894716</v>
      </c>
      <c r="AE22" s="11" t="n">
        <v>0.34375</v>
      </c>
      <c r="AF22" s="11" t="n">
        <v>0.125</v>
      </c>
      <c r="AG22" s="11" t="n">
        <v>0.046875</v>
      </c>
      <c r="AH22" s="11" t="n">
        <v>0.161538461538461</v>
      </c>
      <c r="AI22" s="11" t="n">
        <v>0.0615384615384615</v>
      </c>
      <c r="AJ22" s="11" t="n">
        <v>0.0230769230769231</v>
      </c>
      <c r="AK22" s="11" t="n">
        <v>0.175086680955274</v>
      </c>
      <c r="AL22" s="11" t="n">
        <v>0</v>
      </c>
      <c r="AM22" s="11" t="n">
        <v>0</v>
      </c>
      <c r="AN22" s="11" t="n">
        <v>0</v>
      </c>
      <c r="AO22" s="11"/>
      <c r="AP22" s="11"/>
      <c r="AQ22" s="11"/>
      <c r="AR22" s="11" t="n">
        <v>0</v>
      </c>
      <c r="AS22" s="11" t="n">
        <v>0.1</v>
      </c>
      <c r="AT22" s="11" t="n">
        <v>0.0384615384615385</v>
      </c>
      <c r="AU22" s="11" t="n">
        <v>0.0384615384615385</v>
      </c>
      <c r="AV22" s="11" t="n">
        <v>0</v>
      </c>
      <c r="AW22" s="11" t="n">
        <v>0</v>
      </c>
      <c r="AX22" s="11" t="n">
        <v>0</v>
      </c>
      <c r="AY22" s="11" t="n">
        <v>0.0102753428171374</v>
      </c>
      <c r="AZ22" s="11" t="n">
        <v>0.0277262662745472</v>
      </c>
      <c r="BA22" s="11"/>
      <c r="BB22" s="11" t="n">
        <v>0</v>
      </c>
      <c r="BC22" s="11" t="n">
        <v>0.715384615384615</v>
      </c>
      <c r="BD22" s="11" t="n">
        <v>0.369230769230769</v>
      </c>
      <c r="BE22" s="11" t="n">
        <v>0.715384615384615</v>
      </c>
      <c r="BF22" s="11" t="n">
        <v>0.661538461538462</v>
      </c>
      <c r="BG22" s="11" t="n">
        <v>0.723076923076923</v>
      </c>
      <c r="BH22" s="11" t="n">
        <v>0.692307692307692</v>
      </c>
      <c r="BI22" s="11" t="n">
        <v>0.738461538461539</v>
      </c>
      <c r="BJ22" s="11" t="n">
        <v>0.157039373215824</v>
      </c>
      <c r="BK22" s="11" t="n">
        <v>0.0697949732796816</v>
      </c>
      <c r="BL22" s="11" t="n">
        <v>0.204367092393511</v>
      </c>
      <c r="BM22" s="11" t="n">
        <v>0.0551656394870066</v>
      </c>
      <c r="BN22" s="11" t="n">
        <v>0.593587385500191</v>
      </c>
      <c r="BO22" s="11" t="n">
        <v>0.467693212805597</v>
      </c>
      <c r="BP22" s="11" t="n">
        <v>0.0200363279390931</v>
      </c>
      <c r="BQ22" s="11" t="n">
        <v>0.0161220606778035</v>
      </c>
      <c r="BR22" s="11" t="n">
        <v>4.47508053066048</v>
      </c>
      <c r="BS22" s="11" t="n">
        <v>14.6773962803217</v>
      </c>
      <c r="BT22" s="11" t="n">
        <v>18.5797644287358</v>
      </c>
      <c r="BU22" s="11" t="n">
        <v>15.7039373215824</v>
      </c>
      <c r="BV22" s="11" t="n">
        <v>11.7093718605022</v>
      </c>
      <c r="BW22" s="11" t="n">
        <v>11.5022879878224</v>
      </c>
      <c r="BX22" s="11" t="n">
        <v>4.79883800036291</v>
      </c>
      <c r="BY22" s="11" t="n">
        <v>4.4539512050324</v>
      </c>
      <c r="BZ22" s="11" t="n">
        <v>0.715384615384615</v>
      </c>
      <c r="CA22" s="11" t="n">
        <v>0.623655913978495</v>
      </c>
      <c r="CB22" s="11" t="n">
        <v>0.408602150537634</v>
      </c>
      <c r="CC22" s="11" t="n">
        <v>0.537634408602151</v>
      </c>
      <c r="CD22" s="11" t="n">
        <v>0.591397849462366</v>
      </c>
      <c r="CE22" s="11" t="n">
        <v>0.715384615384615</v>
      </c>
      <c r="CF22" s="11" t="n">
        <v>5</v>
      </c>
      <c r="CG22" s="11" t="n">
        <v>0</v>
      </c>
      <c r="CH22" s="11" t="n">
        <v>0.623655913978495</v>
      </c>
      <c r="CI22" s="11" t="n">
        <v>0.537634408602151</v>
      </c>
      <c r="CJ22" s="11" t="n">
        <v>0.591397849462366</v>
      </c>
      <c r="CK22" s="11" t="n">
        <v>0.027027027027027</v>
      </c>
      <c r="CL22" s="11" t="n">
        <v>0</v>
      </c>
      <c r="CM22" s="11" t="n">
        <v>0.027027027027027</v>
      </c>
      <c r="CN22" s="11" t="n">
        <v>0.027027027027027</v>
      </c>
      <c r="CO22" s="11" t="n">
        <v>0</v>
      </c>
      <c r="CP22" s="11" t="n">
        <v>0</v>
      </c>
      <c r="CQ22" s="11" t="n">
        <v>0</v>
      </c>
      <c r="CR22" s="11" t="n">
        <v>0</v>
      </c>
      <c r="CS22" s="11" t="n">
        <v>0.0384615384615385</v>
      </c>
      <c r="CT22" s="11" t="n">
        <v>0</v>
      </c>
      <c r="CU22" s="11" t="n">
        <v>0.0384615384615385</v>
      </c>
      <c r="CV22" s="11" t="n">
        <v>0.0384615384615385</v>
      </c>
      <c r="CW22" s="11" t="n">
        <v>0.0752688172043011</v>
      </c>
      <c r="CX22" s="11" t="n">
        <v>0</v>
      </c>
      <c r="CY22" s="11" t="n">
        <v>-0.0024272665796579</v>
      </c>
      <c r="CZ22" s="11" t="n">
        <v>-0.0934383739649768</v>
      </c>
      <c r="DA22" s="11" t="n">
        <v>8.56386173869734</v>
      </c>
      <c r="DB22" s="11" t="n">
        <v>-0.020230207211522</v>
      </c>
      <c r="DC22" s="11" t="n">
        <v>14.384280125121</v>
      </c>
      <c r="DD22" s="11" t="n">
        <v>0.333013739193337</v>
      </c>
      <c r="DE22" s="11" t="n">
        <v>0.538461538461538</v>
      </c>
      <c r="DF22" s="11" t="n">
        <v>-0.014303572172765</v>
      </c>
      <c r="DG22" s="11" t="n">
        <v>-0.0291863906477793</v>
      </c>
      <c r="DH22" s="11" t="n">
        <v>1.48828184750143</v>
      </c>
      <c r="DI22" s="11" t="n">
        <v>146.231473454155</v>
      </c>
      <c r="DJ22" s="11" t="n">
        <v>105.464139869398</v>
      </c>
      <c r="DK22" s="11" t="n">
        <v>10.4929116061674</v>
      </c>
      <c r="DL22" s="11" t="n">
        <v>49.05</v>
      </c>
      <c r="DM22" s="11" t="n">
        <v>0.246153846153846</v>
      </c>
      <c r="DN22" s="11" t="n">
        <v>0.0923076923076923</v>
      </c>
      <c r="DO22" s="11" t="n">
        <v>-0.0104973195751245</v>
      </c>
      <c r="DP22" s="11" t="n">
        <v>0</v>
      </c>
      <c r="DQ22" s="11" t="n">
        <v>0.00769230769230769</v>
      </c>
      <c r="DR22" s="11" t="n">
        <v>0</v>
      </c>
      <c r="DS22" s="11" t="n">
        <v>0</v>
      </c>
      <c r="DT22" s="11" t="n">
        <v>0</v>
      </c>
      <c r="DU22" s="11" t="n">
        <v>0</v>
      </c>
      <c r="DV22" s="11" t="n">
        <v>5</v>
      </c>
      <c r="DW22" s="11" t="s">
        <v>690</v>
      </c>
      <c r="DX22" s="11" t="n">
        <v>0.195506</v>
      </c>
      <c r="DY22" s="11" t="n">
        <v>0.0195449265128515</v>
      </c>
      <c r="DZ22" s="11" t="n">
        <v>0.371467073487149</v>
      </c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 t="n">
        <v>9.56843222125249</v>
      </c>
      <c r="EP22" s="11" t="n">
        <v>87.2607483580696</v>
      </c>
      <c r="EQ22" s="11" t="n">
        <v>2090.89943170284</v>
      </c>
      <c r="ER22" s="11" t="n">
        <v>3.9370333038714</v>
      </c>
      <c r="ES22" s="11" t="n">
        <v>3.9370333038714</v>
      </c>
      <c r="ET22" s="11" t="n">
        <v>3.72106653010995</v>
      </c>
      <c r="EU22" s="11" t="n">
        <v>47.6544413860372</v>
      </c>
      <c r="EV22" s="11" t="n">
        <v>47.6544413860372</v>
      </c>
      <c r="EW22" s="11" t="n">
        <v>640.230627773278</v>
      </c>
      <c r="EX22" s="11" t="n">
        <v>767.547565644366</v>
      </c>
      <c r="EY22" s="11" t="n">
        <v>1.65569921849122</v>
      </c>
      <c r="EZ22" s="11" t="n">
        <v>0.662199410328912</v>
      </c>
      <c r="FA22" s="11" t="n">
        <v>0.0499514548682125</v>
      </c>
      <c r="FB22" s="11" t="n">
        <v>0.807692307692308</v>
      </c>
      <c r="FC22" s="11" t="n">
        <v>0</v>
      </c>
      <c r="FD22" s="11" t="n">
        <v>0</v>
      </c>
      <c r="FE22" s="11" t="s">
        <v>574</v>
      </c>
      <c r="FF22" s="11" t="s">
        <v>241</v>
      </c>
      <c r="FG22" s="11" t="n">
        <v>130</v>
      </c>
      <c r="FH22" s="11" t="s">
        <v>575</v>
      </c>
      <c r="FI22" s="11" t="s">
        <v>59</v>
      </c>
      <c r="FJ22" s="11" t="n">
        <v>0.2</v>
      </c>
      <c r="FK22" s="11" t="n">
        <v>0.210762385172797</v>
      </c>
      <c r="FL22" s="11" t="n">
        <v>0.121540658936634</v>
      </c>
      <c r="FM22" s="11" t="n">
        <v>0.00576923076923077</v>
      </c>
      <c r="FN22" s="11" t="n">
        <v>1</v>
      </c>
      <c r="FO22" s="11" t="n">
        <v>0.837704166751843</v>
      </c>
      <c r="FP22" s="11" t="n">
        <v>0.570702240540997</v>
      </c>
      <c r="FQ22" s="11" t="n">
        <v>0.180769230769231</v>
      </c>
      <c r="FR22" s="11" t="n">
        <v>0</v>
      </c>
      <c r="FS22" s="11" t="n">
        <v>0.83769959051444</v>
      </c>
      <c r="FT22" s="11" t="n">
        <v>0.570286843829765</v>
      </c>
      <c r="FU22" s="11" t="n">
        <v>1</v>
      </c>
      <c r="FV22" s="11" t="n">
        <v>10.0082408088144</v>
      </c>
      <c r="FW22" s="11" t="n">
        <v>361.320941617428</v>
      </c>
      <c r="FX22" s="11" t="n">
        <v>0.0595243082152888</v>
      </c>
      <c r="FY22" s="11" t="n">
        <v>1</v>
      </c>
      <c r="FZ22" s="11" t="n">
        <v>26</v>
      </c>
      <c r="GA22" s="11" t="n">
        <v>1</v>
      </c>
      <c r="GB22" s="11" t="s">
        <v>576</v>
      </c>
      <c r="GC22" s="11" t="n">
        <v>0.748140775240385</v>
      </c>
      <c r="GD22" s="11" t="n">
        <v>0.760524338942308</v>
      </c>
      <c r="GE22" s="11" t="n">
        <v>0.758345116901015</v>
      </c>
      <c r="GF22" s="11" t="n">
        <v>0.761538461538462</v>
      </c>
      <c r="GG22" s="11" t="n">
        <v>0.192067307692308</v>
      </c>
      <c r="GH22" s="11" t="n">
        <v>0.192307692307692</v>
      </c>
      <c r="GI22" s="11" t="n">
        <v>0.0375800949469871</v>
      </c>
      <c r="GJ22" s="11" t="n">
        <v>0.04445435141858</v>
      </c>
      <c r="GK22" s="11" t="n">
        <v>0.0432485829630096</v>
      </c>
      <c r="GL22" s="11" t="n">
        <v>0.0460397370173059</v>
      </c>
      <c r="GM22" s="11" t="n">
        <v>0.0430801067637224</v>
      </c>
      <c r="GN22" s="11" t="n">
        <v>0.0389219641903764</v>
      </c>
      <c r="GO22" s="11" t="n">
        <v>0.758173076923077</v>
      </c>
      <c r="GP22" s="11" t="n">
        <v>0.761538461538462</v>
      </c>
      <c r="GQ22" s="11" t="n">
        <v>-0.0333651602268219</v>
      </c>
      <c r="GR22" s="11" t="n">
        <v>0</v>
      </c>
      <c r="GS22" s="11" t="n">
        <v>1</v>
      </c>
      <c r="GT22" s="11" t="n">
        <v>0</v>
      </c>
      <c r="GU22" s="11" t="n">
        <v>0</v>
      </c>
      <c r="GV22" s="11" t="n">
        <v>1</v>
      </c>
      <c r="GW22" s="11" t="n">
        <v>1</v>
      </c>
      <c r="GX22" s="11" t="n">
        <v>1</v>
      </c>
      <c r="GY22" s="11" t="n">
        <v>1</v>
      </c>
      <c r="GZ22" s="11" t="n">
        <v>1</v>
      </c>
      <c r="HA22" s="11" t="n">
        <v>1</v>
      </c>
      <c r="HB22" s="11" t="n">
        <v>1</v>
      </c>
      <c r="HC22" s="11" t="n">
        <v>1</v>
      </c>
      <c r="HD22" s="11" t="n">
        <v>1</v>
      </c>
      <c r="HE22" s="11" t="n">
        <v>1</v>
      </c>
      <c r="HF22" s="11" t="n">
        <v>1</v>
      </c>
      <c r="HG22" s="11" t="n">
        <v>1</v>
      </c>
      <c r="HH22" s="11" t="n">
        <v>1</v>
      </c>
      <c r="HI22" s="11" t="n">
        <v>1</v>
      </c>
      <c r="HJ22" s="11" t="n">
        <v>1</v>
      </c>
      <c r="HK22" s="11"/>
      <c r="HL22" s="11" t="s">
        <v>577</v>
      </c>
      <c r="HM22" s="11" t="n">
        <v>1</v>
      </c>
      <c r="HN22" s="11" t="s">
        <v>591</v>
      </c>
      <c r="HO22" s="11" t="s">
        <v>578</v>
      </c>
      <c r="HP22" s="11" t="s">
        <v>578</v>
      </c>
      <c r="HQ22" s="11" t="n">
        <v>0</v>
      </c>
      <c r="HR22" s="11" t="s">
        <v>189</v>
      </c>
      <c r="HS22" s="11" t="s">
        <v>300</v>
      </c>
      <c r="HT22" s="11" t="s">
        <v>300</v>
      </c>
      <c r="HU22" s="11" t="s">
        <v>714</v>
      </c>
      <c r="HV22" s="11" t="s">
        <v>714</v>
      </c>
      <c r="HW22" s="11" t="s">
        <v>715</v>
      </c>
      <c r="HX22" s="11" t="s">
        <v>708</v>
      </c>
      <c r="HY22" s="11" t="s">
        <v>583</v>
      </c>
      <c r="HZ22" s="11" t="s">
        <v>716</v>
      </c>
      <c r="IA22" s="11" t="s">
        <v>713</v>
      </c>
      <c r="IB22" s="11" t="s">
        <v>717</v>
      </c>
      <c r="IC22" s="11" t="s">
        <v>241</v>
      </c>
      <c r="ID22" s="11" t="s">
        <v>711</v>
      </c>
      <c r="IE22" s="11"/>
      <c r="IF22" s="11"/>
      <c r="IG22" s="11"/>
      <c r="IH22" s="11"/>
    </row>
    <row r="23" customFormat="false" ht="15" hidden="false" customHeight="false" outlineLevel="0" collapsed="false">
      <c r="A23" s="11" t="s">
        <v>93</v>
      </c>
      <c r="B23" s="11" t="s">
        <v>718</v>
      </c>
      <c r="C23" s="11" t="s">
        <v>569</v>
      </c>
      <c r="D23" s="11" t="s">
        <v>570</v>
      </c>
      <c r="E23" s="11" t="s">
        <v>91</v>
      </c>
      <c r="F23" s="11"/>
      <c r="G23" s="11"/>
      <c r="H23" s="11" t="s">
        <v>719</v>
      </c>
      <c r="I23" s="11" t="s">
        <v>720</v>
      </c>
      <c r="J23" s="11" t="n">
        <v>105</v>
      </c>
      <c r="K23" s="11" t="n">
        <v>3.5</v>
      </c>
      <c r="L23" s="11" t="n">
        <v>0.656854629516602</v>
      </c>
      <c r="M23" s="11" t="n">
        <v>0.84763777256012</v>
      </c>
      <c r="N23" s="11" t="n">
        <v>0</v>
      </c>
      <c r="O23" s="11" t="n">
        <v>1.89827384033151</v>
      </c>
      <c r="P23" s="11" t="n">
        <v>1.85524698442734</v>
      </c>
      <c r="Q23" s="11" t="n">
        <v>0.41989117214808</v>
      </c>
      <c r="R23" s="11" t="n">
        <v>0.533333333333333</v>
      </c>
      <c r="S23" s="11" t="n">
        <v>0.323809523809524</v>
      </c>
      <c r="T23" s="11" t="n">
        <v>0.0666666666666667</v>
      </c>
      <c r="U23" s="11" t="n">
        <v>0.0285714285714286</v>
      </c>
      <c r="V23" s="11" t="n">
        <v>0</v>
      </c>
      <c r="W23" s="11" t="n">
        <v>0.485714285714286</v>
      </c>
      <c r="X23" s="11" t="n">
        <v>0.257142857142857</v>
      </c>
      <c r="Y23" s="11" t="n">
        <v>0.295238095238095</v>
      </c>
      <c r="Z23" s="11" t="n">
        <v>0.4</v>
      </c>
      <c r="AA23" s="11" t="n">
        <v>0.190476190476191</v>
      </c>
      <c r="AB23" s="11" t="n">
        <v>0.0857142857142857</v>
      </c>
      <c r="AC23" s="11" t="n">
        <v>-0.00273142910177444</v>
      </c>
      <c r="AD23" s="11" t="n">
        <v>-0.00903483157123307</v>
      </c>
      <c r="AE23" s="11" t="n">
        <v>0.452830188679245</v>
      </c>
      <c r="AF23" s="11" t="n">
        <v>0.377358490566038</v>
      </c>
      <c r="AG23" s="11" t="n">
        <v>0.169811320754717</v>
      </c>
      <c r="AH23" s="11" t="n">
        <v>0.228571428571429</v>
      </c>
      <c r="AI23" s="11" t="n">
        <v>0.190476190476191</v>
      </c>
      <c r="AJ23" s="11" t="n">
        <v>0.0857142857142857</v>
      </c>
      <c r="AK23" s="11" t="n">
        <v>0.266457216388913</v>
      </c>
      <c r="AL23" s="11" t="n">
        <v>0</v>
      </c>
      <c r="AM23" s="11" t="n">
        <v>0</v>
      </c>
      <c r="AN23" s="11" t="n">
        <v>0</v>
      </c>
      <c r="AO23" s="11"/>
      <c r="AP23" s="11"/>
      <c r="AQ23" s="11"/>
      <c r="AR23" s="11" t="n">
        <v>0</v>
      </c>
      <c r="AS23" s="11" t="n">
        <v>0.104761904761905</v>
      </c>
      <c r="AT23" s="11" t="n">
        <v>0.0380952380952381</v>
      </c>
      <c r="AU23" s="11" t="n">
        <v>0.0380952380952381</v>
      </c>
      <c r="AV23" s="11" t="n">
        <v>0</v>
      </c>
      <c r="AW23" s="11" t="n">
        <v>0</v>
      </c>
      <c r="AX23" s="11" t="n">
        <v>0</v>
      </c>
      <c r="AY23" s="11" t="n">
        <v>0.0108663483979301</v>
      </c>
      <c r="AZ23" s="11" t="n">
        <v>0.0397593530058185</v>
      </c>
      <c r="BA23" s="11"/>
      <c r="BB23" s="11" t="n">
        <v>0</v>
      </c>
      <c r="BC23" s="11" t="n">
        <v>0.561904761904762</v>
      </c>
      <c r="BD23" s="11" t="n">
        <v>0</v>
      </c>
      <c r="BE23" s="11" t="n">
        <v>0.571428571428571</v>
      </c>
      <c r="BF23" s="11" t="n">
        <v>0.0380952380952381</v>
      </c>
      <c r="BG23" s="11" t="n">
        <v>0.59047619047619</v>
      </c>
      <c r="BH23" s="11" t="n">
        <v>0.266666666666667</v>
      </c>
      <c r="BI23" s="11" t="n">
        <v>0.59047619047619</v>
      </c>
      <c r="BJ23" s="11" t="n">
        <v>0.242385299323863</v>
      </c>
      <c r="BK23" s="11" t="n">
        <v>0.0835901717345665</v>
      </c>
      <c r="BL23" s="11" t="n">
        <v>0.340453002283608</v>
      </c>
      <c r="BM23" s="11" t="n">
        <v>0.0283899573643667</v>
      </c>
      <c r="BN23" s="11" t="n">
        <v>0.650095298312651</v>
      </c>
      <c r="BO23" s="11" t="n">
        <v>0.316012273132869</v>
      </c>
      <c r="BP23" s="11" t="n">
        <v>0.0372582668487724</v>
      </c>
      <c r="BQ23" s="11" t="n">
        <v>0.0283582141551176</v>
      </c>
      <c r="BR23" s="11" t="n">
        <v>4.87954521427253</v>
      </c>
      <c r="BS23" s="11" t="n">
        <v>20.4649757433082</v>
      </c>
      <c r="BT23" s="11" t="n">
        <v>26.6912167688917</v>
      </c>
      <c r="BU23" s="11" t="n">
        <v>24.2385299323863</v>
      </c>
      <c r="BV23" s="11" t="n">
        <v>19.5065201523717</v>
      </c>
      <c r="BW23" s="11" t="n">
        <v>16.4680875064294</v>
      </c>
      <c r="BX23" s="11" t="n">
        <v>6.28896265309921</v>
      </c>
      <c r="BY23" s="11" t="n">
        <v>4.6349233157647</v>
      </c>
      <c r="BZ23" s="11" t="n">
        <v>0.533333333333333</v>
      </c>
      <c r="CA23" s="11" t="n">
        <v>0.821428571428571</v>
      </c>
      <c r="CB23" s="11" t="n">
        <v>0.410714285714286</v>
      </c>
      <c r="CC23" s="11" t="n">
        <v>0.482142857142857</v>
      </c>
      <c r="CD23" s="11" t="n">
        <v>0.660714285714286</v>
      </c>
      <c r="CE23" s="11" t="n">
        <v>0.561904761904762</v>
      </c>
      <c r="CF23" s="11" t="n">
        <v>5</v>
      </c>
      <c r="CG23" s="11" t="n">
        <v>3</v>
      </c>
      <c r="CH23" s="11" t="n">
        <v>0.830508474576271</v>
      </c>
      <c r="CI23" s="11" t="n">
        <v>0.491525423728814</v>
      </c>
      <c r="CJ23" s="11" t="n">
        <v>0.677966101694915</v>
      </c>
      <c r="CK23" s="11" t="n">
        <v>0.102040816326531</v>
      </c>
      <c r="CL23" s="11" t="n">
        <v>0.0816326530612245</v>
      </c>
      <c r="CM23" s="11" t="n">
        <v>0.0816326530612245</v>
      </c>
      <c r="CN23" s="11" t="n">
        <v>0.102040816326531</v>
      </c>
      <c r="CO23" s="11" t="n">
        <v>0</v>
      </c>
      <c r="CP23" s="11" t="n">
        <v>0</v>
      </c>
      <c r="CQ23" s="11" t="n">
        <v>0</v>
      </c>
      <c r="CR23" s="11" t="n">
        <v>0</v>
      </c>
      <c r="CS23" s="11" t="n">
        <v>0.0666666666666667</v>
      </c>
      <c r="CT23" s="11" t="n">
        <v>0.0666666666666667</v>
      </c>
      <c r="CU23" s="11" t="n">
        <v>0.0666666666666667</v>
      </c>
      <c r="CV23" s="11" t="n">
        <v>0.0666666666666667</v>
      </c>
      <c r="CW23" s="11" t="n">
        <v>0.107142857142857</v>
      </c>
      <c r="CX23" s="11" t="n">
        <v>0.0535714285714286</v>
      </c>
      <c r="CY23" s="11" t="n">
        <v>-0.0459943268396166</v>
      </c>
      <c r="CZ23" s="11" t="n">
        <v>-0.190591391186358</v>
      </c>
      <c r="DA23" s="11" t="n">
        <v>13.8518306500398</v>
      </c>
      <c r="DB23" s="11" t="n">
        <v>-0.10973953409247</v>
      </c>
      <c r="DC23" s="11" t="n">
        <v>25.7189483242555</v>
      </c>
      <c r="DD23" s="11" t="n">
        <v>0.323305601953783</v>
      </c>
      <c r="DE23" s="11" t="n">
        <v>0.466666666666667</v>
      </c>
      <c r="DF23" s="11" t="n">
        <v>-0.109570134807125</v>
      </c>
      <c r="DG23" s="11" t="n">
        <v>-0.115170196871234</v>
      </c>
      <c r="DH23" s="11" t="n">
        <v>0.560006206410919</v>
      </c>
      <c r="DI23" s="11" t="n">
        <v>251.025143967371</v>
      </c>
      <c r="DJ23" s="11" t="n">
        <v>151.772738228763</v>
      </c>
      <c r="DK23" s="11" t="n">
        <v>10.9380325651364</v>
      </c>
      <c r="DL23" s="11" t="n">
        <v>49.05</v>
      </c>
      <c r="DM23" s="11" t="n">
        <v>0.523809523809524</v>
      </c>
      <c r="DN23" s="11" t="n">
        <v>0.142857142857143</v>
      </c>
      <c r="DO23" s="11" t="n">
        <v>-0.00690155896632708</v>
      </c>
      <c r="DP23" s="11" t="n">
        <v>0</v>
      </c>
      <c r="DQ23" s="11" t="n">
        <v>0.0285714285714286</v>
      </c>
      <c r="DR23" s="11" t="n">
        <v>0</v>
      </c>
      <c r="DS23" s="11" t="n">
        <v>0</v>
      </c>
      <c r="DT23" s="11" t="n">
        <v>0</v>
      </c>
      <c r="DU23" s="11" t="n">
        <v>0</v>
      </c>
      <c r="DV23" s="11" t="n">
        <v>5</v>
      </c>
      <c r="DW23" s="11" t="s">
        <v>690</v>
      </c>
      <c r="DX23" s="11" t="n">
        <v>0.195506</v>
      </c>
      <c r="DY23" s="11" t="n">
        <v>0.185074082906892</v>
      </c>
      <c r="DZ23" s="11" t="n">
        <v>0.205937917093108</v>
      </c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 t="n">
        <v>13.0512402790029</v>
      </c>
      <c r="EP23" s="11" t="n">
        <v>103.501732991354</v>
      </c>
      <c r="EQ23" s="11" t="n">
        <v>2267.59419852363</v>
      </c>
      <c r="ER23" s="11" t="n">
        <v>4.39739091887133</v>
      </c>
      <c r="ES23" s="11" t="n">
        <v>4.39739091887133</v>
      </c>
      <c r="ET23" s="11" t="n">
        <v>3.25478088312536</v>
      </c>
      <c r="EU23" s="11" t="n">
        <v>57.3209377961852</v>
      </c>
      <c r="EV23" s="11" t="n">
        <v>57.3209377961852</v>
      </c>
      <c r="EW23" s="11" t="n">
        <v>734.886441176827</v>
      </c>
      <c r="EX23" s="11" t="n">
        <v>883.021554748244</v>
      </c>
      <c r="EY23" s="11" t="n">
        <v>2.37426288269818</v>
      </c>
      <c r="EZ23" s="11" t="n">
        <v>1.48487866210315</v>
      </c>
      <c r="FA23" s="11" t="n">
        <v>0.0498474451898254</v>
      </c>
      <c r="FB23" s="11" t="n">
        <v>0.847619047619048</v>
      </c>
      <c r="FC23" s="11" t="n">
        <v>0</v>
      </c>
      <c r="FD23" s="11" t="n">
        <v>0</v>
      </c>
      <c r="FE23" s="11" t="s">
        <v>574</v>
      </c>
      <c r="FF23" s="11" t="s">
        <v>247</v>
      </c>
      <c r="FG23" s="11" t="n">
        <v>105</v>
      </c>
      <c r="FH23" s="11" t="s">
        <v>575</v>
      </c>
      <c r="FI23" s="11" t="s">
        <v>59</v>
      </c>
      <c r="FJ23" s="11" t="n">
        <v>0.2</v>
      </c>
      <c r="FK23" s="11" t="n">
        <v>0.224144491444964</v>
      </c>
      <c r="FL23" s="11" t="n">
        <v>0.142003246169136</v>
      </c>
      <c r="FM23" s="11" t="n">
        <v>0.0166666666666667</v>
      </c>
      <c r="FN23" s="11" t="n">
        <v>1</v>
      </c>
      <c r="FO23" s="11" t="n">
        <v>0.867987829418344</v>
      </c>
      <c r="FP23" s="11" t="n">
        <v>0.620300179821172</v>
      </c>
      <c r="FQ23" s="11" t="n">
        <v>0.269047619047619</v>
      </c>
      <c r="FR23" s="11" t="n">
        <v>0</v>
      </c>
      <c r="FS23" s="11" t="n">
        <v>0.865109876992838</v>
      </c>
      <c r="FT23" s="11" t="n">
        <v>0.619537537925833</v>
      </c>
      <c r="FU23" s="11" t="n">
        <v>1</v>
      </c>
      <c r="FV23" s="11" t="n">
        <v>15.4205415346952</v>
      </c>
      <c r="FW23" s="11" t="n">
        <v>413.456978228139</v>
      </c>
      <c r="FX23" s="11" t="n">
        <v>0.0534492406384327</v>
      </c>
      <c r="FY23" s="11" t="n">
        <v>1</v>
      </c>
      <c r="FZ23" s="11" t="n">
        <v>30</v>
      </c>
      <c r="GA23" s="11" t="n">
        <v>1</v>
      </c>
      <c r="GB23" s="11" t="s">
        <v>576</v>
      </c>
      <c r="GC23" s="11" t="n">
        <v>0.5952880859375</v>
      </c>
      <c r="GD23" s="11" t="n">
        <v>0.6255859375</v>
      </c>
      <c r="GE23" s="11" t="n">
        <v>0.627932422980112</v>
      </c>
      <c r="GF23" s="11" t="n">
        <v>0.628571428571429</v>
      </c>
      <c r="GG23" s="11" t="n">
        <v>0.308928571428571</v>
      </c>
      <c r="GH23" s="11" t="n">
        <v>0.314285714285714</v>
      </c>
      <c r="GI23" s="11" t="n">
        <v>0.0242801789994701</v>
      </c>
      <c r="GJ23" s="11" t="n">
        <v>0.0368408475425981</v>
      </c>
      <c r="GK23" s="11" t="n">
        <v>0.0345180122960923</v>
      </c>
      <c r="GL23" s="11" t="n">
        <v>0.0413962311488355</v>
      </c>
      <c r="GM23" s="11" t="n">
        <v>0.0473118875596507</v>
      </c>
      <c r="GN23" s="11" t="n">
        <v>0.0442857545812114</v>
      </c>
      <c r="GO23" s="11" t="n">
        <v>0.627678571428571</v>
      </c>
      <c r="GP23" s="11" t="n">
        <v>0.628571428571429</v>
      </c>
      <c r="GQ23" s="11" t="n">
        <v>-0.04499501734972</v>
      </c>
      <c r="GR23" s="11" t="n">
        <v>0</v>
      </c>
      <c r="GS23" s="11" t="n">
        <v>1</v>
      </c>
      <c r="GT23" s="11" t="n">
        <v>0</v>
      </c>
      <c r="GU23" s="11" t="n">
        <v>0</v>
      </c>
      <c r="GV23" s="11" t="n">
        <v>1</v>
      </c>
      <c r="GW23" s="11" t="n">
        <v>1</v>
      </c>
      <c r="GX23" s="11" t="n">
        <v>1</v>
      </c>
      <c r="GY23" s="11" t="n">
        <v>1</v>
      </c>
      <c r="GZ23" s="11" t="n">
        <v>1</v>
      </c>
      <c r="HA23" s="11" t="n">
        <v>1</v>
      </c>
      <c r="HB23" s="11" t="n">
        <v>0</v>
      </c>
      <c r="HC23" s="11" t="n">
        <v>1</v>
      </c>
      <c r="HD23" s="11" t="n">
        <v>0</v>
      </c>
      <c r="HE23" s="11" t="n">
        <v>0</v>
      </c>
      <c r="HF23" s="11" t="n">
        <v>1</v>
      </c>
      <c r="HG23" s="11" t="n">
        <v>1</v>
      </c>
      <c r="HH23" s="11" t="n">
        <v>1</v>
      </c>
      <c r="HI23" s="11" t="n">
        <v>0</v>
      </c>
      <c r="HJ23" s="11" t="n">
        <v>0</v>
      </c>
      <c r="HK23" s="11" t="s">
        <v>721</v>
      </c>
      <c r="HL23" s="11" t="s">
        <v>577</v>
      </c>
      <c r="HM23" s="11" t="n">
        <v>1</v>
      </c>
      <c r="HN23" s="11" t="s">
        <v>10</v>
      </c>
      <c r="HO23" s="11" t="s">
        <v>578</v>
      </c>
      <c r="HP23" s="11" t="s">
        <v>578</v>
      </c>
      <c r="HQ23" s="11" t="n">
        <v>0</v>
      </c>
      <c r="HR23" s="11" t="s">
        <v>189</v>
      </c>
      <c r="HS23" s="11" t="s">
        <v>579</v>
      </c>
      <c r="HT23" s="11" t="s">
        <v>579</v>
      </c>
      <c r="HU23" s="11" t="s">
        <v>722</v>
      </c>
      <c r="HV23" s="11" t="s">
        <v>722</v>
      </c>
      <c r="HW23" s="11" t="s">
        <v>723</v>
      </c>
      <c r="HX23" s="11" t="s">
        <v>724</v>
      </c>
      <c r="HY23" s="11" t="s">
        <v>583</v>
      </c>
      <c r="HZ23" s="11" t="s">
        <v>725</v>
      </c>
      <c r="IA23" s="11" t="s">
        <v>719</v>
      </c>
      <c r="IB23" s="11" t="s">
        <v>726</v>
      </c>
      <c r="IC23" s="11" t="s">
        <v>247</v>
      </c>
      <c r="ID23" s="11" t="s">
        <v>727</v>
      </c>
      <c r="IE23" s="11"/>
      <c r="IF23" s="11"/>
      <c r="IG23" s="11"/>
      <c r="IH23" s="11"/>
    </row>
    <row r="24" customFormat="false" ht="15" hidden="false" customHeight="false" outlineLevel="0" collapsed="false">
      <c r="A24" s="11" t="s">
        <v>93</v>
      </c>
      <c r="B24" s="11" t="s">
        <v>728</v>
      </c>
      <c r="C24" s="11" t="s">
        <v>588</v>
      </c>
      <c r="D24" s="11" t="s">
        <v>570</v>
      </c>
      <c r="E24" s="11" t="s">
        <v>91</v>
      </c>
      <c r="F24" s="11"/>
      <c r="G24" s="11"/>
      <c r="H24" s="11" t="s">
        <v>729</v>
      </c>
      <c r="I24" s="11" t="s">
        <v>246</v>
      </c>
      <c r="J24" s="11" t="n">
        <v>105</v>
      </c>
      <c r="K24" s="11" t="n">
        <v>3.5</v>
      </c>
      <c r="L24" s="11" t="n">
        <v>0.664881408214569</v>
      </c>
      <c r="M24" s="11" t="n">
        <v>0.851842403411865</v>
      </c>
      <c r="N24" s="11" t="n">
        <v>0</v>
      </c>
      <c r="O24" s="11" t="n">
        <v>1.83692885897859</v>
      </c>
      <c r="P24" s="11" t="n">
        <v>1.83345772740395</v>
      </c>
      <c r="Q24" s="11" t="n">
        <v>0.529580597812696</v>
      </c>
      <c r="R24" s="11" t="n">
        <v>0.476190476190476</v>
      </c>
      <c r="S24" s="11" t="n">
        <v>0.295238095238095</v>
      </c>
      <c r="T24" s="11" t="n">
        <v>0.0666666666666667</v>
      </c>
      <c r="U24" s="11" t="n">
        <v>0.0285714285714286</v>
      </c>
      <c r="V24" s="11" t="n">
        <v>0</v>
      </c>
      <c r="W24" s="11" t="n">
        <v>0.428571428571429</v>
      </c>
      <c r="X24" s="11" t="n">
        <v>0.171428571428571</v>
      </c>
      <c r="Y24" s="11" t="n">
        <v>0.190476190476191</v>
      </c>
      <c r="Z24" s="11" t="n">
        <v>0.266666666666667</v>
      </c>
      <c r="AA24" s="11" t="n">
        <v>0.238095238095238</v>
      </c>
      <c r="AB24" s="11" t="n">
        <v>0.161904761904762</v>
      </c>
      <c r="AC24" s="11" t="n">
        <v>-0.00363033264600165</v>
      </c>
      <c r="AD24" s="11" t="n">
        <v>-0.0149944369507045</v>
      </c>
      <c r="AE24" s="11" t="n">
        <v>0.557377049180328</v>
      </c>
      <c r="AF24" s="11" t="n">
        <v>0.459016393442623</v>
      </c>
      <c r="AG24" s="11" t="n">
        <v>0.278688524590164</v>
      </c>
      <c r="AH24" s="11" t="n">
        <v>0.257142857142857</v>
      </c>
      <c r="AI24" s="11" t="n">
        <v>0.238095238095238</v>
      </c>
      <c r="AJ24" s="11" t="n">
        <v>0.161904761904762</v>
      </c>
      <c r="AK24" s="11" t="n">
        <v>0.273267156276768</v>
      </c>
      <c r="AL24" s="11" t="n">
        <v>0</v>
      </c>
      <c r="AM24" s="11" t="n">
        <v>0</v>
      </c>
      <c r="AN24" s="11" t="n">
        <v>0</v>
      </c>
      <c r="AO24" s="11"/>
      <c r="AP24" s="11"/>
      <c r="AQ24" s="11"/>
      <c r="AR24" s="11" t="n">
        <v>0</v>
      </c>
      <c r="AS24" s="11" t="n">
        <v>0</v>
      </c>
      <c r="AT24" s="11" t="n">
        <v>0</v>
      </c>
      <c r="AU24" s="11" t="n">
        <v>0</v>
      </c>
      <c r="AV24" s="11" t="n">
        <v>0</v>
      </c>
      <c r="AW24" s="11" t="n">
        <v>0</v>
      </c>
      <c r="AX24" s="11" t="n">
        <v>0</v>
      </c>
      <c r="AY24" s="11" t="n">
        <v>0.0114055155427859</v>
      </c>
      <c r="AZ24" s="11" t="n">
        <v>0.0394729140636328</v>
      </c>
      <c r="BA24" s="11"/>
      <c r="BB24" s="11" t="n">
        <v>0.219047619047619</v>
      </c>
      <c r="BC24" s="11" t="n">
        <v>0.59047619047619</v>
      </c>
      <c r="BD24" s="11" t="n">
        <v>0.285714285714286</v>
      </c>
      <c r="BE24" s="11" t="n">
        <v>0.59047619047619</v>
      </c>
      <c r="BF24" s="11" t="n">
        <v>0.361904761904762</v>
      </c>
      <c r="BG24" s="11" t="n">
        <v>0.60952380952381</v>
      </c>
      <c r="BH24" s="11" t="n">
        <v>0.428571428571429</v>
      </c>
      <c r="BI24" s="11" t="n">
        <v>0.60952380952381</v>
      </c>
      <c r="BJ24" s="11" t="n">
        <v>0.254098252736279</v>
      </c>
      <c r="BK24" s="11" t="n">
        <v>0.102573514879887</v>
      </c>
      <c r="BL24" s="11" t="n">
        <v>0.290657832300366</v>
      </c>
      <c r="BM24" s="11" t="n">
        <v>0.0695093153043051</v>
      </c>
      <c r="BN24" s="11" t="n">
        <v>0.649979817945839</v>
      </c>
      <c r="BO24" s="11" t="n">
        <v>0.34210305128721</v>
      </c>
      <c r="BP24" s="11" t="n">
        <v>0.0358958206659565</v>
      </c>
      <c r="BQ24" s="11" t="n">
        <v>0.0242270572039286</v>
      </c>
      <c r="BR24" s="11" t="n">
        <v>4.89769033112137</v>
      </c>
      <c r="BS24" s="11" t="n">
        <v>21.9954221967991</v>
      </c>
      <c r="BT24" s="11" t="n">
        <v>24.540980335146</v>
      </c>
      <c r="BU24" s="11" t="n">
        <v>25.4098252736279</v>
      </c>
      <c r="BV24" s="11" t="n">
        <v>16.6534670721954</v>
      </c>
      <c r="BW24" s="11" t="n">
        <v>16.6015372371854</v>
      </c>
      <c r="BX24" s="11" t="n">
        <v>5.98483804739047</v>
      </c>
      <c r="BY24" s="11" t="n">
        <v>19.6985548560412</v>
      </c>
      <c r="BZ24" s="11" t="n">
        <v>0.533333333333333</v>
      </c>
      <c r="CA24" s="11" t="n">
        <v>0.696428571428571</v>
      </c>
      <c r="CB24" s="11" t="n">
        <v>0.25</v>
      </c>
      <c r="CC24" s="11" t="n">
        <v>0.285714285714286</v>
      </c>
      <c r="CD24" s="11" t="n">
        <v>0.410714285714286</v>
      </c>
      <c r="CE24" s="11" t="n">
        <v>0.561904761904762</v>
      </c>
      <c r="CF24" s="11" t="n">
        <v>5</v>
      </c>
      <c r="CG24" s="11" t="n">
        <v>3</v>
      </c>
      <c r="CH24" s="11" t="n">
        <v>0.711864406779661</v>
      </c>
      <c r="CI24" s="11" t="n">
        <v>0.288135593220339</v>
      </c>
      <c r="CJ24" s="11" t="n">
        <v>0.423728813559322</v>
      </c>
      <c r="CK24" s="11" t="n">
        <v>0.122448979591837</v>
      </c>
      <c r="CL24" s="11" t="n">
        <v>0.0816326530612245</v>
      </c>
      <c r="CM24" s="11" t="n">
        <v>0.0816326530612245</v>
      </c>
      <c r="CN24" s="11" t="n">
        <v>0.102040816326531</v>
      </c>
      <c r="CO24" s="11" t="n">
        <v>0</v>
      </c>
      <c r="CP24" s="11" t="n">
        <v>0</v>
      </c>
      <c r="CQ24" s="11" t="n">
        <v>0</v>
      </c>
      <c r="CR24" s="11" t="n">
        <v>0</v>
      </c>
      <c r="CS24" s="11" t="n">
        <v>0.1</v>
      </c>
      <c r="CT24" s="11" t="n">
        <v>0.1</v>
      </c>
      <c r="CU24" s="11" t="n">
        <v>0.1</v>
      </c>
      <c r="CV24" s="11" t="n">
        <v>0.1</v>
      </c>
      <c r="CW24" s="11" t="n">
        <v>0.125</v>
      </c>
      <c r="CX24" s="11" t="n">
        <v>0.0535714285714286</v>
      </c>
      <c r="CY24" s="11" t="n">
        <v>0.00576239438196674</v>
      </c>
      <c r="CZ24" s="11" t="n">
        <v>-0.116961800461562</v>
      </c>
      <c r="DA24" s="11" t="n">
        <v>13.4232318063941</v>
      </c>
      <c r="DB24" s="11" t="n">
        <v>-0.0327385750690792</v>
      </c>
      <c r="DC24" s="11" t="n">
        <v>26.874126178071</v>
      </c>
      <c r="DD24" s="11" t="n">
        <v>0.234830701082472</v>
      </c>
      <c r="DE24" s="11" t="n">
        <v>0.466666666666667</v>
      </c>
      <c r="DF24" s="11" t="n">
        <v>-0.0349727839725862</v>
      </c>
      <c r="DG24" s="11" t="n">
        <v>-0.00115812880623838</v>
      </c>
      <c r="DH24" s="11" t="n">
        <v>-3.38146551663478</v>
      </c>
      <c r="DI24" s="11" t="n">
        <v>255.836450623512</v>
      </c>
      <c r="DJ24" s="11" t="n">
        <v>118.18654013767</v>
      </c>
      <c r="DK24" s="11" t="n">
        <v>35.1176430861866</v>
      </c>
      <c r="DL24" s="11" t="n">
        <v>49.05</v>
      </c>
      <c r="DM24" s="11" t="n">
        <v>0.523809523809524</v>
      </c>
      <c r="DN24" s="11" t="n">
        <v>0.142857142857143</v>
      </c>
      <c r="DO24" s="11" t="n">
        <v>-0.00690155896632708</v>
      </c>
      <c r="DP24" s="11" t="n">
        <v>0</v>
      </c>
      <c r="DQ24" s="11" t="n">
        <v>0.0476190476190476</v>
      </c>
      <c r="DR24" s="11" t="n">
        <v>0.0285714285714286</v>
      </c>
      <c r="DS24" s="11" t="n">
        <v>0.0190476190476191</v>
      </c>
      <c r="DT24" s="11" t="n">
        <v>0</v>
      </c>
      <c r="DU24" s="11" t="n">
        <v>0</v>
      </c>
      <c r="DV24" s="11" t="n">
        <v>5</v>
      </c>
      <c r="DW24" s="11" t="s">
        <v>690</v>
      </c>
      <c r="DX24" s="11" t="n">
        <v>0.195506</v>
      </c>
      <c r="DY24" s="11" t="n">
        <v>0.185074082906892</v>
      </c>
      <c r="DZ24" s="11" t="n">
        <v>0.205937917093108</v>
      </c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 t="n">
        <v>13.1146574944218</v>
      </c>
      <c r="EP24" s="11" t="n">
        <v>112.029804057775</v>
      </c>
      <c r="EQ24" s="11" t="n">
        <v>2565.52995601927</v>
      </c>
      <c r="ER24" s="11" t="n">
        <v>4.69180751480728</v>
      </c>
      <c r="ES24" s="11" t="n">
        <v>4.69180751480728</v>
      </c>
      <c r="ET24" s="11" t="n">
        <v>4.18708594728361</v>
      </c>
      <c r="EU24" s="11" t="n">
        <v>54.0160516840795</v>
      </c>
      <c r="EV24" s="11" t="n">
        <v>54.0160516840795</v>
      </c>
      <c r="EW24" s="11" t="n">
        <v>753.995125039346</v>
      </c>
      <c r="EX24" s="11" t="n">
        <v>874.008816782139</v>
      </c>
      <c r="EY24" s="11" t="n">
        <v>2.37810169831981</v>
      </c>
      <c r="EZ24" s="11" t="n">
        <v>0.639661544980094</v>
      </c>
      <c r="FA24" s="11" t="n">
        <v>0.0494107014181647</v>
      </c>
      <c r="FB24" s="11" t="n">
        <v>0.847619047619048</v>
      </c>
      <c r="FC24" s="11" t="n">
        <v>0</v>
      </c>
      <c r="FD24" s="11" t="n">
        <v>0</v>
      </c>
      <c r="FE24" s="11" t="s">
        <v>574</v>
      </c>
      <c r="FF24" s="11" t="s">
        <v>247</v>
      </c>
      <c r="FG24" s="11" t="n">
        <v>105</v>
      </c>
      <c r="FH24" s="11" t="s">
        <v>575</v>
      </c>
      <c r="FI24" s="11" t="s">
        <v>59</v>
      </c>
      <c r="FJ24" s="11" t="n">
        <v>0.2</v>
      </c>
      <c r="FK24" s="11" t="n">
        <v>0.206565836999018</v>
      </c>
      <c r="FL24" s="11" t="n">
        <v>0.143042270707447</v>
      </c>
      <c r="FM24" s="11" t="n">
        <v>0.00238095238095238</v>
      </c>
      <c r="FN24" s="11" t="n">
        <v>1</v>
      </c>
      <c r="FO24" s="11" t="n">
        <v>0.786123329192044</v>
      </c>
      <c r="FP24" s="11" t="n">
        <v>0.585249049244374</v>
      </c>
      <c r="FQ24" s="11" t="n">
        <v>0.295238095238095</v>
      </c>
      <c r="FR24" s="11" t="n">
        <v>0</v>
      </c>
      <c r="FS24" s="11" t="n">
        <v>0.785403433643297</v>
      </c>
      <c r="FT24" s="11" t="n">
        <v>0.583836816231439</v>
      </c>
      <c r="FU24" s="11" t="n">
        <v>1</v>
      </c>
      <c r="FV24" s="11" t="n">
        <v>14.0661483040647</v>
      </c>
      <c r="FW24" s="11" t="n">
        <v>446.720024337511</v>
      </c>
      <c r="FX24" s="11" t="n">
        <v>0.0693773573871341</v>
      </c>
      <c r="FY24" s="11" t="n">
        <v>1</v>
      </c>
      <c r="FZ24" s="11" t="n">
        <v>30</v>
      </c>
      <c r="GA24" s="11" t="n">
        <v>1</v>
      </c>
      <c r="GB24" s="11" t="s">
        <v>576</v>
      </c>
      <c r="GC24" s="11" t="n">
        <v>0.927763148716518</v>
      </c>
      <c r="GD24" s="11" t="n">
        <v>0.94125744047619</v>
      </c>
      <c r="GE24" s="11" t="n">
        <v>0.942857142857143</v>
      </c>
      <c r="GF24" s="11" t="n">
        <v>0.942857142857143</v>
      </c>
      <c r="GG24" s="11" t="n">
        <v>0</v>
      </c>
      <c r="GH24" s="11" t="n">
        <v>0</v>
      </c>
      <c r="GI24" s="11" t="n">
        <v>0.0556497023234399</v>
      </c>
      <c r="GJ24" s="11" t="n">
        <v>0.0767341125579107</v>
      </c>
      <c r="GK24" s="11" t="n">
        <v>0.0714806019541129</v>
      </c>
      <c r="GL24" s="11" t="n">
        <v>0.0814778165891767</v>
      </c>
      <c r="GM24" s="11" t="n">
        <v>0.000905718151702894</v>
      </c>
      <c r="GN24" s="11" t="n">
        <v>3.95275295886677E-005</v>
      </c>
      <c r="GO24" s="11" t="n">
        <v>0.942857142857143</v>
      </c>
      <c r="GP24" s="11" t="n">
        <v>0.942857142857143</v>
      </c>
      <c r="GQ24" s="11" t="n">
        <v>-0.0336191542446613</v>
      </c>
      <c r="GR24" s="11" t="n">
        <v>1</v>
      </c>
      <c r="GS24" s="11" t="n">
        <v>1</v>
      </c>
      <c r="GT24" s="11" t="n">
        <v>0</v>
      </c>
      <c r="GU24" s="11" t="n">
        <v>0</v>
      </c>
      <c r="GV24" s="11" t="n">
        <v>1</v>
      </c>
      <c r="GW24" s="11" t="n">
        <v>1</v>
      </c>
      <c r="GX24" s="11" t="n">
        <v>1</v>
      </c>
      <c r="GY24" s="11" t="n">
        <v>1</v>
      </c>
      <c r="GZ24" s="11" t="n">
        <v>1</v>
      </c>
      <c r="HA24" s="11" t="n">
        <v>1</v>
      </c>
      <c r="HB24" s="11" t="n">
        <v>0</v>
      </c>
      <c r="HC24" s="11" t="n">
        <v>1</v>
      </c>
      <c r="HD24" s="11" t="n">
        <v>0</v>
      </c>
      <c r="HE24" s="11" t="n">
        <v>0</v>
      </c>
      <c r="HF24" s="11" t="n">
        <v>1</v>
      </c>
      <c r="HG24" s="11" t="n">
        <v>0</v>
      </c>
      <c r="HH24" s="11" t="n">
        <v>1</v>
      </c>
      <c r="HI24" s="11" t="n">
        <v>0</v>
      </c>
      <c r="HJ24" s="11" t="n">
        <v>0</v>
      </c>
      <c r="HK24" s="11" t="s">
        <v>730</v>
      </c>
      <c r="HL24" s="11" t="s">
        <v>577</v>
      </c>
      <c r="HM24" s="11" t="n">
        <v>1</v>
      </c>
      <c r="HN24" s="11" t="s">
        <v>591</v>
      </c>
      <c r="HO24" s="11" t="s">
        <v>578</v>
      </c>
      <c r="HP24" s="11" t="s">
        <v>578</v>
      </c>
      <c r="HQ24" s="11" t="n">
        <v>0</v>
      </c>
      <c r="HR24" s="11" t="s">
        <v>189</v>
      </c>
      <c r="HS24" s="11" t="s">
        <v>249</v>
      </c>
      <c r="HT24" s="11" t="s">
        <v>249</v>
      </c>
      <c r="HU24" s="11" t="s">
        <v>731</v>
      </c>
      <c r="HV24" s="11" t="s">
        <v>731</v>
      </c>
      <c r="HW24" s="11" t="s">
        <v>732</v>
      </c>
      <c r="HX24" s="11" t="s">
        <v>724</v>
      </c>
      <c r="HY24" s="11" t="s">
        <v>583</v>
      </c>
      <c r="HZ24" s="11" t="s">
        <v>733</v>
      </c>
      <c r="IA24" s="11" t="s">
        <v>729</v>
      </c>
      <c r="IB24" s="11" t="s">
        <v>734</v>
      </c>
      <c r="IC24" s="11" t="s">
        <v>247</v>
      </c>
      <c r="ID24" s="11" t="s">
        <v>727</v>
      </c>
      <c r="IE24" s="11"/>
      <c r="IF24" s="11"/>
      <c r="IG24" s="11"/>
      <c r="IH24" s="11"/>
    </row>
    <row r="25" customFormat="false" ht="15" hidden="false" customHeight="false" outlineLevel="0" collapsed="false">
      <c r="A25" s="11" t="s">
        <v>94</v>
      </c>
      <c r="B25" s="11" t="s">
        <v>735</v>
      </c>
      <c r="C25" s="11" t="s">
        <v>569</v>
      </c>
      <c r="D25" s="11" t="s">
        <v>570</v>
      </c>
      <c r="E25" s="11" t="s">
        <v>51</v>
      </c>
      <c r="F25" s="11"/>
      <c r="G25" s="11"/>
      <c r="H25" s="11" t="s">
        <v>736</v>
      </c>
      <c r="I25" s="11" t="s">
        <v>737</v>
      </c>
      <c r="J25" s="11" t="n">
        <v>115</v>
      </c>
      <c r="K25" s="11" t="n">
        <v>3.83333333333333</v>
      </c>
      <c r="L25" s="11" t="n">
        <v>0.762262403964996</v>
      </c>
      <c r="M25" s="11" t="n">
        <v>0.833678960800171</v>
      </c>
      <c r="N25" s="11" t="n">
        <v>0</v>
      </c>
      <c r="O25" s="11" t="n">
        <v>1.44497287279543</v>
      </c>
      <c r="P25" s="11" t="n">
        <v>1.35103075610223</v>
      </c>
      <c r="Q25" s="11" t="n">
        <v>0.110551699463876</v>
      </c>
      <c r="R25" s="11" t="n">
        <v>0.547826086956522</v>
      </c>
      <c r="S25" s="11" t="n">
        <v>0.28695652173913</v>
      </c>
      <c r="T25" s="11" t="n">
        <v>0.0956521739130435</v>
      </c>
      <c r="U25" s="11" t="n">
        <v>0.0260869565217391</v>
      </c>
      <c r="V25" s="11" t="n">
        <v>0</v>
      </c>
      <c r="W25" s="11" t="n">
        <v>0.6</v>
      </c>
      <c r="X25" s="11" t="n">
        <v>0.260869565217391</v>
      </c>
      <c r="Y25" s="11" t="n">
        <v>0.31304347826087</v>
      </c>
      <c r="Z25" s="11" t="n">
        <v>0.478260869565217</v>
      </c>
      <c r="AA25" s="11" t="n">
        <v>0.28695652173913</v>
      </c>
      <c r="AB25" s="11" t="n">
        <v>0.121739130434783</v>
      </c>
      <c r="AC25" s="11" t="n">
        <v>-0.00279318458622027</v>
      </c>
      <c r="AD25" s="11" t="n">
        <v>-0.00918522675705559</v>
      </c>
      <c r="AE25" s="11" t="n">
        <v>0.523809523809524</v>
      </c>
      <c r="AF25" s="11" t="n">
        <v>0.452380952380952</v>
      </c>
      <c r="AG25" s="11" t="n">
        <v>0.166666666666667</v>
      </c>
      <c r="AH25" s="11" t="n">
        <v>0.339130434782609</v>
      </c>
      <c r="AI25" s="11" t="n">
        <v>0.28695652173913</v>
      </c>
      <c r="AJ25" s="11" t="n">
        <v>0.121739130434783</v>
      </c>
      <c r="AK25" s="11" t="n">
        <v>0.424757652425246</v>
      </c>
      <c r="AL25" s="11" t="n">
        <v>0</v>
      </c>
      <c r="AM25" s="11" t="n">
        <v>0</v>
      </c>
      <c r="AN25" s="11" t="n">
        <v>0</v>
      </c>
      <c r="AO25" s="11"/>
      <c r="AP25" s="11"/>
      <c r="AQ25" s="11"/>
      <c r="AR25" s="11" t="n">
        <v>0</v>
      </c>
      <c r="AS25" s="11" t="n">
        <v>0.530434782608696</v>
      </c>
      <c r="AT25" s="11" t="n">
        <v>0.373913043478261</v>
      </c>
      <c r="AU25" s="11" t="n">
        <v>0.373913043478261</v>
      </c>
      <c r="AV25" s="11" t="n">
        <v>0</v>
      </c>
      <c r="AW25" s="11" t="n">
        <v>0</v>
      </c>
      <c r="AX25" s="11" t="n">
        <v>0</v>
      </c>
      <c r="AY25" s="11" t="n">
        <v>0.00735418801271735</v>
      </c>
      <c r="AZ25" s="11" t="n">
        <v>0.0234050533115644</v>
      </c>
      <c r="BA25" s="11"/>
      <c r="BB25" s="11" t="n">
        <v>0.217391304347826</v>
      </c>
      <c r="BC25" s="11" t="n">
        <v>0.68695652173913</v>
      </c>
      <c r="BD25" s="11" t="n">
        <v>0.408695652173913</v>
      </c>
      <c r="BE25" s="11" t="n">
        <v>0.695652173913043</v>
      </c>
      <c r="BF25" s="11" t="n">
        <v>0.643478260869565</v>
      </c>
      <c r="BG25" s="11" t="n">
        <v>0.71304347826087</v>
      </c>
      <c r="BH25" s="11" t="n">
        <v>0.669565217391304</v>
      </c>
      <c r="BI25" s="11" t="n">
        <v>0.747826086956522</v>
      </c>
      <c r="BJ25" s="11" t="n">
        <v>0.199583537671268</v>
      </c>
      <c r="BK25" s="11" t="n">
        <v>0.354040476138125</v>
      </c>
      <c r="BL25" s="11" t="n">
        <v>0.331994163041961</v>
      </c>
      <c r="BM25" s="11" t="n">
        <v>0.458534528886482</v>
      </c>
      <c r="BN25" s="11" t="n">
        <v>0.550397168609088</v>
      </c>
      <c r="BO25" s="11" t="n">
        <v>0.703556359007432</v>
      </c>
      <c r="BP25" s="11" t="n">
        <v>0.0159485622999913</v>
      </c>
      <c r="BQ25" s="11" t="n">
        <v>0.0245476905189758</v>
      </c>
      <c r="BR25" s="11" t="n">
        <v>4.40383334439119</v>
      </c>
      <c r="BS25" s="11" t="n">
        <v>19.482522254662</v>
      </c>
      <c r="BT25" s="11" t="n">
        <v>24.7870189200085</v>
      </c>
      <c r="BU25" s="11" t="n">
        <v>19.9583537671268</v>
      </c>
      <c r="BV25" s="11" t="n">
        <v>19.0218643652822</v>
      </c>
      <c r="BW25" s="11" t="n">
        <v>15.4854454176395</v>
      </c>
      <c r="BX25" s="11" t="n">
        <v>5.37273284225544</v>
      </c>
      <c r="BY25" s="11" t="n">
        <v>7.04798624983301</v>
      </c>
      <c r="BZ25" s="11" t="n">
        <v>0.660869565217391</v>
      </c>
      <c r="CA25" s="11" t="n">
        <v>0.894736842105263</v>
      </c>
      <c r="CB25" s="11" t="n">
        <v>0.381578947368421</v>
      </c>
      <c r="CC25" s="11" t="n">
        <v>0.460526315789474</v>
      </c>
      <c r="CD25" s="11" t="n">
        <v>0.710526315789474</v>
      </c>
      <c r="CE25" s="11" t="n">
        <v>0.660869565217391</v>
      </c>
      <c r="CF25" s="11" t="n">
        <v>5</v>
      </c>
      <c r="CG25" s="11" t="n">
        <v>0</v>
      </c>
      <c r="CH25" s="11" t="n">
        <v>0.894736842105263</v>
      </c>
      <c r="CI25" s="11" t="n">
        <v>0.460526315789474</v>
      </c>
      <c r="CJ25" s="11" t="n">
        <v>0.710526315789474</v>
      </c>
      <c r="CK25" s="11" t="n">
        <v>0.0256410256410256</v>
      </c>
      <c r="CL25" s="11" t="n">
        <v>0.0256410256410256</v>
      </c>
      <c r="CM25" s="11" t="n">
        <v>0.0256410256410256</v>
      </c>
      <c r="CN25" s="11" t="n">
        <v>0.0256410256410256</v>
      </c>
      <c r="CO25" s="11" t="n">
        <v>0</v>
      </c>
      <c r="CP25" s="11" t="n">
        <v>0</v>
      </c>
      <c r="CQ25" s="11" t="n">
        <v>0</v>
      </c>
      <c r="CR25" s="11" t="n">
        <v>0</v>
      </c>
      <c r="CS25" s="11" t="n">
        <v>0.04</v>
      </c>
      <c r="CT25" s="11" t="n">
        <v>0.04</v>
      </c>
      <c r="CU25" s="11" t="n">
        <v>0.04</v>
      </c>
      <c r="CV25" s="11" t="n">
        <v>0.04</v>
      </c>
      <c r="CW25" s="11" t="n">
        <v>0.144736842105263</v>
      </c>
      <c r="CX25" s="11" t="n">
        <v>0.0394736842105263</v>
      </c>
      <c r="CY25" s="11" t="n">
        <v>-0.00699177275039288</v>
      </c>
      <c r="CZ25" s="11" t="n">
        <v>-0.103958085330081</v>
      </c>
      <c r="DA25" s="11" t="n">
        <v>14.0303870561467</v>
      </c>
      <c r="DB25" s="11" t="n">
        <v>-0.0824326183436874</v>
      </c>
      <c r="DC25" s="11" t="n">
        <v>22.240541905539</v>
      </c>
      <c r="DD25" s="11" t="n">
        <v>0.27041447664148</v>
      </c>
      <c r="DE25" s="11" t="n">
        <v>0.365217391304348</v>
      </c>
      <c r="DF25" s="11" t="n">
        <v>-0.0455661379742527</v>
      </c>
      <c r="DG25" s="11" t="n">
        <v>-0.103027320228992</v>
      </c>
      <c r="DH25" s="11" t="n">
        <v>5.74611822547394</v>
      </c>
      <c r="DI25" s="11" t="n">
        <v>151.761680505535</v>
      </c>
      <c r="DJ25" s="11" t="n">
        <v>68.4928333641376</v>
      </c>
      <c r="DK25" s="11" t="n">
        <v>11.4120681965583</v>
      </c>
      <c r="DL25" s="11" t="n">
        <v>49.05</v>
      </c>
      <c r="DM25" s="11" t="n">
        <v>0.669565217391304</v>
      </c>
      <c r="DN25" s="11" t="n">
        <v>0.669565217391304</v>
      </c>
      <c r="DO25" s="11" t="n">
        <v>-0.015403125924318</v>
      </c>
      <c r="DP25" s="11" t="n">
        <v>0</v>
      </c>
      <c r="DQ25" s="11" t="n">
        <v>0.0347826086956522</v>
      </c>
      <c r="DR25" s="11" t="n">
        <v>0</v>
      </c>
      <c r="DS25" s="11" t="n">
        <v>0</v>
      </c>
      <c r="DT25" s="11" t="n">
        <v>0</v>
      </c>
      <c r="DU25" s="11" t="n">
        <v>0</v>
      </c>
      <c r="DV25" s="11" t="n">
        <v>5</v>
      </c>
      <c r="DW25" s="11" t="s">
        <v>573</v>
      </c>
      <c r="DX25" s="11" t="n">
        <v>0.406307</v>
      </c>
      <c r="DY25" s="11" t="n">
        <v>-0.00300783543345951</v>
      </c>
      <c r="DZ25" s="11" t="n">
        <v>0.815621835433459</v>
      </c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 t="n">
        <v>7.88392882340854</v>
      </c>
      <c r="EP25" s="11" t="n">
        <v>91.6298037546534</v>
      </c>
      <c r="EQ25" s="11" t="n">
        <v>2009.81373578952</v>
      </c>
      <c r="ER25" s="11" t="n">
        <v>4.65052466169584</v>
      </c>
      <c r="ES25" s="11" t="n">
        <v>4.65052466169584</v>
      </c>
      <c r="ET25" s="11" t="n">
        <v>2.67096454172167</v>
      </c>
      <c r="EU25" s="11" t="n">
        <v>66.093352454285</v>
      </c>
      <c r="EV25" s="11" t="n">
        <v>66.093352454285</v>
      </c>
      <c r="EW25" s="11" t="n">
        <v>600.34694748306</v>
      </c>
      <c r="EX25" s="11" t="n">
        <v>643.097855412419</v>
      </c>
      <c r="EY25" s="11" t="n">
        <v>1.40638248189476</v>
      </c>
      <c r="EZ25" s="11" t="n">
        <v>0.589279969876009</v>
      </c>
      <c r="FA25" s="11" t="n">
        <v>0.049822408224241</v>
      </c>
      <c r="FB25" s="11" t="n">
        <v>0.895652173913044</v>
      </c>
      <c r="FC25" s="11" t="n">
        <v>0</v>
      </c>
      <c r="FD25" s="11" t="n">
        <v>0</v>
      </c>
      <c r="FE25" s="11" t="s">
        <v>574</v>
      </c>
      <c r="FF25" s="11" t="s">
        <v>253</v>
      </c>
      <c r="FG25" s="11" t="n">
        <v>115</v>
      </c>
      <c r="FH25" s="11" t="s">
        <v>575</v>
      </c>
      <c r="FI25" s="11" t="s">
        <v>59</v>
      </c>
      <c r="FJ25" s="11" t="n">
        <v>0.2</v>
      </c>
      <c r="FK25" s="11" t="n">
        <v>0.178802693724783</v>
      </c>
      <c r="FL25" s="11" t="n">
        <v>0.0980224618879187</v>
      </c>
      <c r="FM25" s="11" t="n">
        <v>0</v>
      </c>
      <c r="FN25" s="11" t="n">
        <v>1</v>
      </c>
      <c r="FO25" s="11" t="n">
        <v>0.56398444598738</v>
      </c>
      <c r="FP25" s="11" t="n">
        <v>0.457466953156026</v>
      </c>
      <c r="FQ25" s="11" t="n">
        <v>0.33695652173913</v>
      </c>
      <c r="FR25" s="11" t="n">
        <v>0</v>
      </c>
      <c r="FS25" s="11" t="n">
        <v>0.562566948613636</v>
      </c>
      <c r="FT25" s="11" t="n">
        <v>0.456376714837224</v>
      </c>
      <c r="FU25" s="11" t="n">
        <v>1</v>
      </c>
      <c r="FV25" s="11" t="n">
        <v>10.2225252867381</v>
      </c>
      <c r="FW25" s="11" t="n">
        <v>299.634104016249</v>
      </c>
      <c r="FX25" s="11" t="n">
        <v>0.0389267115713808</v>
      </c>
      <c r="FY25" s="11" t="n">
        <v>1</v>
      </c>
      <c r="FZ25" s="11" t="n">
        <v>25</v>
      </c>
      <c r="GA25" s="11" t="n">
        <v>1</v>
      </c>
      <c r="GB25" s="11" t="s">
        <v>576</v>
      </c>
      <c r="GC25" s="11" t="n">
        <v>0.339193592900815</v>
      </c>
      <c r="GD25" s="11" t="n">
        <v>0.355281929347826</v>
      </c>
      <c r="GE25" s="11" t="n">
        <v>0.356569693080129</v>
      </c>
      <c r="GF25" s="11" t="n">
        <v>0.356521739130435</v>
      </c>
      <c r="GG25" s="11" t="n">
        <v>0.590760869565217</v>
      </c>
      <c r="GH25" s="11" t="n">
        <v>0.591304347826087</v>
      </c>
      <c r="GI25" s="11" t="n">
        <v>-0.006403451750141</v>
      </c>
      <c r="GJ25" s="11" t="n">
        <v>0.000763457762482374</v>
      </c>
      <c r="GK25" s="11" t="n">
        <v>-0.000529875078476162</v>
      </c>
      <c r="GL25" s="11" t="n">
        <v>0.00326886067733816</v>
      </c>
      <c r="GM25" s="11" t="n">
        <v>0.398901072842541</v>
      </c>
      <c r="GN25" s="11" t="n">
        <v>0.396503667312367</v>
      </c>
      <c r="GO25" s="11" t="n">
        <v>0.35625</v>
      </c>
      <c r="GP25" s="11" t="n">
        <v>0.356521739130435</v>
      </c>
      <c r="GQ25" s="11" t="n">
        <v>-0.037843644618988</v>
      </c>
      <c r="GR25" s="11" t="n">
        <v>0</v>
      </c>
      <c r="GS25" s="11" t="n">
        <v>1</v>
      </c>
      <c r="GT25" s="11" t="n">
        <v>0</v>
      </c>
      <c r="GU25" s="11" t="n">
        <v>0</v>
      </c>
      <c r="GV25" s="11" t="n">
        <v>1</v>
      </c>
      <c r="GW25" s="11" t="n">
        <v>1</v>
      </c>
      <c r="GX25" s="11" t="n">
        <v>1</v>
      </c>
      <c r="GY25" s="11" t="n">
        <v>1</v>
      </c>
      <c r="GZ25" s="11" t="n">
        <v>1</v>
      </c>
      <c r="HA25" s="11" t="n">
        <v>0</v>
      </c>
      <c r="HB25" s="11" t="n">
        <v>1</v>
      </c>
      <c r="HC25" s="11" t="n">
        <v>1</v>
      </c>
      <c r="HD25" s="11" t="n">
        <v>1</v>
      </c>
      <c r="HE25" s="11" t="n">
        <v>0</v>
      </c>
      <c r="HF25" s="11" t="n">
        <v>1</v>
      </c>
      <c r="HG25" s="11" t="n">
        <v>1</v>
      </c>
      <c r="HH25" s="11" t="n">
        <v>0</v>
      </c>
      <c r="HI25" s="11" t="n">
        <v>0</v>
      </c>
      <c r="HJ25" s="11" t="n">
        <v>0</v>
      </c>
      <c r="HK25" s="11" t="s">
        <v>738</v>
      </c>
      <c r="HL25" s="11" t="s">
        <v>577</v>
      </c>
      <c r="HM25" s="11" t="n">
        <v>1</v>
      </c>
      <c r="HN25" s="11" t="s">
        <v>10</v>
      </c>
      <c r="HO25" s="11" t="s">
        <v>578</v>
      </c>
      <c r="HP25" s="11" t="s">
        <v>578</v>
      </c>
      <c r="HQ25" s="11" t="n">
        <v>0</v>
      </c>
      <c r="HR25" s="11" t="s">
        <v>189</v>
      </c>
      <c r="HS25" s="11" t="s">
        <v>579</v>
      </c>
      <c r="HT25" s="11" t="s">
        <v>579</v>
      </c>
      <c r="HU25" s="11" t="s">
        <v>739</v>
      </c>
      <c r="HV25" s="11" t="s">
        <v>739</v>
      </c>
      <c r="HW25" s="11" t="s">
        <v>740</v>
      </c>
      <c r="HX25" s="11" t="s">
        <v>741</v>
      </c>
      <c r="HY25" s="11" t="s">
        <v>583</v>
      </c>
      <c r="HZ25" s="11" t="s">
        <v>742</v>
      </c>
      <c r="IA25" s="11" t="s">
        <v>736</v>
      </c>
      <c r="IB25" s="11" t="s">
        <v>743</v>
      </c>
      <c r="IC25" s="11" t="s">
        <v>253</v>
      </c>
      <c r="ID25" s="11" t="s">
        <v>744</v>
      </c>
      <c r="IE25" s="11"/>
      <c r="IF25" s="11"/>
      <c r="IG25" s="11"/>
      <c r="IH25" s="11"/>
    </row>
    <row r="26" customFormat="false" ht="15" hidden="false" customHeight="false" outlineLevel="0" collapsed="false">
      <c r="A26" s="11" t="s">
        <v>94</v>
      </c>
      <c r="B26" s="11" t="s">
        <v>745</v>
      </c>
      <c r="C26" s="11" t="s">
        <v>588</v>
      </c>
      <c r="D26" s="11" t="s">
        <v>570</v>
      </c>
      <c r="E26" s="11" t="s">
        <v>51</v>
      </c>
      <c r="F26" s="11"/>
      <c r="G26" s="11"/>
      <c r="H26" s="11" t="s">
        <v>746</v>
      </c>
      <c r="I26" s="11" t="s">
        <v>252</v>
      </c>
      <c r="J26" s="11" t="n">
        <v>115</v>
      </c>
      <c r="K26" s="11" t="n">
        <v>3.83333333333333</v>
      </c>
      <c r="L26" s="11" t="n">
        <v>0.768198311328888</v>
      </c>
      <c r="M26" s="11" t="n">
        <v>0.839641094207764</v>
      </c>
      <c r="N26" s="11" t="n">
        <v>0</v>
      </c>
      <c r="O26" s="11" t="n">
        <v>1.35186203084957</v>
      </c>
      <c r="P26" s="11" t="n">
        <v>1.35145495613099</v>
      </c>
      <c r="Q26" s="11" t="n">
        <v>0.206188075342922</v>
      </c>
      <c r="R26" s="11" t="n">
        <v>0.565217391304348</v>
      </c>
      <c r="S26" s="11" t="n">
        <v>0.330434782608696</v>
      </c>
      <c r="T26" s="11" t="n">
        <v>0.00869565217391304</v>
      </c>
      <c r="U26" s="11" t="n">
        <v>0</v>
      </c>
      <c r="V26" s="11" t="n">
        <v>0</v>
      </c>
      <c r="W26" s="11" t="n">
        <v>0.321739130434783</v>
      </c>
      <c r="X26" s="11" t="n">
        <v>0.304347826086956</v>
      </c>
      <c r="Y26" s="11" t="n">
        <v>0.321739130434783</v>
      </c>
      <c r="Z26" s="11" t="n">
        <v>0.321739130434783</v>
      </c>
      <c r="AA26" s="11" t="n">
        <v>0</v>
      </c>
      <c r="AB26" s="11" t="n">
        <v>0</v>
      </c>
      <c r="AC26" s="11" t="n">
        <v>-0.000685029774203692</v>
      </c>
      <c r="AD26" s="11" t="n">
        <v>-0.00255332502200512</v>
      </c>
      <c r="AE26" s="11" t="n">
        <v>0.0540540540540541</v>
      </c>
      <c r="AF26" s="11" t="n">
        <v>0</v>
      </c>
      <c r="AG26" s="11" t="n">
        <v>0</v>
      </c>
      <c r="AH26" s="11" t="n">
        <v>0.0173913043478261</v>
      </c>
      <c r="AI26" s="11" t="n">
        <v>0</v>
      </c>
      <c r="AJ26" s="11" t="n">
        <v>0</v>
      </c>
      <c r="AK26" s="11" t="n">
        <v>0.433527713012393</v>
      </c>
      <c r="AL26" s="11" t="n">
        <v>0</v>
      </c>
      <c r="AM26" s="11" t="n">
        <v>0</v>
      </c>
      <c r="AN26" s="11" t="n">
        <v>0</v>
      </c>
      <c r="AO26" s="11"/>
      <c r="AP26" s="11"/>
      <c r="AQ26" s="11"/>
      <c r="AR26" s="11" t="n">
        <v>0</v>
      </c>
      <c r="AS26" s="11" t="n">
        <v>0.295652173913043</v>
      </c>
      <c r="AT26" s="11" t="n">
        <v>0.0434782608695652</v>
      </c>
      <c r="AU26" s="11" t="n">
        <v>0.0434782608695652</v>
      </c>
      <c r="AV26" s="11" t="n">
        <v>0</v>
      </c>
      <c r="AW26" s="11" t="n">
        <v>0</v>
      </c>
      <c r="AX26" s="11" t="n">
        <v>0</v>
      </c>
      <c r="AY26" s="11" t="n">
        <v>0.00694823884939391</v>
      </c>
      <c r="AZ26" s="11" t="n">
        <v>0.0220679257441663</v>
      </c>
      <c r="BA26" s="11"/>
      <c r="BB26" s="11" t="n">
        <v>0</v>
      </c>
      <c r="BC26" s="11" t="n">
        <v>0.582608695652174</v>
      </c>
      <c r="BD26" s="11" t="n">
        <v>0.121739130434783</v>
      </c>
      <c r="BE26" s="11" t="n">
        <v>0.617391304347826</v>
      </c>
      <c r="BF26" s="11" t="n">
        <v>0.252173913043478</v>
      </c>
      <c r="BG26" s="11" t="n">
        <v>0.669565217391304</v>
      </c>
      <c r="BH26" s="11" t="n">
        <v>0.626086956521739</v>
      </c>
      <c r="BI26" s="11" t="n">
        <v>0.704347826086957</v>
      </c>
      <c r="BJ26" s="11" t="n">
        <v>0.17606422496037</v>
      </c>
      <c r="BK26" s="11" t="n">
        <v>0.293760590946766</v>
      </c>
      <c r="BL26" s="11" t="n">
        <v>0.158295075734094</v>
      </c>
      <c r="BM26" s="11" t="n">
        <v>0.0614382364538267</v>
      </c>
      <c r="BN26" s="11" t="n">
        <v>0.523213444855337</v>
      </c>
      <c r="BO26" s="11" t="n">
        <v>0.73210533880822</v>
      </c>
      <c r="BP26" s="11" t="n">
        <v>0.0135859477234024</v>
      </c>
      <c r="BQ26" s="11" t="n">
        <v>0.0154913239130777</v>
      </c>
      <c r="BR26" s="11" t="n">
        <v>4.14166394455158</v>
      </c>
      <c r="BS26" s="11" t="n">
        <v>16.737601486575</v>
      </c>
      <c r="BT26" s="11" t="n">
        <v>23.18881869007</v>
      </c>
      <c r="BU26" s="11" t="n">
        <v>17.606422496037</v>
      </c>
      <c r="BV26" s="11" t="n">
        <v>9.06963975726684</v>
      </c>
      <c r="BW26" s="11" t="n">
        <v>12.0342835142705</v>
      </c>
      <c r="BX26" s="11" t="n">
        <v>4.85832700947051</v>
      </c>
      <c r="BY26" s="11" t="n">
        <v>25.3211150482737</v>
      </c>
      <c r="BZ26" s="11" t="n">
        <v>0.660869565217391</v>
      </c>
      <c r="CA26" s="11" t="n">
        <v>0.486842105263158</v>
      </c>
      <c r="CB26" s="11" t="n">
        <v>0.460526315789474</v>
      </c>
      <c r="CC26" s="11" t="n">
        <v>0.486842105263158</v>
      </c>
      <c r="CD26" s="11" t="n">
        <v>0.486842105263158</v>
      </c>
      <c r="CE26" s="11" t="n">
        <v>0.660869565217391</v>
      </c>
      <c r="CF26" s="11" t="n">
        <v>5</v>
      </c>
      <c r="CG26" s="11" t="n">
        <v>0</v>
      </c>
      <c r="CH26" s="11" t="n">
        <v>0.486842105263158</v>
      </c>
      <c r="CI26" s="11" t="n">
        <v>0.486842105263158</v>
      </c>
      <c r="CJ26" s="11" t="n">
        <v>0.486842105263158</v>
      </c>
      <c r="CK26" s="11" t="n">
        <v>0</v>
      </c>
      <c r="CL26" s="11" t="n">
        <v>0</v>
      </c>
      <c r="CM26" s="11" t="n">
        <v>0</v>
      </c>
      <c r="CN26" s="11" t="n">
        <v>0</v>
      </c>
      <c r="CO26" s="11" t="n">
        <v>0</v>
      </c>
      <c r="CP26" s="11" t="n">
        <v>0</v>
      </c>
      <c r="CQ26" s="11" t="n">
        <v>0</v>
      </c>
      <c r="CR26" s="11" t="n">
        <v>0</v>
      </c>
      <c r="CS26" s="11" t="n">
        <v>0</v>
      </c>
      <c r="CT26" s="11" t="n">
        <v>0</v>
      </c>
      <c r="CU26" s="11" t="n">
        <v>0</v>
      </c>
      <c r="CV26" s="11" t="n">
        <v>0</v>
      </c>
      <c r="CW26" s="11" t="n">
        <v>0.0131578947368421</v>
      </c>
      <c r="CX26" s="11" t="n">
        <v>0</v>
      </c>
      <c r="CY26" s="11" t="n">
        <v>0.03272563742022</v>
      </c>
      <c r="CZ26" s="11" t="n">
        <v>-0.0313955011622522</v>
      </c>
      <c r="DA26" s="11" t="n">
        <v>10.0113195529551</v>
      </c>
      <c r="DB26" s="11" t="n">
        <v>-0.0066488900770999</v>
      </c>
      <c r="DC26" s="11" t="n">
        <v>18.7445004730051</v>
      </c>
      <c r="DD26" s="11" t="n">
        <v>0.160006057076103</v>
      </c>
      <c r="DE26" s="11" t="n">
        <v>0.365217391304348</v>
      </c>
      <c r="DF26" s="11" t="n">
        <v>-0.0177978176562203</v>
      </c>
      <c r="DG26" s="11" t="n">
        <v>-0.0383521344492299</v>
      </c>
      <c r="DH26" s="11" t="n">
        <v>2.05543167930097</v>
      </c>
      <c r="DI26" s="11" t="n">
        <v>130.050205349716</v>
      </c>
      <c r="DJ26" s="11" t="n">
        <v>47.3876308701588</v>
      </c>
      <c r="DK26" s="11" t="n">
        <v>34.4978355500797</v>
      </c>
      <c r="DL26" s="11" t="n">
        <v>49.05</v>
      </c>
      <c r="DM26" s="11" t="n">
        <v>0.669565217391304</v>
      </c>
      <c r="DN26" s="11" t="n">
        <v>0.669565217391304</v>
      </c>
      <c r="DO26" s="11" t="n">
        <v>-0.015403125924318</v>
      </c>
      <c r="DP26" s="11" t="n">
        <v>0</v>
      </c>
      <c r="DQ26" s="11" t="n">
        <v>0</v>
      </c>
      <c r="DR26" s="11" t="n">
        <v>0</v>
      </c>
      <c r="DS26" s="11" t="n">
        <v>0</v>
      </c>
      <c r="DT26" s="11" t="n">
        <v>0</v>
      </c>
      <c r="DU26" s="11" t="n">
        <v>0</v>
      </c>
      <c r="DV26" s="11" t="n">
        <v>5</v>
      </c>
      <c r="DW26" s="11" t="s">
        <v>573</v>
      </c>
      <c r="DX26" s="11" t="n">
        <v>0.406307</v>
      </c>
      <c r="DY26" s="11" t="n">
        <v>-0.00300783543345951</v>
      </c>
      <c r="DZ26" s="11" t="n">
        <v>0.815621835433459</v>
      </c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 t="n">
        <v>7.59489032990084</v>
      </c>
      <c r="EP26" s="11" t="n">
        <v>82.3979350189474</v>
      </c>
      <c r="EQ26" s="11" t="n">
        <v>1704.33669456477</v>
      </c>
      <c r="ER26" s="11" t="n">
        <v>4.92548748056611</v>
      </c>
      <c r="ES26" s="11" t="n">
        <v>4.92548748056611</v>
      </c>
      <c r="ET26" s="11" t="n">
        <v>2.04537131425314</v>
      </c>
      <c r="EU26" s="11" t="n">
        <v>103.196911487654</v>
      </c>
      <c r="EV26" s="11" t="n">
        <v>103.196911487654</v>
      </c>
      <c r="EW26" s="11" t="n">
        <v>444.644024524598</v>
      </c>
      <c r="EX26" s="11" t="n">
        <v>602.741150111593</v>
      </c>
      <c r="EY26" s="11" t="n">
        <v>1.31657113112038</v>
      </c>
      <c r="EZ26" s="11" t="n">
        <v>0.948347107045565</v>
      </c>
      <c r="FA26" s="11" t="n">
        <v>0.0498733823083063</v>
      </c>
      <c r="FB26" s="11" t="n">
        <v>0.991304347826087</v>
      </c>
      <c r="FC26" s="11" t="n">
        <v>0</v>
      </c>
      <c r="FD26" s="11" t="n">
        <v>0</v>
      </c>
      <c r="FE26" s="11" t="s">
        <v>574</v>
      </c>
      <c r="FF26" s="11" t="s">
        <v>253</v>
      </c>
      <c r="FG26" s="11" t="n">
        <v>115</v>
      </c>
      <c r="FH26" s="11" t="s">
        <v>575</v>
      </c>
      <c r="FI26" s="11" t="s">
        <v>59</v>
      </c>
      <c r="FJ26" s="11" t="n">
        <v>0.2</v>
      </c>
      <c r="FK26" s="11" t="n">
        <v>0.146545483986073</v>
      </c>
      <c r="FL26" s="11" t="n">
        <v>0.0980337029063247</v>
      </c>
      <c r="FM26" s="11" t="n">
        <v>0</v>
      </c>
      <c r="FN26" s="11" t="n">
        <v>1</v>
      </c>
      <c r="FO26" s="11" t="n">
        <v>0.558005394628955</v>
      </c>
      <c r="FP26" s="11" t="n">
        <v>0.364362503093403</v>
      </c>
      <c r="FQ26" s="11" t="n">
        <v>0.191304347826087</v>
      </c>
      <c r="FR26" s="11" t="n">
        <v>0</v>
      </c>
      <c r="FS26" s="11" t="n">
        <v>0.557769177344562</v>
      </c>
      <c r="FT26" s="11" t="n">
        <v>0.364239176513577</v>
      </c>
      <c r="FU26" s="11" t="n">
        <v>1</v>
      </c>
      <c r="FV26" s="11" t="n">
        <v>8.26956616813298</v>
      </c>
      <c r="FW26" s="11" t="n">
        <v>264.982021156971</v>
      </c>
      <c r="FX26" s="11" t="n">
        <v>0.030318466957396</v>
      </c>
      <c r="FY26" s="11" t="n">
        <v>1</v>
      </c>
      <c r="FZ26" s="11" t="n">
        <v>25</v>
      </c>
      <c r="GA26" s="11" t="n">
        <v>1</v>
      </c>
      <c r="GB26" s="11" t="s">
        <v>576</v>
      </c>
      <c r="GC26" s="11" t="n">
        <v>0.785334313434103</v>
      </c>
      <c r="GD26" s="11" t="n">
        <v>0.820754076086956</v>
      </c>
      <c r="GE26" s="11" t="n">
        <v>0.834119245541312</v>
      </c>
      <c r="GF26" s="11" t="n">
        <v>0.834782608695652</v>
      </c>
      <c r="GG26" s="11" t="n">
        <v>0.112228260869565</v>
      </c>
      <c r="GH26" s="11" t="n">
        <v>0.11304347826087</v>
      </c>
      <c r="GI26" s="11" t="n">
        <v>0.0261702931792926</v>
      </c>
      <c r="GJ26" s="11" t="n">
        <v>0.0350517647178925</v>
      </c>
      <c r="GK26" s="11" t="n">
        <v>0.0331500660686351</v>
      </c>
      <c r="GL26" s="11" t="n">
        <v>0.0376754767226015</v>
      </c>
      <c r="GM26" s="11" t="n">
        <v>0.0358718114619799</v>
      </c>
      <c r="GN26" s="11" t="n">
        <v>0.0308183326057074</v>
      </c>
      <c r="GO26" s="11" t="n">
        <v>0.833695652173913</v>
      </c>
      <c r="GP26" s="11" t="n">
        <v>0.834782608695652</v>
      </c>
      <c r="GQ26" s="11" t="n">
        <v>-0.0399763323366642</v>
      </c>
      <c r="GR26" s="11" t="n">
        <v>0</v>
      </c>
      <c r="GS26" s="11" t="n">
        <v>1</v>
      </c>
      <c r="GT26" s="11" t="n">
        <v>0</v>
      </c>
      <c r="GU26" s="11" t="n">
        <v>0</v>
      </c>
      <c r="GV26" s="11" t="n">
        <v>1</v>
      </c>
      <c r="GW26" s="11" t="n">
        <v>1</v>
      </c>
      <c r="GX26" s="11" t="n">
        <v>0</v>
      </c>
      <c r="GY26" s="11" t="n">
        <v>1</v>
      </c>
      <c r="GZ26" s="11" t="n">
        <v>1</v>
      </c>
      <c r="HA26" s="11" t="n">
        <v>1</v>
      </c>
      <c r="HB26" s="11" t="n">
        <v>1</v>
      </c>
      <c r="HC26" s="11" t="n">
        <v>1</v>
      </c>
      <c r="HD26" s="11" t="n">
        <v>1</v>
      </c>
      <c r="HE26" s="11" t="n">
        <v>0</v>
      </c>
      <c r="HF26" s="11" t="n">
        <v>1</v>
      </c>
      <c r="HG26" s="11" t="n">
        <v>0</v>
      </c>
      <c r="HH26" s="11" t="n">
        <v>0</v>
      </c>
      <c r="HI26" s="11" t="n">
        <v>0</v>
      </c>
      <c r="HJ26" s="11" t="n">
        <v>0</v>
      </c>
      <c r="HK26" s="11" t="s">
        <v>747</v>
      </c>
      <c r="HL26" s="11" t="s">
        <v>577</v>
      </c>
      <c r="HM26" s="11" t="n">
        <v>1</v>
      </c>
      <c r="HN26" s="11" t="s">
        <v>591</v>
      </c>
      <c r="HO26" s="11" t="s">
        <v>578</v>
      </c>
      <c r="HP26" s="11" t="s">
        <v>578</v>
      </c>
      <c r="HQ26" s="11" t="n">
        <v>0</v>
      </c>
      <c r="HR26" s="11" t="s">
        <v>189</v>
      </c>
      <c r="HS26" s="11" t="s">
        <v>249</v>
      </c>
      <c r="HT26" s="11" t="s">
        <v>249</v>
      </c>
      <c r="HU26" s="11" t="s">
        <v>748</v>
      </c>
      <c r="HV26" s="11" t="s">
        <v>748</v>
      </c>
      <c r="HW26" s="11" t="s">
        <v>749</v>
      </c>
      <c r="HX26" s="11" t="s">
        <v>741</v>
      </c>
      <c r="HY26" s="11" t="s">
        <v>583</v>
      </c>
      <c r="HZ26" s="11" t="s">
        <v>750</v>
      </c>
      <c r="IA26" s="11" t="s">
        <v>746</v>
      </c>
      <c r="IB26" s="11" t="s">
        <v>751</v>
      </c>
      <c r="IC26" s="11" t="s">
        <v>253</v>
      </c>
      <c r="ID26" s="11" t="s">
        <v>744</v>
      </c>
      <c r="IE26" s="11"/>
      <c r="IF26" s="11"/>
      <c r="IG26" s="11"/>
      <c r="IH26" s="11"/>
    </row>
    <row r="27" customFormat="false" ht="15" hidden="false" customHeight="false" outlineLevel="0" collapsed="false">
      <c r="A27" s="11" t="s">
        <v>95</v>
      </c>
      <c r="B27" s="11" t="s">
        <v>752</v>
      </c>
      <c r="C27" s="11" t="s">
        <v>569</v>
      </c>
      <c r="D27" s="11" t="s">
        <v>570</v>
      </c>
      <c r="E27" s="11" t="s">
        <v>51</v>
      </c>
      <c r="F27" s="11"/>
      <c r="G27" s="11"/>
      <c r="H27" s="11" t="s">
        <v>753</v>
      </c>
      <c r="I27" s="11" t="s">
        <v>754</v>
      </c>
      <c r="J27" s="11" t="n">
        <v>130</v>
      </c>
      <c r="K27" s="11" t="n">
        <v>4.33333333333333</v>
      </c>
      <c r="L27" s="11" t="n">
        <v>0.750838160514832</v>
      </c>
      <c r="M27" s="11" t="n">
        <v>0.778933048248291</v>
      </c>
      <c r="N27" s="11" t="n">
        <v>0</v>
      </c>
      <c r="O27" s="11" t="n">
        <v>1.982212317306</v>
      </c>
      <c r="P27" s="11" t="n">
        <v>1.80007521616037</v>
      </c>
      <c r="Q27" s="11" t="n">
        <v>0.233599897325162</v>
      </c>
      <c r="R27" s="11" t="n">
        <v>0.576923076923077</v>
      </c>
      <c r="S27" s="11" t="n">
        <v>0.215384615384615</v>
      </c>
      <c r="T27" s="11" t="n">
        <v>0</v>
      </c>
      <c r="U27" s="11" t="n">
        <v>0</v>
      </c>
      <c r="V27" s="11" t="n">
        <v>0</v>
      </c>
      <c r="W27" s="11" t="n">
        <v>0.438461538461539</v>
      </c>
      <c r="X27" s="11" t="n">
        <v>0.184615384615385</v>
      </c>
      <c r="Y27" s="11" t="n">
        <v>0.246153846153846</v>
      </c>
      <c r="Z27" s="11" t="n">
        <v>0.323076923076923</v>
      </c>
      <c r="AA27" s="11" t="n">
        <v>0.192307692307692</v>
      </c>
      <c r="AB27" s="11" t="n">
        <v>0.115384615384615</v>
      </c>
      <c r="AC27" s="11" t="n">
        <v>-0.00314949551303355</v>
      </c>
      <c r="AD27" s="11" t="n">
        <v>-0.00847487216774862</v>
      </c>
      <c r="AE27" s="11" t="n">
        <v>0.576923076923077</v>
      </c>
      <c r="AF27" s="11" t="n">
        <v>0.448717948717949</v>
      </c>
      <c r="AG27" s="11" t="n">
        <v>0.230769230769231</v>
      </c>
      <c r="AH27" s="11" t="n">
        <v>0.253846153846154</v>
      </c>
      <c r="AI27" s="11" t="n">
        <v>0.192307692307692</v>
      </c>
      <c r="AJ27" s="11" t="n">
        <v>0.115384615384615</v>
      </c>
      <c r="AK27" s="11" t="n">
        <v>0.388123221175102</v>
      </c>
      <c r="AL27" s="11" t="n">
        <v>0</v>
      </c>
      <c r="AM27" s="11" t="n">
        <v>0</v>
      </c>
      <c r="AN27" s="11" t="n">
        <v>0</v>
      </c>
      <c r="AO27" s="11"/>
      <c r="AP27" s="11"/>
      <c r="AQ27" s="11"/>
      <c r="AR27" s="11" t="n">
        <v>0</v>
      </c>
      <c r="AS27" s="11" t="n">
        <v>0.3</v>
      </c>
      <c r="AT27" s="11" t="n">
        <v>0.146153846153846</v>
      </c>
      <c r="AU27" s="11" t="n">
        <v>0.146153846153846</v>
      </c>
      <c r="AV27" s="11" t="n">
        <v>0</v>
      </c>
      <c r="AW27" s="11" t="n">
        <v>0</v>
      </c>
      <c r="AX27" s="11" t="n">
        <v>0</v>
      </c>
      <c r="AY27" s="11" t="n">
        <v>0.0077416950598064</v>
      </c>
      <c r="AZ27" s="11" t="n">
        <v>0.0295819551719048</v>
      </c>
      <c r="BA27" s="11"/>
      <c r="BB27" s="11" t="n">
        <v>0.261538461538462</v>
      </c>
      <c r="BC27" s="11" t="n">
        <v>0.584615384615385</v>
      </c>
      <c r="BD27" s="11" t="n">
        <v>0.330769230769231</v>
      </c>
      <c r="BE27" s="11" t="n">
        <v>0.646153846153846</v>
      </c>
      <c r="BF27" s="11" t="n">
        <v>0.546153846153846</v>
      </c>
      <c r="BG27" s="11" t="n">
        <v>0.807692307692308</v>
      </c>
      <c r="BH27" s="11" t="n">
        <v>0.561538461538462</v>
      </c>
      <c r="BI27" s="11" t="n">
        <v>0.838461538461539</v>
      </c>
      <c r="BJ27" s="11" t="n">
        <v>0.248398573868267</v>
      </c>
      <c r="BK27" s="11" t="n">
        <v>0.63949567958205</v>
      </c>
      <c r="BL27" s="11" t="n">
        <v>0.119439633265943</v>
      </c>
      <c r="BM27" s="11" t="n">
        <v>0.0303002783508005</v>
      </c>
      <c r="BN27" s="11" t="n">
        <v>0.434007136270791</v>
      </c>
      <c r="BO27" s="11" t="n">
        <v>0.375608696014203</v>
      </c>
      <c r="BP27" s="11" t="n">
        <v>0.0113521102664697</v>
      </c>
      <c r="BQ27" s="11" t="n">
        <v>0.00479920297076784</v>
      </c>
      <c r="BR27" s="11" t="n">
        <v>3.3068255901233</v>
      </c>
      <c r="BS27" s="11" t="n">
        <v>25.7283001611697</v>
      </c>
      <c r="BT27" s="11" t="n">
        <v>13.3736900715399</v>
      </c>
      <c r="BU27" s="11" t="n">
        <v>24.8398573868267</v>
      </c>
      <c r="BV27" s="11" t="n">
        <v>6.84338689272827</v>
      </c>
      <c r="BW27" s="11" t="n">
        <v>13.554777190064</v>
      </c>
      <c r="BX27" s="11" t="n">
        <v>5.25351404884911</v>
      </c>
      <c r="BY27" s="11" t="n">
        <v>6.90596585178398</v>
      </c>
      <c r="BZ27" s="11" t="n">
        <v>0.569230769230769</v>
      </c>
      <c r="CA27" s="11" t="n">
        <v>0.77027027027027</v>
      </c>
      <c r="CB27" s="11" t="n">
        <v>0.324324324324324</v>
      </c>
      <c r="CC27" s="11" t="n">
        <v>0.432432432432432</v>
      </c>
      <c r="CD27" s="11" t="n">
        <v>0.567567567567568</v>
      </c>
      <c r="CE27" s="11" t="n">
        <v>0.569230769230769</v>
      </c>
      <c r="CF27" s="11" t="n">
        <v>5</v>
      </c>
      <c r="CG27" s="11" t="n">
        <v>0</v>
      </c>
      <c r="CH27" s="11" t="n">
        <v>0.77027027027027</v>
      </c>
      <c r="CI27" s="11" t="n">
        <v>0.432432432432432</v>
      </c>
      <c r="CJ27" s="11" t="n">
        <v>0.567567567567568</v>
      </c>
      <c r="CK27" s="11" t="n">
        <v>0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0</v>
      </c>
      <c r="CS27" s="11" t="n">
        <v>0</v>
      </c>
      <c r="CT27" s="11" t="n">
        <v>0</v>
      </c>
      <c r="CU27" s="11" t="n">
        <v>0</v>
      </c>
      <c r="CV27" s="11" t="n">
        <v>0</v>
      </c>
      <c r="CW27" s="11" t="n">
        <v>0</v>
      </c>
      <c r="CX27" s="11" t="n">
        <v>0</v>
      </c>
      <c r="CY27" s="11" t="n">
        <v>-0.0238030749390268</v>
      </c>
      <c r="CZ27" s="11" t="n">
        <v>-0.122762701901361</v>
      </c>
      <c r="DA27" s="11" t="n">
        <v>11.3742040718126</v>
      </c>
      <c r="DB27" s="11" t="n">
        <v>-0.089162103413502</v>
      </c>
      <c r="DC27" s="11" t="n">
        <v>25.0485234096134</v>
      </c>
      <c r="DD27" s="11" t="n">
        <v>0.273415567912961</v>
      </c>
      <c r="DE27" s="11" t="n">
        <v>0.415384615384615</v>
      </c>
      <c r="DF27" s="11" t="n">
        <v>-0.0382644055439823</v>
      </c>
      <c r="DG27" s="11" t="n">
        <v>-0.127047549913964</v>
      </c>
      <c r="DH27" s="11" t="n">
        <v>8.87831443699818</v>
      </c>
      <c r="DI27" s="11" t="n">
        <v>196.976479678421</v>
      </c>
      <c r="DJ27" s="11" t="n">
        <v>103.840969931465</v>
      </c>
      <c r="DK27" s="11" t="n">
        <v>17.8772085883113</v>
      </c>
      <c r="DL27" s="11" t="n">
        <v>49.05</v>
      </c>
      <c r="DM27" s="11" t="n">
        <v>0.546153846153846</v>
      </c>
      <c r="DN27" s="11" t="n">
        <v>0.507692307692308</v>
      </c>
      <c r="DO27" s="11" t="n">
        <v>-0.0108836328935083</v>
      </c>
      <c r="DP27" s="11" t="n">
        <v>0</v>
      </c>
      <c r="DQ27" s="11" t="n">
        <v>0.0153846153846154</v>
      </c>
      <c r="DR27" s="11" t="n">
        <v>0</v>
      </c>
      <c r="DS27" s="11" t="n">
        <v>0</v>
      </c>
      <c r="DT27" s="11" t="n">
        <v>0</v>
      </c>
      <c r="DU27" s="11" t="n">
        <v>0</v>
      </c>
      <c r="DV27" s="11" t="n">
        <v>5</v>
      </c>
      <c r="DW27" s="11" t="s">
        <v>573</v>
      </c>
      <c r="DX27" s="11" t="n">
        <v>0.406307</v>
      </c>
      <c r="DY27" s="11" t="n">
        <v>0.000675013278046033</v>
      </c>
      <c r="DZ27" s="11" t="n">
        <v>0.811938986721954</v>
      </c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 t="n">
        <v>7.11347160462283</v>
      </c>
      <c r="EP27" s="11" t="n">
        <v>87.8990427074612</v>
      </c>
      <c r="EQ27" s="11" t="n">
        <v>2037.04550239461</v>
      </c>
      <c r="ER27" s="11" t="n">
        <v>4.35790954796739</v>
      </c>
      <c r="ES27" s="11" t="n">
        <v>4.35790954796739</v>
      </c>
      <c r="ET27" s="11" t="n">
        <v>2.26493955856778</v>
      </c>
      <c r="EU27" s="11" t="n">
        <v>50.6319652011902</v>
      </c>
      <c r="EV27" s="11" t="n">
        <v>50.6319652011902</v>
      </c>
      <c r="EW27" s="11" t="n">
        <v>756.595372497702</v>
      </c>
      <c r="EX27" s="11" t="n">
        <v>847.403453160601</v>
      </c>
      <c r="EY27" s="11" t="n">
        <v>1.78612103769288</v>
      </c>
      <c r="EZ27" s="11" t="n">
        <v>1.21131536941238</v>
      </c>
      <c r="FA27" s="11" t="n">
        <v>0.0483181113554034</v>
      </c>
      <c r="FB27" s="11" t="n">
        <v>1</v>
      </c>
      <c r="FC27" s="11" t="n">
        <v>0</v>
      </c>
      <c r="FD27" s="11" t="n">
        <v>0</v>
      </c>
      <c r="FE27" s="11" t="s">
        <v>574</v>
      </c>
      <c r="FF27" s="11" t="s">
        <v>258</v>
      </c>
      <c r="FG27" s="11" t="n">
        <v>130</v>
      </c>
      <c r="FH27" s="11" t="s">
        <v>575</v>
      </c>
      <c r="FI27" s="11" t="s">
        <v>59</v>
      </c>
      <c r="FJ27" s="11" t="n">
        <v>0.2</v>
      </c>
      <c r="FK27" s="11" t="n">
        <v>0.180288630292173</v>
      </c>
      <c r="FL27" s="11" t="n">
        <v>0.0637039801498043</v>
      </c>
      <c r="FM27" s="11" t="n">
        <v>0</v>
      </c>
      <c r="FN27" s="11" t="n">
        <v>1</v>
      </c>
      <c r="FO27" s="11" t="n">
        <v>1.2385952854931</v>
      </c>
      <c r="FP27" s="11" t="n">
        <v>0.774065267602431</v>
      </c>
      <c r="FQ27" s="11" t="n">
        <v>0.344230769230769</v>
      </c>
      <c r="FR27" s="11" t="n">
        <v>0</v>
      </c>
      <c r="FS27" s="11" t="n">
        <v>1.23853383111206</v>
      </c>
      <c r="FT27" s="11" t="n">
        <v>0.774048991642808</v>
      </c>
      <c r="FU27" s="11" t="n">
        <v>1</v>
      </c>
      <c r="FV27" s="11" t="n">
        <v>9.90194677543596</v>
      </c>
      <c r="FW27" s="11" t="n">
        <v>351.164446880051</v>
      </c>
      <c r="FX27" s="11" t="n">
        <v>0.0212556277876916</v>
      </c>
      <c r="FY27" s="11" t="n">
        <v>1</v>
      </c>
      <c r="FZ27" s="11" t="n">
        <v>39</v>
      </c>
      <c r="GA27" s="11" t="n">
        <v>1</v>
      </c>
      <c r="GB27" s="11" t="s">
        <v>576</v>
      </c>
      <c r="GC27" s="11" t="n">
        <v>0.541946645883413</v>
      </c>
      <c r="GD27" s="11" t="n">
        <v>0.568727463942308</v>
      </c>
      <c r="GE27" s="11" t="n">
        <v>0.576930147059074</v>
      </c>
      <c r="GF27" s="11" t="n">
        <v>0.576923076923077</v>
      </c>
      <c r="GG27" s="11" t="n">
        <v>0.376442307692308</v>
      </c>
      <c r="GH27" s="11" t="n">
        <v>0.376923076923077</v>
      </c>
      <c r="GI27" s="11" t="n">
        <v>0.00734043722824516</v>
      </c>
      <c r="GJ27" s="11" t="n">
        <v>0.013981634672158</v>
      </c>
      <c r="GK27" s="11" t="n">
        <v>0.0133528763327068</v>
      </c>
      <c r="GL27" s="11" t="n">
        <v>0.0166692500598191</v>
      </c>
      <c r="GM27" s="11" t="n">
        <v>0.194909421746163</v>
      </c>
      <c r="GN27" s="11" t="n">
        <v>0.189176282748136</v>
      </c>
      <c r="GO27" s="11" t="n">
        <v>0.576923076923077</v>
      </c>
      <c r="GP27" s="11" t="n">
        <v>0.576923076923077</v>
      </c>
      <c r="GQ27" s="11" t="n">
        <v>-0.0499238073825836</v>
      </c>
      <c r="GR27" s="11" t="n">
        <v>0</v>
      </c>
      <c r="GS27" s="11" t="n">
        <v>1</v>
      </c>
      <c r="GT27" s="11" t="n">
        <v>0</v>
      </c>
      <c r="GU27" s="11" t="n">
        <v>0</v>
      </c>
      <c r="GV27" s="11" t="n">
        <v>1</v>
      </c>
      <c r="GW27" s="11" t="n">
        <v>1</v>
      </c>
      <c r="GX27" s="11" t="n">
        <v>1</v>
      </c>
      <c r="GY27" s="11" t="n">
        <v>1</v>
      </c>
      <c r="GZ27" s="11" t="n">
        <v>1</v>
      </c>
      <c r="HA27" s="11" t="n">
        <v>0</v>
      </c>
      <c r="HB27" s="11" t="n">
        <v>0</v>
      </c>
      <c r="HC27" s="11" t="n">
        <v>1</v>
      </c>
      <c r="HD27" s="11" t="n">
        <v>0</v>
      </c>
      <c r="HE27" s="11" t="n">
        <v>1</v>
      </c>
      <c r="HF27" s="11" t="n">
        <v>1</v>
      </c>
      <c r="HG27" s="11" t="n">
        <v>1</v>
      </c>
      <c r="HH27" s="11" t="n">
        <v>0</v>
      </c>
      <c r="HI27" s="11" t="n">
        <v>0</v>
      </c>
      <c r="HJ27" s="11" t="n">
        <v>0</v>
      </c>
      <c r="HK27" s="11" t="s">
        <v>755</v>
      </c>
      <c r="HL27" s="11" t="s">
        <v>577</v>
      </c>
      <c r="HM27" s="11" t="n">
        <v>1</v>
      </c>
      <c r="HN27" s="11" t="s">
        <v>10</v>
      </c>
      <c r="HO27" s="11" t="s">
        <v>578</v>
      </c>
      <c r="HP27" s="11" t="s">
        <v>578</v>
      </c>
      <c r="HQ27" s="11" t="n">
        <v>0</v>
      </c>
      <c r="HR27" s="11" t="s">
        <v>189</v>
      </c>
      <c r="HS27" s="11" t="s">
        <v>579</v>
      </c>
      <c r="HT27" s="11" t="s">
        <v>579</v>
      </c>
      <c r="HU27" s="11" t="s">
        <v>756</v>
      </c>
      <c r="HV27" s="11" t="s">
        <v>756</v>
      </c>
      <c r="HW27" s="11" t="s">
        <v>757</v>
      </c>
      <c r="HX27" s="11" t="s">
        <v>758</v>
      </c>
      <c r="HY27" s="11" t="s">
        <v>583</v>
      </c>
      <c r="HZ27" s="11" t="s">
        <v>759</v>
      </c>
      <c r="IA27" s="11" t="s">
        <v>753</v>
      </c>
      <c r="IB27" s="11" t="s">
        <v>760</v>
      </c>
      <c r="IC27" s="11" t="s">
        <v>258</v>
      </c>
      <c r="ID27" s="11" t="s">
        <v>761</v>
      </c>
      <c r="IE27" s="11"/>
      <c r="IF27" s="11"/>
      <c r="IG27" s="11"/>
      <c r="IH27" s="11"/>
    </row>
    <row r="28" customFormat="false" ht="15" hidden="false" customHeight="false" outlineLevel="0" collapsed="false">
      <c r="A28" s="11" t="s">
        <v>95</v>
      </c>
      <c r="B28" s="11" t="s">
        <v>762</v>
      </c>
      <c r="C28" s="11" t="s">
        <v>588</v>
      </c>
      <c r="D28" s="11" t="s">
        <v>570</v>
      </c>
      <c r="E28" s="11" t="s">
        <v>51</v>
      </c>
      <c r="F28" s="11"/>
      <c r="G28" s="11"/>
      <c r="H28" s="11" t="s">
        <v>763</v>
      </c>
      <c r="I28" s="11" t="s">
        <v>257</v>
      </c>
      <c r="J28" s="11" t="n">
        <v>130</v>
      </c>
      <c r="K28" s="11" t="n">
        <v>4.33333333333333</v>
      </c>
      <c r="L28" s="11" t="n">
        <v>0.74838650226593</v>
      </c>
      <c r="M28" s="11" t="n">
        <v>0.780471205711365</v>
      </c>
      <c r="N28" s="11" t="n">
        <v>0</v>
      </c>
      <c r="O28" s="11" t="n">
        <v>1.55265516427016</v>
      </c>
      <c r="P28" s="11" t="n">
        <v>1.81580630748954</v>
      </c>
      <c r="Q28" s="11" t="n">
        <v>0.313372547294492</v>
      </c>
      <c r="R28" s="11" t="n">
        <v>0.476923076923077</v>
      </c>
      <c r="S28" s="11" t="n">
        <v>0.107692307692308</v>
      </c>
      <c r="T28" s="11" t="n">
        <v>0.0230769230769231</v>
      </c>
      <c r="U28" s="11" t="n">
        <v>0.00769230769230769</v>
      </c>
      <c r="V28" s="11" t="n">
        <v>0</v>
      </c>
      <c r="W28" s="11" t="n">
        <v>0.446153846153846</v>
      </c>
      <c r="X28" s="11" t="n">
        <v>0.215384615384615</v>
      </c>
      <c r="Y28" s="11" t="n">
        <v>0.246153846153846</v>
      </c>
      <c r="Z28" s="11" t="n">
        <v>0.338461538461538</v>
      </c>
      <c r="AA28" s="11" t="n">
        <v>0.2</v>
      </c>
      <c r="AB28" s="11" t="n">
        <v>0.107692307692308</v>
      </c>
      <c r="AC28" s="11" t="n">
        <v>-0.00291715896487131</v>
      </c>
      <c r="AD28" s="11" t="n">
        <v>-0.00750182025383473</v>
      </c>
      <c r="AE28" s="11" t="n">
        <v>0.529411764705882</v>
      </c>
      <c r="AF28" s="11" t="n">
        <v>0.447058823529412</v>
      </c>
      <c r="AG28" s="11" t="n">
        <v>0.164705882352941</v>
      </c>
      <c r="AH28" s="11" t="n">
        <v>0.230769230769231</v>
      </c>
      <c r="AI28" s="11" t="n">
        <v>0.2</v>
      </c>
      <c r="AJ28" s="11" t="n">
        <v>0.107692307692308</v>
      </c>
      <c r="AK28" s="11" t="n">
        <v>0.394353568801831</v>
      </c>
      <c r="AL28" s="11" t="n">
        <v>0</v>
      </c>
      <c r="AM28" s="11" t="n">
        <v>0</v>
      </c>
      <c r="AN28" s="11" t="n">
        <v>0</v>
      </c>
      <c r="AO28" s="11"/>
      <c r="AP28" s="11"/>
      <c r="AQ28" s="11"/>
      <c r="AR28" s="11" t="n">
        <v>0</v>
      </c>
      <c r="AS28" s="11" t="n">
        <v>0.184615384615385</v>
      </c>
      <c r="AT28" s="11" t="n">
        <v>0.0769230769230769</v>
      </c>
      <c r="AU28" s="11" t="n">
        <v>0.0769230769230769</v>
      </c>
      <c r="AV28" s="11" t="n">
        <v>0</v>
      </c>
      <c r="AW28" s="11" t="n">
        <v>0</v>
      </c>
      <c r="AX28" s="11" t="n">
        <v>0</v>
      </c>
      <c r="AY28" s="11" t="n">
        <v>0.0084079749520749</v>
      </c>
      <c r="AZ28" s="11" t="n">
        <v>0.0277694970314831</v>
      </c>
      <c r="BA28" s="11"/>
      <c r="BB28" s="11" t="n">
        <v>0.353846153846154</v>
      </c>
      <c r="BC28" s="11" t="n">
        <v>0.623076923076923</v>
      </c>
      <c r="BD28" s="11" t="n">
        <v>0.446153846153846</v>
      </c>
      <c r="BE28" s="11" t="n">
        <v>0.684615384615385</v>
      </c>
      <c r="BF28" s="11" t="n">
        <v>0.569230769230769</v>
      </c>
      <c r="BG28" s="11" t="n">
        <v>0.846153846153846</v>
      </c>
      <c r="BH28" s="11" t="n">
        <v>0.584615384615385</v>
      </c>
      <c r="BI28" s="11" t="n">
        <v>0.892307692307692</v>
      </c>
      <c r="BJ28" s="11" t="n">
        <v>0.199918304703496</v>
      </c>
      <c r="BK28" s="11" t="n">
        <v>0.391644264018759</v>
      </c>
      <c r="BL28" s="11" t="n">
        <v>0.10860273178419</v>
      </c>
      <c r="BM28" s="11" t="n">
        <v>0.0329927765883156</v>
      </c>
      <c r="BN28" s="11" t="n">
        <v>0.412154474942301</v>
      </c>
      <c r="BO28" s="11" t="n">
        <v>0.299546788538023</v>
      </c>
      <c r="BP28" s="11" t="n">
        <v>0.0107353138334365</v>
      </c>
      <c r="BQ28" s="11" t="n">
        <v>0.00764100747993441</v>
      </c>
      <c r="BR28" s="11" t="n">
        <v>3.15488616374013</v>
      </c>
      <c r="BS28" s="11" t="n">
        <v>20.224377751547</v>
      </c>
      <c r="BT28" s="11" t="n">
        <v>14.8619197187042</v>
      </c>
      <c r="BU28" s="11" t="n">
        <v>19.9918304703496</v>
      </c>
      <c r="BV28" s="11" t="n">
        <v>6.2224781748247</v>
      </c>
      <c r="BW28" s="11" t="n">
        <v>12.5455176298274</v>
      </c>
      <c r="BX28" s="11" t="n">
        <v>4.13994382930517</v>
      </c>
      <c r="BY28" s="11" t="n">
        <v>6.4087308796086</v>
      </c>
      <c r="BZ28" s="11" t="n">
        <v>0.569230769230769</v>
      </c>
      <c r="CA28" s="11" t="n">
        <v>0.77027027027027</v>
      </c>
      <c r="CB28" s="11" t="n">
        <v>0.364864864864865</v>
      </c>
      <c r="CC28" s="11" t="n">
        <v>0.418918918918919</v>
      </c>
      <c r="CD28" s="11" t="n">
        <v>0.581081081081081</v>
      </c>
      <c r="CE28" s="11" t="n">
        <v>0.569230769230769</v>
      </c>
      <c r="CF28" s="11" t="n">
        <v>5</v>
      </c>
      <c r="CG28" s="11" t="n">
        <v>0</v>
      </c>
      <c r="CH28" s="11" t="n">
        <v>0.77027027027027</v>
      </c>
      <c r="CI28" s="11" t="n">
        <v>0.418918918918919</v>
      </c>
      <c r="CJ28" s="11" t="n">
        <v>0.581081081081081</v>
      </c>
      <c r="CK28" s="11" t="n">
        <v>0.0178571428571429</v>
      </c>
      <c r="CL28" s="11" t="n">
        <v>0.0178571428571429</v>
      </c>
      <c r="CM28" s="11" t="n">
        <v>0.0178571428571429</v>
      </c>
      <c r="CN28" s="11" t="n">
        <v>0.0178571428571429</v>
      </c>
      <c r="CO28" s="11" t="n">
        <v>0</v>
      </c>
      <c r="CP28" s="11" t="n">
        <v>0</v>
      </c>
      <c r="CQ28" s="11" t="n">
        <v>0</v>
      </c>
      <c r="CR28" s="11" t="n">
        <v>0</v>
      </c>
      <c r="CS28" s="11" t="n">
        <v>0.0256410256410256</v>
      </c>
      <c r="CT28" s="11" t="n">
        <v>0.0256410256410256</v>
      </c>
      <c r="CU28" s="11" t="n">
        <v>0.0256410256410256</v>
      </c>
      <c r="CV28" s="11" t="n">
        <v>0.0256410256410256</v>
      </c>
      <c r="CW28" s="11" t="n">
        <v>0.0405405405405405</v>
      </c>
      <c r="CX28" s="11" t="n">
        <v>0.0135135135135135</v>
      </c>
      <c r="CY28" s="11" t="n">
        <v>0.0109823721351584</v>
      </c>
      <c r="CZ28" s="11" t="n">
        <v>-0.062489476328461</v>
      </c>
      <c r="DA28" s="11" t="n">
        <v>10.53111809261</v>
      </c>
      <c r="DB28" s="11" t="n">
        <v>-0.0167196388438918</v>
      </c>
      <c r="DC28" s="11" t="n">
        <v>23.0267197835664</v>
      </c>
      <c r="DD28" s="11" t="n">
        <v>0.196171236963555</v>
      </c>
      <c r="DE28" s="11" t="n">
        <v>0.415384615384615</v>
      </c>
      <c r="DF28" s="11" t="n">
        <v>-0.00327800071426996</v>
      </c>
      <c r="DG28" s="11" t="n">
        <v>-0.0174923054171532</v>
      </c>
      <c r="DH28" s="11" t="n">
        <v>1.42143047028832</v>
      </c>
      <c r="DI28" s="11" t="n">
        <v>184.88418836216</v>
      </c>
      <c r="DJ28" s="11" t="n">
        <v>75.9214667976827</v>
      </c>
      <c r="DK28" s="11" t="n">
        <v>13.3041138949885</v>
      </c>
      <c r="DL28" s="11" t="n">
        <v>49.05</v>
      </c>
      <c r="DM28" s="11" t="n">
        <v>0.546153846153846</v>
      </c>
      <c r="DN28" s="11" t="n">
        <v>0.507692307692308</v>
      </c>
      <c r="DO28" s="11" t="n">
        <v>-0.0108836328935083</v>
      </c>
      <c r="DP28" s="11" t="n">
        <v>0</v>
      </c>
      <c r="DQ28" s="11" t="n">
        <v>0</v>
      </c>
      <c r="DR28" s="11" t="n">
        <v>0</v>
      </c>
      <c r="DS28" s="11" t="n">
        <v>0</v>
      </c>
      <c r="DT28" s="11" t="n">
        <v>0</v>
      </c>
      <c r="DU28" s="11" t="n">
        <v>0</v>
      </c>
      <c r="DV28" s="11" t="n">
        <v>5</v>
      </c>
      <c r="DW28" s="11" t="s">
        <v>573</v>
      </c>
      <c r="DX28" s="11" t="n">
        <v>0.406307</v>
      </c>
      <c r="DY28" s="11" t="n">
        <v>0.000675013278046033</v>
      </c>
      <c r="DZ28" s="11" t="n">
        <v>0.811938986721954</v>
      </c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 t="n">
        <v>7.04251091923967</v>
      </c>
      <c r="EP28" s="11" t="n">
        <v>87.9780511644256</v>
      </c>
      <c r="EQ28" s="11" t="n">
        <v>1879.51202392812</v>
      </c>
      <c r="ER28" s="11" t="n">
        <v>4.1742097532738</v>
      </c>
      <c r="ES28" s="11" t="n">
        <v>4.1742097532738</v>
      </c>
      <c r="ET28" s="11" t="n">
        <v>2.35051977155054</v>
      </c>
      <c r="EU28" s="11" t="n">
        <v>50.6796481065655</v>
      </c>
      <c r="EV28" s="11" t="n">
        <v>50.6796481065655</v>
      </c>
      <c r="EW28" s="11" t="n">
        <v>706.777734182757</v>
      </c>
      <c r="EX28" s="11" t="n">
        <v>769.499358032706</v>
      </c>
      <c r="EY28" s="11" t="n">
        <v>1.65387378771896</v>
      </c>
      <c r="EZ28" s="11" t="n">
        <v>1.80489940943849</v>
      </c>
      <c r="FA28" s="11" t="n">
        <v>0.0478729974906009</v>
      </c>
      <c r="FB28" s="11" t="n">
        <v>1</v>
      </c>
      <c r="FC28" s="11" t="n">
        <v>0</v>
      </c>
      <c r="FD28" s="11" t="n">
        <v>0</v>
      </c>
      <c r="FE28" s="11" t="s">
        <v>574</v>
      </c>
      <c r="FF28" s="11" t="s">
        <v>258</v>
      </c>
      <c r="FG28" s="11" t="n">
        <v>130</v>
      </c>
      <c r="FH28" s="11" t="s">
        <v>575</v>
      </c>
      <c r="FI28" s="11" t="s">
        <v>59</v>
      </c>
      <c r="FJ28" s="11" t="n">
        <v>0.2</v>
      </c>
      <c r="FK28" s="11" t="n">
        <v>0.138230484932288</v>
      </c>
      <c r="FL28" s="11" t="n">
        <v>0.0610839336005658</v>
      </c>
      <c r="FM28" s="11" t="n">
        <v>0</v>
      </c>
      <c r="FN28" s="11" t="n">
        <v>1</v>
      </c>
      <c r="FO28" s="11" t="n">
        <v>0.715416207950003</v>
      </c>
      <c r="FP28" s="11" t="n">
        <v>0.555455510817405</v>
      </c>
      <c r="FQ28" s="11" t="n">
        <v>0.278846153846154</v>
      </c>
      <c r="FR28" s="11" t="n">
        <v>0</v>
      </c>
      <c r="FS28" s="11" t="n">
        <v>0.714441036414816</v>
      </c>
      <c r="FT28" s="11" t="n">
        <v>0.555379215243112</v>
      </c>
      <c r="FU28" s="11" t="n">
        <v>1</v>
      </c>
      <c r="FV28" s="11" t="n">
        <v>9.49147984485336</v>
      </c>
      <c r="FW28" s="11" t="n">
        <v>330.004845816431</v>
      </c>
      <c r="FX28" s="11" t="n">
        <v>0.0186473049221163</v>
      </c>
      <c r="FY28" s="11" t="n">
        <v>1</v>
      </c>
      <c r="FZ28" s="11" t="n">
        <v>39</v>
      </c>
      <c r="GA28" s="11" t="n">
        <v>1</v>
      </c>
      <c r="GB28" s="11" t="s">
        <v>576</v>
      </c>
      <c r="GC28" s="11" t="n">
        <v>0.5281494140625</v>
      </c>
      <c r="GD28" s="11" t="n">
        <v>0.546213942307692</v>
      </c>
      <c r="GE28" s="11" t="n">
        <v>0.553853223982151</v>
      </c>
      <c r="GF28" s="11" t="n">
        <v>0.553846153846154</v>
      </c>
      <c r="GG28" s="11" t="n">
        <v>0.399278846153846</v>
      </c>
      <c r="GH28" s="11" t="n">
        <v>0.4</v>
      </c>
      <c r="GI28" s="11" t="n">
        <v>0.00731062273239681</v>
      </c>
      <c r="GJ28" s="11" t="n">
        <v>0.0163687793179773</v>
      </c>
      <c r="GK28" s="11" t="n">
        <v>0.0149607239149759</v>
      </c>
      <c r="GL28" s="11" t="n">
        <v>0.0184731105799214</v>
      </c>
      <c r="GM28" s="11" t="n">
        <v>0.144793888422765</v>
      </c>
      <c r="GN28" s="11" t="n">
        <v>0.141486695064444</v>
      </c>
      <c r="GO28" s="11" t="n">
        <v>0.553846153846154</v>
      </c>
      <c r="GP28" s="11" t="n">
        <v>0.553846153846154</v>
      </c>
      <c r="GQ28" s="11" t="n">
        <v>-0.0537805743515492</v>
      </c>
      <c r="GR28" s="11" t="n">
        <v>0</v>
      </c>
      <c r="GS28" s="11" t="n">
        <v>1</v>
      </c>
      <c r="GT28" s="11" t="n">
        <v>0</v>
      </c>
      <c r="GU28" s="11" t="n">
        <v>0</v>
      </c>
      <c r="GV28" s="11" t="n">
        <v>1</v>
      </c>
      <c r="GW28" s="11" t="n">
        <v>1</v>
      </c>
      <c r="GX28" s="11" t="n">
        <v>1</v>
      </c>
      <c r="GY28" s="11" t="n">
        <v>1</v>
      </c>
      <c r="GZ28" s="11" t="n">
        <v>1</v>
      </c>
      <c r="HA28" s="11" t="n">
        <v>1</v>
      </c>
      <c r="HB28" s="11" t="n">
        <v>1</v>
      </c>
      <c r="HC28" s="11" t="n">
        <v>1</v>
      </c>
      <c r="HD28" s="11" t="n">
        <v>0</v>
      </c>
      <c r="HE28" s="11" t="n">
        <v>1</v>
      </c>
      <c r="HF28" s="11" t="n">
        <v>1</v>
      </c>
      <c r="HG28" s="11" t="n">
        <v>1</v>
      </c>
      <c r="HH28" s="11" t="n">
        <v>1</v>
      </c>
      <c r="HI28" s="11" t="n">
        <v>0</v>
      </c>
      <c r="HJ28" s="11" t="n">
        <v>0</v>
      </c>
      <c r="HK28" s="11" t="s">
        <v>142</v>
      </c>
      <c r="HL28" s="11" t="s">
        <v>577</v>
      </c>
      <c r="HM28" s="11" t="n">
        <v>1</v>
      </c>
      <c r="HN28" s="11" t="s">
        <v>591</v>
      </c>
      <c r="HO28" s="11" t="s">
        <v>578</v>
      </c>
      <c r="HP28" s="11" t="s">
        <v>578</v>
      </c>
      <c r="HQ28" s="11" t="n">
        <v>0</v>
      </c>
      <c r="HR28" s="11" t="s">
        <v>189</v>
      </c>
      <c r="HS28" s="11" t="s">
        <v>249</v>
      </c>
      <c r="HT28" s="11" t="s">
        <v>249</v>
      </c>
      <c r="HU28" s="11" t="s">
        <v>764</v>
      </c>
      <c r="HV28" s="11" t="s">
        <v>764</v>
      </c>
      <c r="HW28" s="11" t="s">
        <v>765</v>
      </c>
      <c r="HX28" s="11" t="s">
        <v>758</v>
      </c>
      <c r="HY28" s="11" t="s">
        <v>583</v>
      </c>
      <c r="HZ28" s="11" t="s">
        <v>766</v>
      </c>
      <c r="IA28" s="11" t="s">
        <v>763</v>
      </c>
      <c r="IB28" s="11" t="s">
        <v>767</v>
      </c>
      <c r="IC28" s="11" t="s">
        <v>258</v>
      </c>
      <c r="ID28" s="11" t="s">
        <v>761</v>
      </c>
      <c r="IE28" s="11"/>
      <c r="IF28" s="11"/>
      <c r="IG28" s="11"/>
      <c r="IH28" s="11"/>
    </row>
    <row r="29" customFormat="false" ht="15" hidden="false" customHeight="false" outlineLevel="0" collapsed="false">
      <c r="A29" s="11" t="s">
        <v>96</v>
      </c>
      <c r="B29" s="11" t="s">
        <v>768</v>
      </c>
      <c r="C29" s="11" t="s">
        <v>569</v>
      </c>
      <c r="D29" s="11" t="s">
        <v>570</v>
      </c>
      <c r="E29" s="11" t="s">
        <v>51</v>
      </c>
      <c r="F29" s="11"/>
      <c r="G29" s="11"/>
      <c r="H29" s="11" t="s">
        <v>769</v>
      </c>
      <c r="I29" s="11" t="s">
        <v>770</v>
      </c>
      <c r="J29" s="11" t="n">
        <v>109</v>
      </c>
      <c r="K29" s="11" t="n">
        <v>3.63333333333333</v>
      </c>
      <c r="L29" s="11" t="n">
        <v>0.71262538433075</v>
      </c>
      <c r="M29" s="11" t="n">
        <v>0.794539749622345</v>
      </c>
      <c r="N29" s="11" t="n">
        <v>0</v>
      </c>
      <c r="O29" s="11" t="n">
        <v>0.886269584524258</v>
      </c>
      <c r="P29" s="11" t="n">
        <v>0.754792310176317</v>
      </c>
      <c r="Q29" s="11" t="n">
        <v>0.139456562695</v>
      </c>
      <c r="R29" s="11" t="n">
        <v>0.642201834862385</v>
      </c>
      <c r="S29" s="11" t="n">
        <v>0.302752293577982</v>
      </c>
      <c r="T29" s="11" t="n">
        <v>0.055045871559633</v>
      </c>
      <c r="U29" s="11" t="n">
        <v>0</v>
      </c>
      <c r="V29" s="11" t="n">
        <v>0</v>
      </c>
      <c r="W29" s="11" t="n">
        <v>0.660550458715596</v>
      </c>
      <c r="X29" s="11" t="n">
        <v>0.256880733944954</v>
      </c>
      <c r="Y29" s="11" t="n">
        <v>0.357798165137615</v>
      </c>
      <c r="Z29" s="11" t="n">
        <v>0.431192660550459</v>
      </c>
      <c r="AA29" s="11" t="n">
        <v>0.302752293577982</v>
      </c>
      <c r="AB29" s="11" t="n">
        <v>0.229357798165138</v>
      </c>
      <c r="AC29" s="11" t="n">
        <v>-0.00332441364311556</v>
      </c>
      <c r="AD29" s="11" t="n">
        <v>-0.0179736248063232</v>
      </c>
      <c r="AE29" s="11" t="n">
        <v>0.494623655913979</v>
      </c>
      <c r="AF29" s="11" t="n">
        <v>0.376344086021505</v>
      </c>
      <c r="AG29" s="11" t="n">
        <v>0.290322580645161</v>
      </c>
      <c r="AH29" s="11" t="n">
        <v>0.403669724770642</v>
      </c>
      <c r="AI29" s="11" t="n">
        <v>0.302752293577982</v>
      </c>
      <c r="AJ29" s="11" t="n">
        <v>0.229357798165138</v>
      </c>
      <c r="AK29" s="11" t="n">
        <v>0.469588796176596</v>
      </c>
      <c r="AL29" s="11" t="n">
        <v>0</v>
      </c>
      <c r="AM29" s="11" t="n">
        <v>0</v>
      </c>
      <c r="AN29" s="11" t="n">
        <v>0</v>
      </c>
      <c r="AO29" s="11"/>
      <c r="AP29" s="11"/>
      <c r="AQ29" s="11"/>
      <c r="AR29" s="11" t="n">
        <v>0</v>
      </c>
      <c r="AS29" s="11" t="n">
        <v>0</v>
      </c>
      <c r="AT29" s="11" t="n">
        <v>0</v>
      </c>
      <c r="AU29" s="11" t="n">
        <v>0</v>
      </c>
      <c r="AV29" s="11" t="n">
        <v>0</v>
      </c>
      <c r="AW29" s="11" t="n">
        <v>0</v>
      </c>
      <c r="AX29" s="11" t="n">
        <v>0</v>
      </c>
      <c r="AY29" s="11" t="n">
        <v>0.00479422103076907</v>
      </c>
      <c r="AZ29" s="11" t="n">
        <v>0.0145194399005318</v>
      </c>
      <c r="BA29" s="11"/>
      <c r="BB29" s="11" t="n">
        <v>0.211009174311927</v>
      </c>
      <c r="BC29" s="11" t="n">
        <v>0.798165137614679</v>
      </c>
      <c r="BD29" s="11" t="n">
        <v>0.339449541284404</v>
      </c>
      <c r="BE29" s="11" t="n">
        <v>0.834862385321101</v>
      </c>
      <c r="BF29" s="11" t="n">
        <v>0.44954128440367</v>
      </c>
      <c r="BG29" s="11" t="n">
        <v>0.935779816513761</v>
      </c>
      <c r="BH29" s="11" t="n">
        <v>0.669724770642202</v>
      </c>
      <c r="BI29" s="11" t="n">
        <v>0.972477064220183</v>
      </c>
      <c r="BJ29" s="11" t="n">
        <v>0.225788363849436</v>
      </c>
      <c r="BK29" s="11" t="n">
        <v>0.537381595574449</v>
      </c>
      <c r="BL29" s="11" t="n">
        <v>0.0868002717072982</v>
      </c>
      <c r="BM29" s="11" t="n">
        <v>0.0152066623816068</v>
      </c>
      <c r="BN29" s="11" t="n">
        <v>0.405847095899889</v>
      </c>
      <c r="BO29" s="11" t="n">
        <v>0.0854995973155848</v>
      </c>
      <c r="BP29" s="11" t="n">
        <v>0.00738546434801061</v>
      </c>
      <c r="BQ29" s="11" t="n">
        <v>0.00252574069322069</v>
      </c>
      <c r="BR29" s="11" t="n">
        <v>3.15411939502744</v>
      </c>
      <c r="BS29" s="11" t="n">
        <v>24.3783548018462</v>
      </c>
      <c r="BT29" s="11" t="n">
        <v>15.1653196954704</v>
      </c>
      <c r="BU29" s="11" t="n">
        <v>22.5788363849436</v>
      </c>
      <c r="BV29" s="11" t="n">
        <v>4.97328922941613</v>
      </c>
      <c r="BW29" s="11" t="n">
        <v>11.0541980159141</v>
      </c>
      <c r="BX29" s="11" t="n">
        <v>5.28661718321716</v>
      </c>
      <c r="BY29" s="11" t="n">
        <v>5.99228813584202</v>
      </c>
      <c r="BZ29" s="11" t="n">
        <v>0.605504587155963</v>
      </c>
      <c r="CA29" s="11" t="n">
        <v>0.939393939393939</v>
      </c>
      <c r="CB29" s="11" t="n">
        <v>0.393939393939394</v>
      </c>
      <c r="CC29" s="11" t="n">
        <v>0.560606060606061</v>
      </c>
      <c r="CD29" s="11" t="n">
        <v>0.681818181818182</v>
      </c>
      <c r="CE29" s="11" t="n">
        <v>0.605504587155963</v>
      </c>
      <c r="CF29" s="11" t="n">
        <v>5</v>
      </c>
      <c r="CG29" s="11" t="n">
        <v>0</v>
      </c>
      <c r="CH29" s="11" t="n">
        <v>0.939393939393939</v>
      </c>
      <c r="CI29" s="11" t="n">
        <v>0.560606060606061</v>
      </c>
      <c r="CJ29" s="11" t="n">
        <v>0.681818181818182</v>
      </c>
      <c r="CK29" s="11" t="n">
        <v>0.232558139534884</v>
      </c>
      <c r="CL29" s="11" t="n">
        <v>0.0465116279069767</v>
      </c>
      <c r="CM29" s="11" t="n">
        <v>0.0465116279069767</v>
      </c>
      <c r="CN29" s="11" t="n">
        <v>0.0465116279069767</v>
      </c>
      <c r="CO29" s="11" t="n">
        <v>0.333333333333333</v>
      </c>
      <c r="CP29" s="11" t="n">
        <v>0.166666666666667</v>
      </c>
      <c r="CQ29" s="11" t="n">
        <v>0.166666666666667</v>
      </c>
      <c r="CR29" s="11" t="n">
        <v>0.166666666666667</v>
      </c>
      <c r="CS29" s="11" t="n">
        <v>0.216216216216216</v>
      </c>
      <c r="CT29" s="11" t="n">
        <v>0.027027027027027</v>
      </c>
      <c r="CU29" s="11" t="n">
        <v>0.027027027027027</v>
      </c>
      <c r="CV29" s="11" t="n">
        <v>0.027027027027027</v>
      </c>
      <c r="CW29" s="11" t="n">
        <v>0.0303030303030303</v>
      </c>
      <c r="CX29" s="11" t="n">
        <v>0</v>
      </c>
      <c r="CY29" s="11" t="n">
        <v>-0.0259125748518128</v>
      </c>
      <c r="CZ29" s="11" t="n">
        <v>-0.119071830257114</v>
      </c>
      <c r="DA29" s="11" t="n">
        <v>9.02934150204329</v>
      </c>
      <c r="DB29" s="11" t="n">
        <v>-0.0992930929422861</v>
      </c>
      <c r="DC29" s="11" t="n">
        <v>10.7747339672707</v>
      </c>
      <c r="DD29" s="11" t="n">
        <v>0.479583102141836</v>
      </c>
      <c r="DE29" s="11" t="n">
        <v>0.394495412844037</v>
      </c>
      <c r="DF29" s="11" t="n">
        <v>-0.0945542637229858</v>
      </c>
      <c r="DG29" s="11" t="n">
        <v>-0.110898333362267</v>
      </c>
      <c r="DH29" s="11" t="n">
        <v>1.63440696392809</v>
      </c>
      <c r="DI29" s="11" t="n">
        <v>105.337306819998</v>
      </c>
      <c r="DJ29" s="11" t="n">
        <v>75.3298340339291</v>
      </c>
      <c r="DK29" s="11" t="n">
        <v>9.92753797873563</v>
      </c>
      <c r="DL29" s="11" t="n">
        <v>49.05</v>
      </c>
      <c r="DM29" s="11" t="n">
        <v>0.614678899082569</v>
      </c>
      <c r="DN29" s="11" t="n">
        <v>0.541284403669725</v>
      </c>
      <c r="DO29" s="11" t="n">
        <v>-0.0173238957319713</v>
      </c>
      <c r="DP29" s="11" t="n">
        <v>0</v>
      </c>
      <c r="DQ29" s="11" t="n">
        <v>0.055045871559633</v>
      </c>
      <c r="DR29" s="11" t="n">
        <v>0.055045871559633</v>
      </c>
      <c r="DS29" s="11" t="n">
        <v>0.0458715596330275</v>
      </c>
      <c r="DT29" s="11" t="n">
        <v>0.0275229357798165</v>
      </c>
      <c r="DU29" s="11" t="n">
        <v>0</v>
      </c>
      <c r="DV29" s="11" t="n">
        <v>5</v>
      </c>
      <c r="DW29" s="11" t="s">
        <v>573</v>
      </c>
      <c r="DX29" s="11" t="n">
        <v>0.406307</v>
      </c>
      <c r="DY29" s="11" t="n">
        <v>0.347799786580023</v>
      </c>
      <c r="DZ29" s="11" t="n">
        <v>0.464814213419977</v>
      </c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 t="n">
        <v>6.82517289215596</v>
      </c>
      <c r="EP29" s="11" t="n">
        <v>67.7780878436115</v>
      </c>
      <c r="EQ29" s="11" t="n">
        <v>1441.49695833818</v>
      </c>
      <c r="ER29" s="11" t="n">
        <v>2.21277447059166</v>
      </c>
      <c r="ES29" s="11" t="n">
        <v>2.21277447059166</v>
      </c>
      <c r="ET29" s="11" t="n">
        <v>1.91272953976355</v>
      </c>
      <c r="EU29" s="11" t="n">
        <v>47.5122720036522</v>
      </c>
      <c r="EV29" s="11" t="n">
        <v>47.5122720036522</v>
      </c>
      <c r="EW29" s="11" t="n">
        <v>337.05032643854</v>
      </c>
      <c r="EX29" s="11" t="n">
        <v>398.563334023564</v>
      </c>
      <c r="EY29" s="11" t="n">
        <v>0.86941931287318</v>
      </c>
      <c r="EZ29" s="11" t="n">
        <v>0.934362108775724</v>
      </c>
      <c r="FA29" s="11" t="n">
        <v>0.0461721122388556</v>
      </c>
      <c r="FB29" s="11" t="n">
        <v>1</v>
      </c>
      <c r="FC29" s="11" t="n">
        <v>0</v>
      </c>
      <c r="FD29" s="11" t="n">
        <v>0</v>
      </c>
      <c r="FE29" s="11" t="s">
        <v>574</v>
      </c>
      <c r="FF29" s="11" t="s">
        <v>263</v>
      </c>
      <c r="FG29" s="11" t="n">
        <v>109</v>
      </c>
      <c r="FH29" s="11" t="s">
        <v>575</v>
      </c>
      <c r="FI29" s="11" t="s">
        <v>59</v>
      </c>
      <c r="FJ29" s="11" t="n">
        <v>0.2</v>
      </c>
      <c r="FK29" s="11" t="n">
        <v>0.110223739128991</v>
      </c>
      <c r="FL29" s="11" t="n">
        <v>0.0621671162196027</v>
      </c>
      <c r="FM29" s="11" t="n">
        <v>0</v>
      </c>
      <c r="FN29" s="11" t="n">
        <v>1</v>
      </c>
      <c r="FO29" s="11" t="n">
        <v>0.556853228116184</v>
      </c>
      <c r="FP29" s="11" t="n">
        <v>0.540918895844927</v>
      </c>
      <c r="FQ29" s="11" t="n">
        <v>0.30045871559633</v>
      </c>
      <c r="FR29" s="11" t="n">
        <v>0</v>
      </c>
      <c r="FS29" s="11" t="n">
        <v>0.556853217338676</v>
      </c>
      <c r="FT29" s="11" t="n">
        <v>0.540913776783638</v>
      </c>
      <c r="FU29" s="11" t="n">
        <v>1</v>
      </c>
      <c r="FV29" s="11" t="n">
        <v>6.31275064276298</v>
      </c>
      <c r="FW29" s="11" t="n">
        <v>186.51719661808</v>
      </c>
      <c r="FX29" s="11" t="n">
        <v>0.0175166608551008</v>
      </c>
      <c r="FY29" s="11" t="n">
        <v>1</v>
      </c>
      <c r="FZ29" s="11" t="n">
        <v>37</v>
      </c>
      <c r="GA29" s="11" t="n">
        <v>1</v>
      </c>
      <c r="GB29" s="11" t="s">
        <v>576</v>
      </c>
      <c r="GC29" s="11" t="n">
        <v>0.930166262005447</v>
      </c>
      <c r="GD29" s="11" t="n">
        <v>0.944757024082569</v>
      </c>
      <c r="GE29" s="11" t="n">
        <v>0.944954128440367</v>
      </c>
      <c r="GF29" s="11" t="n">
        <v>0.944954128440367</v>
      </c>
      <c r="GG29" s="11" t="n">
        <v>0</v>
      </c>
      <c r="GH29" s="11" t="n">
        <v>0</v>
      </c>
      <c r="GI29" s="11" t="n">
        <v>0.0201876385142378</v>
      </c>
      <c r="GJ29" s="11" t="n">
        <v>0.0344763482502157</v>
      </c>
      <c r="GK29" s="11" t="n">
        <v>0.0308292127072182</v>
      </c>
      <c r="GL29" s="11" t="n">
        <v>0.0382316096882344</v>
      </c>
      <c r="GM29" s="11" t="n">
        <v>0.00144243391363699</v>
      </c>
      <c r="GN29" s="11" t="n">
        <v>4.66629637163901E-006</v>
      </c>
      <c r="GO29" s="11" t="n">
        <v>0.944954128440367</v>
      </c>
      <c r="GP29" s="11" t="n">
        <v>0.944954128440367</v>
      </c>
      <c r="GQ29" s="11" t="n">
        <v>-0.0326665379106998</v>
      </c>
      <c r="GR29" s="11" t="n">
        <v>1</v>
      </c>
      <c r="GS29" s="11" t="n">
        <v>1</v>
      </c>
      <c r="GT29" s="11" t="n">
        <v>0</v>
      </c>
      <c r="GU29" s="11" t="n">
        <v>0</v>
      </c>
      <c r="GV29" s="11" t="n">
        <v>1</v>
      </c>
      <c r="GW29" s="11" t="n">
        <v>1</v>
      </c>
      <c r="GX29" s="11" t="n">
        <v>1</v>
      </c>
      <c r="GY29" s="11" t="n">
        <v>1</v>
      </c>
      <c r="GZ29" s="11" t="n">
        <v>0</v>
      </c>
      <c r="HA29" s="11" t="n">
        <v>1</v>
      </c>
      <c r="HB29" s="11" t="n">
        <v>0</v>
      </c>
      <c r="HC29" s="11" t="n">
        <v>1</v>
      </c>
      <c r="HD29" s="11" t="n">
        <v>0</v>
      </c>
      <c r="HE29" s="11" t="n">
        <v>1</v>
      </c>
      <c r="HF29" s="11" t="n">
        <v>1</v>
      </c>
      <c r="HG29" s="11" t="n">
        <v>1</v>
      </c>
      <c r="HH29" s="11" t="n">
        <v>0</v>
      </c>
      <c r="HI29" s="11" t="n">
        <v>0</v>
      </c>
      <c r="HJ29" s="11" t="n">
        <v>0</v>
      </c>
      <c r="HK29" s="11" t="s">
        <v>771</v>
      </c>
      <c r="HL29" s="11" t="s">
        <v>577</v>
      </c>
      <c r="HM29" s="11" t="n">
        <v>1</v>
      </c>
      <c r="HN29" s="11" t="s">
        <v>10</v>
      </c>
      <c r="HO29" s="11" t="s">
        <v>578</v>
      </c>
      <c r="HP29" s="11" t="s">
        <v>578</v>
      </c>
      <c r="HQ29" s="11" t="n">
        <v>0</v>
      </c>
      <c r="HR29" s="11" t="s">
        <v>189</v>
      </c>
      <c r="HS29" s="11" t="s">
        <v>579</v>
      </c>
      <c r="HT29" s="11" t="s">
        <v>579</v>
      </c>
      <c r="HU29" s="11" t="s">
        <v>772</v>
      </c>
      <c r="HV29" s="11" t="s">
        <v>772</v>
      </c>
      <c r="HW29" s="11" t="s">
        <v>773</v>
      </c>
      <c r="HX29" s="11" t="s">
        <v>774</v>
      </c>
      <c r="HY29" s="11" t="s">
        <v>583</v>
      </c>
      <c r="HZ29" s="11" t="s">
        <v>775</v>
      </c>
      <c r="IA29" s="11" t="s">
        <v>769</v>
      </c>
      <c r="IB29" s="11" t="s">
        <v>776</v>
      </c>
      <c r="IC29" s="11" t="s">
        <v>263</v>
      </c>
      <c r="ID29" s="11" t="s">
        <v>777</v>
      </c>
      <c r="IE29" s="11"/>
      <c r="IF29" s="11"/>
      <c r="IG29" s="11"/>
      <c r="IH29" s="11"/>
    </row>
    <row r="30" customFormat="false" ht="15" hidden="false" customHeight="false" outlineLevel="0" collapsed="false">
      <c r="A30" s="11" t="s">
        <v>96</v>
      </c>
      <c r="B30" s="11" t="s">
        <v>778</v>
      </c>
      <c r="C30" s="11" t="s">
        <v>588</v>
      </c>
      <c r="D30" s="11" t="s">
        <v>570</v>
      </c>
      <c r="E30" s="11" t="s">
        <v>51</v>
      </c>
      <c r="F30" s="11"/>
      <c r="G30" s="11"/>
      <c r="H30" s="11" t="s">
        <v>779</v>
      </c>
      <c r="I30" s="11" t="s">
        <v>262</v>
      </c>
      <c r="J30" s="11" t="n">
        <v>109</v>
      </c>
      <c r="K30" s="11" t="n">
        <v>3.63333333333333</v>
      </c>
      <c r="L30" s="11" t="n">
        <v>0.743721961975098</v>
      </c>
      <c r="M30" s="11" t="n">
        <v>0.788987159729004</v>
      </c>
      <c r="N30" s="11" t="n">
        <v>0</v>
      </c>
      <c r="O30" s="11" t="n">
        <v>0.787238521885599</v>
      </c>
      <c r="P30" s="11" t="n">
        <v>0.79677802971816</v>
      </c>
      <c r="Q30" s="11" t="n">
        <v>0.192342549342532</v>
      </c>
      <c r="R30" s="11" t="n">
        <v>0.440366972477064</v>
      </c>
      <c r="S30" s="11" t="n">
        <v>0.348623853211009</v>
      </c>
      <c r="T30" s="11" t="n">
        <v>0.091743119266055</v>
      </c>
      <c r="U30" s="11" t="n">
        <v>0.036697247706422</v>
      </c>
      <c r="V30" s="11" t="n">
        <v>0</v>
      </c>
      <c r="W30" s="11" t="n">
        <v>0.522935779816514</v>
      </c>
      <c r="X30" s="11" t="n">
        <v>0.238532110091743</v>
      </c>
      <c r="Y30" s="11" t="n">
        <v>0.302752293577982</v>
      </c>
      <c r="Z30" s="11" t="n">
        <v>0.477064220183486</v>
      </c>
      <c r="AA30" s="11" t="n">
        <v>0.220183486238532</v>
      </c>
      <c r="AB30" s="11" t="n">
        <v>0.0458715596330275</v>
      </c>
      <c r="AC30" s="11" t="n">
        <v>-0.00274582554825998</v>
      </c>
      <c r="AD30" s="11" t="n">
        <v>-0.0114512165586449</v>
      </c>
      <c r="AE30" s="11" t="n">
        <v>0.543859649122807</v>
      </c>
      <c r="AF30" s="11" t="n">
        <v>0.421052631578947</v>
      </c>
      <c r="AG30" s="11" t="n">
        <v>0.087719298245614</v>
      </c>
      <c r="AH30" s="11" t="n">
        <v>0.284403669724771</v>
      </c>
      <c r="AI30" s="11" t="n">
        <v>0.220183486238532</v>
      </c>
      <c r="AJ30" s="11" t="n">
        <v>0.0458715596330275</v>
      </c>
      <c r="AK30" s="11" t="n">
        <v>0.482960163542738</v>
      </c>
      <c r="AL30" s="11" t="n">
        <v>0</v>
      </c>
      <c r="AM30" s="11" t="n">
        <v>0</v>
      </c>
      <c r="AN30" s="11" t="n">
        <v>0</v>
      </c>
      <c r="AO30" s="11"/>
      <c r="AP30" s="11"/>
      <c r="AQ30" s="11"/>
      <c r="AR30" s="11" t="n">
        <v>0</v>
      </c>
      <c r="AS30" s="11" t="n">
        <v>0</v>
      </c>
      <c r="AT30" s="11" t="n">
        <v>0</v>
      </c>
      <c r="AU30" s="11" t="n">
        <v>0</v>
      </c>
      <c r="AV30" s="11" t="n">
        <v>0</v>
      </c>
      <c r="AW30" s="11" t="n">
        <v>0</v>
      </c>
      <c r="AX30" s="11" t="n">
        <v>0</v>
      </c>
      <c r="AY30" s="11" t="n">
        <v>0.00527386372298306</v>
      </c>
      <c r="AZ30" s="11" t="n">
        <v>0.0149275282450131</v>
      </c>
      <c r="BA30" s="11"/>
      <c r="BB30" s="11" t="n">
        <v>0.311926605504587</v>
      </c>
      <c r="BC30" s="11" t="n">
        <v>0.752293577981651</v>
      </c>
      <c r="BD30" s="11" t="n">
        <v>0.339449541284404</v>
      </c>
      <c r="BE30" s="11" t="n">
        <v>0.871559633027523</v>
      </c>
      <c r="BF30" s="11" t="n">
        <v>0.357798165137615</v>
      </c>
      <c r="BG30" s="11" t="n">
        <v>0.935779816513761</v>
      </c>
      <c r="BH30" s="11" t="n">
        <v>0.412844036697248</v>
      </c>
      <c r="BI30" s="11" t="n">
        <v>0.963302752293578</v>
      </c>
      <c r="BJ30" s="11" t="n">
        <v>0.195019532216655</v>
      </c>
      <c r="BK30" s="11" t="n">
        <v>0.496464037758764</v>
      </c>
      <c r="BL30" s="11" t="n">
        <v>0.148670242536886</v>
      </c>
      <c r="BM30" s="11" t="n">
        <v>0.019935300964656</v>
      </c>
      <c r="BN30" s="11" t="n">
        <v>0.508290054448205</v>
      </c>
      <c r="BO30" s="11" t="n">
        <v>0.125358638339637</v>
      </c>
      <c r="BP30" s="11" t="n">
        <v>0.0139794048918589</v>
      </c>
      <c r="BQ30" s="11" t="n">
        <v>0.00498748539715635</v>
      </c>
      <c r="BR30" s="11" t="n">
        <v>3.95227149921082</v>
      </c>
      <c r="BS30" s="11" t="n">
        <v>22.5959581873205</v>
      </c>
      <c r="BT30" s="11" t="n">
        <v>22.5190653715227</v>
      </c>
      <c r="BU30" s="11" t="n">
        <v>19.5019532216655</v>
      </c>
      <c r="BV30" s="11" t="n">
        <v>8.51817743654942</v>
      </c>
      <c r="BW30" s="11" t="n">
        <v>8.42771227233249</v>
      </c>
      <c r="BX30" s="11" t="n">
        <v>4.43293874668389</v>
      </c>
      <c r="BY30" s="11" t="n">
        <v>9.95441917703526</v>
      </c>
      <c r="BZ30" s="11" t="n">
        <v>0.605504587155963</v>
      </c>
      <c r="CA30" s="11" t="n">
        <v>0.696969696969697</v>
      </c>
      <c r="CB30" s="11" t="n">
        <v>0.272727272727273</v>
      </c>
      <c r="CC30" s="11" t="n">
        <v>0.378787878787879</v>
      </c>
      <c r="CD30" s="11" t="n">
        <v>0.651515151515152</v>
      </c>
      <c r="CE30" s="11" t="n">
        <v>0.605504587155963</v>
      </c>
      <c r="CF30" s="11" t="n">
        <v>5</v>
      </c>
      <c r="CG30" s="11" t="n">
        <v>0</v>
      </c>
      <c r="CH30" s="11" t="n">
        <v>0.696969696969697</v>
      </c>
      <c r="CI30" s="11" t="n">
        <v>0.378787878787879</v>
      </c>
      <c r="CJ30" s="11" t="n">
        <v>0.651515151515152</v>
      </c>
      <c r="CK30" s="11" t="n">
        <v>0.255813953488372</v>
      </c>
      <c r="CL30" s="11" t="n">
        <v>0.186046511627907</v>
      </c>
      <c r="CM30" s="11" t="n">
        <v>0.186046511627907</v>
      </c>
      <c r="CN30" s="11" t="n">
        <v>0.209302325581395</v>
      </c>
      <c r="CO30" s="11" t="n">
        <v>0.333333333333333</v>
      </c>
      <c r="CP30" s="11" t="n">
        <v>0</v>
      </c>
      <c r="CQ30" s="11" t="n">
        <v>0</v>
      </c>
      <c r="CR30" s="11" t="n">
        <v>0</v>
      </c>
      <c r="CS30" s="11" t="n">
        <v>0.243243243243243</v>
      </c>
      <c r="CT30" s="11" t="n">
        <v>0.216216216216216</v>
      </c>
      <c r="CU30" s="11" t="n">
        <v>0.216216216216216</v>
      </c>
      <c r="CV30" s="11" t="n">
        <v>0.243243243243243</v>
      </c>
      <c r="CW30" s="11" t="n">
        <v>0.106060606060606</v>
      </c>
      <c r="CX30" s="11" t="n">
        <v>0.0454545454545455</v>
      </c>
      <c r="CY30" s="11" t="n">
        <v>0.0198804126508103</v>
      </c>
      <c r="CZ30" s="11" t="n">
        <v>-0.0669231687254412</v>
      </c>
      <c r="DA30" s="11" t="n">
        <v>6.17639197153979</v>
      </c>
      <c r="DB30" s="11" t="n">
        <v>-0.0273482436543807</v>
      </c>
      <c r="DC30" s="11" t="n">
        <v>11.1775404140717</v>
      </c>
      <c r="DD30" s="11" t="n">
        <v>0.23442454807004</v>
      </c>
      <c r="DE30" s="11" t="n">
        <v>0.394495412844037</v>
      </c>
      <c r="DF30" s="11" t="n">
        <v>0.0234172688667983</v>
      </c>
      <c r="DG30" s="11" t="n">
        <v>-0.0580615073631352</v>
      </c>
      <c r="DH30" s="11" t="n">
        <v>8.14787762299335</v>
      </c>
      <c r="DI30" s="11" t="n">
        <v>107.469448968007</v>
      </c>
      <c r="DJ30" s="11" t="n">
        <v>39.2305081201118</v>
      </c>
      <c r="DK30" s="11" t="n">
        <v>14.2438419514305</v>
      </c>
      <c r="DL30" s="11" t="n">
        <v>49.05</v>
      </c>
      <c r="DM30" s="11" t="n">
        <v>0.614678899082569</v>
      </c>
      <c r="DN30" s="11" t="n">
        <v>0.541284403669725</v>
      </c>
      <c r="DO30" s="11" t="n">
        <v>-0.0173238957319713</v>
      </c>
      <c r="DP30" s="11" t="n">
        <v>0</v>
      </c>
      <c r="DQ30" s="11" t="n">
        <v>0.018348623853211</v>
      </c>
      <c r="DR30" s="11" t="n">
        <v>0.018348623853211</v>
      </c>
      <c r="DS30" s="11" t="n">
        <v>0</v>
      </c>
      <c r="DT30" s="11" t="n">
        <v>0</v>
      </c>
      <c r="DU30" s="11" t="n">
        <v>0</v>
      </c>
      <c r="DV30" s="11" t="n">
        <v>5</v>
      </c>
      <c r="DW30" s="11" t="s">
        <v>573</v>
      </c>
      <c r="DX30" s="11" t="n">
        <v>0.406307</v>
      </c>
      <c r="DY30" s="11" t="n">
        <v>0.347799786580023</v>
      </c>
      <c r="DZ30" s="11" t="n">
        <v>0.464814213419977</v>
      </c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 t="n">
        <v>6.84483423711003</v>
      </c>
      <c r="EP30" s="11" t="n">
        <v>78.7987094823843</v>
      </c>
      <c r="EQ30" s="11" t="n">
        <v>1715.92747473801</v>
      </c>
      <c r="ER30" s="11" t="n">
        <v>2.5520859254246</v>
      </c>
      <c r="ES30" s="11" t="n">
        <v>2.5520859254246</v>
      </c>
      <c r="ET30" s="11" t="n">
        <v>2.44263936246608</v>
      </c>
      <c r="EU30" s="11" t="n">
        <v>49.5670649214203</v>
      </c>
      <c r="EV30" s="11" t="n">
        <v>49.5670649214203</v>
      </c>
      <c r="EW30" s="11" t="n">
        <v>484.991841981247</v>
      </c>
      <c r="EX30" s="11" t="n">
        <v>545.008559254237</v>
      </c>
      <c r="EY30" s="11" t="n">
        <v>0.89460408797349</v>
      </c>
      <c r="EZ30" s="11" t="n">
        <v>0.825865516152817</v>
      </c>
      <c r="FA30" s="11" t="n">
        <v>0.0493707123574913</v>
      </c>
      <c r="FB30" s="11" t="n">
        <v>1</v>
      </c>
      <c r="FC30" s="11" t="n">
        <v>0</v>
      </c>
      <c r="FD30" s="11" t="n">
        <v>0</v>
      </c>
      <c r="FE30" s="11" t="s">
        <v>574</v>
      </c>
      <c r="FF30" s="11" t="s">
        <v>263</v>
      </c>
      <c r="FG30" s="11" t="n">
        <v>109</v>
      </c>
      <c r="FH30" s="11" t="s">
        <v>575</v>
      </c>
      <c r="FI30" s="11" t="s">
        <v>59</v>
      </c>
      <c r="FJ30" s="11" t="n">
        <v>0.2</v>
      </c>
      <c r="FK30" s="11" t="n">
        <v>0.104014414212219</v>
      </c>
      <c r="FL30" s="11" t="n">
        <v>0.0634047897779607</v>
      </c>
      <c r="FM30" s="11" t="n">
        <v>0</v>
      </c>
      <c r="FN30" s="11" t="n">
        <v>1</v>
      </c>
      <c r="FO30" s="11" t="n">
        <v>0.57849589477773</v>
      </c>
      <c r="FP30" s="11" t="n">
        <v>0.527168798473173</v>
      </c>
      <c r="FQ30" s="11" t="n">
        <v>0.284403669724771</v>
      </c>
      <c r="FR30" s="11" t="n">
        <v>0</v>
      </c>
      <c r="FS30" s="11" t="n">
        <v>0.578495629337222</v>
      </c>
      <c r="FT30" s="11" t="n">
        <v>0.526956110914849</v>
      </c>
      <c r="FU30" s="11" t="n">
        <v>1</v>
      </c>
      <c r="FV30" s="11" t="n">
        <v>6.70092642864306</v>
      </c>
      <c r="FW30" s="11" t="n">
        <v>199.938457505785</v>
      </c>
      <c r="FX30" s="11" t="n">
        <v>0.0113027990313174</v>
      </c>
      <c r="FY30" s="11" t="n">
        <v>1</v>
      </c>
      <c r="FZ30" s="11" t="n">
        <v>37</v>
      </c>
      <c r="GA30" s="11" t="n">
        <v>1</v>
      </c>
      <c r="GB30" s="11" t="s">
        <v>576</v>
      </c>
      <c r="GC30" s="11" t="n">
        <v>0.929163661571818</v>
      </c>
      <c r="GD30" s="11" t="n">
        <v>0.942624713302752</v>
      </c>
      <c r="GE30" s="11" t="n">
        <v>0.944940074680185</v>
      </c>
      <c r="GF30" s="11" t="n">
        <v>0.944954128440367</v>
      </c>
      <c r="GG30" s="11" t="n">
        <v>0</v>
      </c>
      <c r="GH30" s="11" t="n">
        <v>0</v>
      </c>
      <c r="GI30" s="11" t="n">
        <v>0.0456758816367381</v>
      </c>
      <c r="GJ30" s="11" t="n">
        <v>0.0569436255534855</v>
      </c>
      <c r="GK30" s="11" t="n">
        <v>0.0541628207905378</v>
      </c>
      <c r="GL30" s="11" t="n">
        <v>0.0590774536008921</v>
      </c>
      <c r="GM30" s="11" t="n">
        <v>0.00172007856210795</v>
      </c>
      <c r="GN30" s="11" t="n">
        <v>4.87161354896604E-005</v>
      </c>
      <c r="GO30" s="11" t="n">
        <v>0.944380733944954</v>
      </c>
      <c r="GP30" s="11" t="n">
        <v>0.944954128440367</v>
      </c>
      <c r="GQ30" s="11" t="n">
        <v>-0.030555035918951</v>
      </c>
      <c r="GR30" s="11" t="n">
        <v>1</v>
      </c>
      <c r="GS30" s="11" t="n">
        <v>1</v>
      </c>
      <c r="GT30" s="11" t="n">
        <v>0</v>
      </c>
      <c r="GU30" s="11" t="n">
        <v>0</v>
      </c>
      <c r="GV30" s="11" t="n">
        <v>1</v>
      </c>
      <c r="GW30" s="11" t="n">
        <v>1</v>
      </c>
      <c r="GX30" s="11" t="n">
        <v>1</v>
      </c>
      <c r="GY30" s="11" t="n">
        <v>1</v>
      </c>
      <c r="GZ30" s="11" t="n">
        <v>1</v>
      </c>
      <c r="HA30" s="11" t="n">
        <v>1</v>
      </c>
      <c r="HB30" s="11" t="n">
        <v>1</v>
      </c>
      <c r="HC30" s="11" t="n">
        <v>1</v>
      </c>
      <c r="HD30" s="11" t="n">
        <v>0</v>
      </c>
      <c r="HE30" s="11" t="n">
        <v>0</v>
      </c>
      <c r="HF30" s="11" t="n">
        <v>1</v>
      </c>
      <c r="HG30" s="11" t="n">
        <v>1</v>
      </c>
      <c r="HH30" s="11" t="n">
        <v>1</v>
      </c>
      <c r="HI30" s="11" t="n">
        <v>0</v>
      </c>
      <c r="HJ30" s="11" t="n">
        <v>0</v>
      </c>
      <c r="HK30" s="11" t="s">
        <v>780</v>
      </c>
      <c r="HL30" s="11" t="s">
        <v>577</v>
      </c>
      <c r="HM30" s="11" t="n">
        <v>1</v>
      </c>
      <c r="HN30" s="11" t="s">
        <v>591</v>
      </c>
      <c r="HO30" s="11" t="s">
        <v>578</v>
      </c>
      <c r="HP30" s="11" t="s">
        <v>578</v>
      </c>
      <c r="HQ30" s="11" t="n">
        <v>0</v>
      </c>
      <c r="HR30" s="11" t="s">
        <v>189</v>
      </c>
      <c r="HS30" s="11" t="s">
        <v>249</v>
      </c>
      <c r="HT30" s="11" t="s">
        <v>249</v>
      </c>
      <c r="HU30" s="11" t="s">
        <v>781</v>
      </c>
      <c r="HV30" s="11" t="s">
        <v>781</v>
      </c>
      <c r="HW30" s="11" t="s">
        <v>782</v>
      </c>
      <c r="HX30" s="11" t="s">
        <v>774</v>
      </c>
      <c r="HY30" s="11" t="s">
        <v>583</v>
      </c>
      <c r="HZ30" s="11" t="s">
        <v>783</v>
      </c>
      <c r="IA30" s="11" t="s">
        <v>779</v>
      </c>
      <c r="IB30" s="11" t="s">
        <v>784</v>
      </c>
      <c r="IC30" s="11" t="s">
        <v>263</v>
      </c>
      <c r="ID30" s="11" t="s">
        <v>777</v>
      </c>
      <c r="IE30" s="11"/>
      <c r="IF30" s="11"/>
      <c r="IG30" s="11"/>
      <c r="IH30" s="11"/>
    </row>
    <row r="31" customFormat="false" ht="15" hidden="false" customHeight="false" outlineLevel="0" collapsed="false">
      <c r="A31" s="11" t="s">
        <v>97</v>
      </c>
      <c r="B31" s="11" t="s">
        <v>785</v>
      </c>
      <c r="C31" s="11" t="s">
        <v>569</v>
      </c>
      <c r="D31" s="11" t="s">
        <v>570</v>
      </c>
      <c r="E31" s="11" t="s">
        <v>51</v>
      </c>
      <c r="F31" s="11"/>
      <c r="G31" s="11"/>
      <c r="H31" s="11" t="s">
        <v>786</v>
      </c>
      <c r="I31" s="11" t="s">
        <v>787</v>
      </c>
      <c r="J31" s="11" t="n">
        <v>115</v>
      </c>
      <c r="K31" s="11" t="n">
        <v>3.83333333333333</v>
      </c>
      <c r="L31" s="11" t="n">
        <v>0.741040945053101</v>
      </c>
      <c r="M31" s="11" t="n">
        <v>0.799253225326538</v>
      </c>
      <c r="N31" s="11" t="n">
        <v>0</v>
      </c>
      <c r="O31" s="11" t="n">
        <v>1.39975929423791</v>
      </c>
      <c r="P31" s="11" t="n">
        <v>1.52567800653799</v>
      </c>
      <c r="Q31" s="11" t="n">
        <v>0.142955751157657</v>
      </c>
      <c r="R31" s="11" t="n">
        <v>0.460869565217391</v>
      </c>
      <c r="S31" s="11" t="n">
        <v>0.165217391304348</v>
      </c>
      <c r="T31" s="11" t="n">
        <v>0.00869565217391304</v>
      </c>
      <c r="U31" s="11" t="n">
        <v>0</v>
      </c>
      <c r="V31" s="11" t="n">
        <v>0</v>
      </c>
      <c r="W31" s="11" t="n">
        <v>0.643478260869565</v>
      </c>
      <c r="X31" s="11" t="n">
        <v>0.252173913043478</v>
      </c>
      <c r="Y31" s="11" t="n">
        <v>0.4</v>
      </c>
      <c r="Z31" s="11" t="n">
        <v>0.573913043478261</v>
      </c>
      <c r="AA31" s="11" t="n">
        <v>0.243478260869565</v>
      </c>
      <c r="AB31" s="11" t="n">
        <v>0.0695652173913043</v>
      </c>
      <c r="AC31" s="11" t="n">
        <v>-0.00260030658804194</v>
      </c>
      <c r="AD31" s="11" t="n">
        <v>-0.0150369926885847</v>
      </c>
      <c r="AE31" s="11" t="n">
        <v>0.557894736842105</v>
      </c>
      <c r="AF31" s="11" t="n">
        <v>0.347368421052632</v>
      </c>
      <c r="AG31" s="11" t="n">
        <v>0.0947368421052632</v>
      </c>
      <c r="AH31" s="11" t="n">
        <v>0.391304347826087</v>
      </c>
      <c r="AI31" s="11" t="n">
        <v>0.243478260869565</v>
      </c>
      <c r="AJ31" s="11" t="n">
        <v>0.0695652173913043</v>
      </c>
      <c r="AK31" s="11" t="n">
        <v>0.391802325961005</v>
      </c>
      <c r="AL31" s="11" t="n">
        <v>0</v>
      </c>
      <c r="AM31" s="11" t="n">
        <v>0</v>
      </c>
      <c r="AN31" s="11" t="n">
        <v>0</v>
      </c>
      <c r="AO31" s="11"/>
      <c r="AP31" s="11"/>
      <c r="AQ31" s="11"/>
      <c r="AR31" s="11" t="n">
        <v>0</v>
      </c>
      <c r="AS31" s="11" t="n">
        <v>0.443478260869565</v>
      </c>
      <c r="AT31" s="11" t="n">
        <v>0.382608695652174</v>
      </c>
      <c r="AU31" s="11" t="n">
        <v>0.382608695652174</v>
      </c>
      <c r="AV31" s="11" t="n">
        <v>0</v>
      </c>
      <c r="AW31" s="11" t="n">
        <v>0</v>
      </c>
      <c r="AX31" s="11" t="n">
        <v>0</v>
      </c>
      <c r="AY31" s="11" t="n">
        <v>0.00735170998321664</v>
      </c>
      <c r="AZ31" s="11" t="n">
        <v>0.0255240462592118</v>
      </c>
      <c r="BA31" s="11"/>
      <c r="BB31" s="11" t="n">
        <v>0.391304347826087</v>
      </c>
      <c r="BC31" s="11" t="n">
        <v>0.765217391304348</v>
      </c>
      <c r="BD31" s="11" t="n">
        <v>0.51304347826087</v>
      </c>
      <c r="BE31" s="11" t="n">
        <v>0.782608695652174</v>
      </c>
      <c r="BF31" s="11" t="n">
        <v>0.739130434782609</v>
      </c>
      <c r="BG31" s="11" t="n">
        <v>0.808695652173913</v>
      </c>
      <c r="BH31" s="11" t="n">
        <v>0.765217391304348</v>
      </c>
      <c r="BI31" s="11" t="n">
        <v>0.852173913043478</v>
      </c>
      <c r="BJ31" s="11" t="n">
        <v>0.248840176706654</v>
      </c>
      <c r="BK31" s="11" t="n">
        <v>0.0466213665388533</v>
      </c>
      <c r="BL31" s="11" t="n">
        <v>0.357341828413702</v>
      </c>
      <c r="BM31" s="11" t="n">
        <v>0.0940985092836622</v>
      </c>
      <c r="BN31" s="11" t="n">
        <v>0.504381668967342</v>
      </c>
      <c r="BO31" s="11" t="n">
        <v>0.490688950549668</v>
      </c>
      <c r="BP31" s="11" t="n">
        <v>0.0189037056345829</v>
      </c>
      <c r="BQ31" s="11" t="n">
        <v>0.0132419799762901</v>
      </c>
      <c r="BR31" s="11" t="n">
        <v>3.94741576476295</v>
      </c>
      <c r="BS31" s="11" t="n">
        <v>20.8059915904811</v>
      </c>
      <c r="BT31" s="11" t="n">
        <v>25.0587350956642</v>
      </c>
      <c r="BU31" s="11" t="n">
        <v>24.8840176706654</v>
      </c>
      <c r="BV31" s="11" t="n">
        <v>20.4741786115928</v>
      </c>
      <c r="BW31" s="11" t="n">
        <v>17.2256846430954</v>
      </c>
      <c r="BX31" s="11" t="n">
        <v>4.52695974344553</v>
      </c>
      <c r="BY31" s="11" t="n">
        <v>5.76767399386996</v>
      </c>
      <c r="BZ31" s="11" t="n">
        <v>0.756521739130435</v>
      </c>
      <c r="CA31" s="11" t="n">
        <v>0.839080459770115</v>
      </c>
      <c r="CB31" s="11" t="n">
        <v>0.32183908045977</v>
      </c>
      <c r="CC31" s="11" t="n">
        <v>0.517241379310345</v>
      </c>
      <c r="CD31" s="11" t="n">
        <v>0.747126436781609</v>
      </c>
      <c r="CE31" s="11" t="n">
        <v>0.756521739130435</v>
      </c>
      <c r="CF31" s="11" t="n">
        <v>5</v>
      </c>
      <c r="CG31" s="11" t="n">
        <v>0</v>
      </c>
      <c r="CH31" s="11" t="n">
        <v>0.839080459770115</v>
      </c>
      <c r="CI31" s="11" t="n">
        <v>0.517241379310345</v>
      </c>
      <c r="CJ31" s="11" t="n">
        <v>0.747126436781609</v>
      </c>
      <c r="CK31" s="11" t="n">
        <v>0.0357142857142857</v>
      </c>
      <c r="CL31" s="11" t="n">
        <v>0.0357142857142857</v>
      </c>
      <c r="CM31" s="11" t="n">
        <v>0.0357142857142857</v>
      </c>
      <c r="CN31" s="11" t="n">
        <v>0.0357142857142857</v>
      </c>
      <c r="CO31" s="11" t="n">
        <v>0</v>
      </c>
      <c r="CP31" s="11" t="n">
        <v>0</v>
      </c>
      <c r="CQ31" s="11" t="n">
        <v>0</v>
      </c>
      <c r="CR31" s="11" t="n">
        <v>0</v>
      </c>
      <c r="CS31" s="11" t="n">
        <v>0.0833333333333333</v>
      </c>
      <c r="CT31" s="11" t="n">
        <v>0.0833333333333333</v>
      </c>
      <c r="CU31" s="11" t="n">
        <v>0.0833333333333333</v>
      </c>
      <c r="CV31" s="11" t="n">
        <v>0.0833333333333333</v>
      </c>
      <c r="CW31" s="11" t="n">
        <v>0.0114942528735632</v>
      </c>
      <c r="CX31" s="11" t="n">
        <v>0</v>
      </c>
      <c r="CY31" s="11" t="n">
        <v>-0.0284898969928012</v>
      </c>
      <c r="CZ31" s="11" t="n">
        <v>-0.115484286083821</v>
      </c>
      <c r="DA31" s="11" t="n">
        <v>15.7956921133021</v>
      </c>
      <c r="DB31" s="11" t="n">
        <v>-0.0723429227880899</v>
      </c>
      <c r="DC31" s="11" t="n">
        <v>25.3608936830937</v>
      </c>
      <c r="DD31" s="11" t="n">
        <v>0.223598792299462</v>
      </c>
      <c r="DE31" s="11" t="n">
        <v>0.504347826086956</v>
      </c>
      <c r="DF31" s="11" t="n">
        <v>-0.0545900576465614</v>
      </c>
      <c r="DG31" s="11" t="n">
        <v>-0.093185865587303</v>
      </c>
      <c r="DH31" s="11" t="n">
        <v>3.85958079407416</v>
      </c>
      <c r="DI31" s="11" t="n">
        <v>193.411448523503</v>
      </c>
      <c r="DJ31" s="11" t="n">
        <v>80.4090936298683</v>
      </c>
      <c r="DK31" s="11" t="n">
        <v>11.4571681087988</v>
      </c>
      <c r="DL31" s="11" t="n">
        <v>49.05</v>
      </c>
      <c r="DM31" s="11" t="n">
        <v>0.782608695652174</v>
      </c>
      <c r="DN31" s="11" t="n">
        <v>0.765217391304348</v>
      </c>
      <c r="DO31" s="11" t="n">
        <v>-0.0145965391661691</v>
      </c>
      <c r="DP31" s="11" t="n">
        <v>0</v>
      </c>
      <c r="DQ31" s="11" t="n">
        <v>0.0173913043478261</v>
      </c>
      <c r="DR31" s="11" t="n">
        <v>0.0173913043478261</v>
      </c>
      <c r="DS31" s="11" t="n">
        <v>0.00869565217391304</v>
      </c>
      <c r="DT31" s="11" t="n">
        <v>0.00869565217391304</v>
      </c>
      <c r="DU31" s="11" t="n">
        <v>0</v>
      </c>
      <c r="DV31" s="11" t="n">
        <v>5</v>
      </c>
      <c r="DW31" s="11" t="s">
        <v>573</v>
      </c>
      <c r="DX31" s="11" t="n">
        <v>0.406307</v>
      </c>
      <c r="DY31" s="11" t="n">
        <v>0.00645208376451589</v>
      </c>
      <c r="DZ31" s="11" t="n">
        <v>0.806161916235484</v>
      </c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 t="n">
        <v>7.44884061012885</v>
      </c>
      <c r="EP31" s="11" t="n">
        <v>86.6190505050213</v>
      </c>
      <c r="EQ31" s="11" t="n">
        <v>2233.75416310169</v>
      </c>
      <c r="ER31" s="11" t="n">
        <v>2.97806476020374</v>
      </c>
      <c r="ES31" s="11" t="n">
        <v>2.97806476020374</v>
      </c>
      <c r="ET31" s="11" t="n">
        <v>2.46685254513721</v>
      </c>
      <c r="EU31" s="11" t="n">
        <v>65.002751837047</v>
      </c>
      <c r="EV31" s="11" t="n">
        <v>65.002751837047</v>
      </c>
      <c r="EW31" s="11" t="n">
        <v>667.137229916235</v>
      </c>
      <c r="EX31" s="11" t="n">
        <v>1009.35531870259</v>
      </c>
      <c r="EY31" s="11" t="n">
        <v>1.54072258865005</v>
      </c>
      <c r="EZ31" s="11" t="n">
        <v>1.35494808607887</v>
      </c>
      <c r="FA31" s="11" t="n">
        <v>0.0499789816016822</v>
      </c>
      <c r="FB31" s="11" t="n">
        <v>1</v>
      </c>
      <c r="FC31" s="11" t="n">
        <v>0</v>
      </c>
      <c r="FD31" s="11" t="n">
        <v>0</v>
      </c>
      <c r="FE31" s="11" t="s">
        <v>574</v>
      </c>
      <c r="FF31" s="11" t="s">
        <v>268</v>
      </c>
      <c r="FG31" s="11" t="n">
        <v>115</v>
      </c>
      <c r="FH31" s="11" t="s">
        <v>575</v>
      </c>
      <c r="FI31" s="11" t="s">
        <v>59</v>
      </c>
      <c r="FJ31" s="11" t="n">
        <v>0.2</v>
      </c>
      <c r="FK31" s="11" t="n">
        <v>0.149348425251637</v>
      </c>
      <c r="FL31" s="11" t="n">
        <v>0.0570586634635582</v>
      </c>
      <c r="FM31" s="11" t="n">
        <v>0</v>
      </c>
      <c r="FN31" s="11" t="n">
        <v>1</v>
      </c>
      <c r="FO31" s="11" t="n">
        <v>0.679222475559334</v>
      </c>
      <c r="FP31" s="11" t="n">
        <v>0.515318485709689</v>
      </c>
      <c r="FQ31" s="11" t="n">
        <v>0.397826086956522</v>
      </c>
      <c r="FR31" s="11" t="n">
        <v>0</v>
      </c>
      <c r="FS31" s="11" t="n">
        <v>0.679166455576204</v>
      </c>
      <c r="FT31" s="11" t="n">
        <v>0.5151389816529</v>
      </c>
      <c r="FU31" s="11" t="n">
        <v>1</v>
      </c>
      <c r="FV31" s="11" t="n">
        <v>11.0262907381424</v>
      </c>
      <c r="FW31" s="11" t="n">
        <v>347.664402138672</v>
      </c>
      <c r="FX31" s="11" t="n">
        <v>0.0400088904427321</v>
      </c>
      <c r="FY31" s="11" t="n">
        <v>1</v>
      </c>
      <c r="FZ31" s="11" t="n">
        <v>12</v>
      </c>
      <c r="GA31" s="11" t="n">
        <v>1</v>
      </c>
      <c r="GB31" s="11" t="s">
        <v>576</v>
      </c>
      <c r="GC31" s="11" t="n">
        <v>0.357990828804348</v>
      </c>
      <c r="GD31" s="11" t="n">
        <v>0.363612432065217</v>
      </c>
      <c r="GE31" s="11" t="n">
        <v>0.365220055413564</v>
      </c>
      <c r="GF31" s="11" t="n">
        <v>0.365217391304348</v>
      </c>
      <c r="GG31" s="11" t="n">
        <v>0.582608695652174</v>
      </c>
      <c r="GH31" s="11" t="n">
        <v>0.582608695652174</v>
      </c>
      <c r="GI31" s="11" t="n">
        <v>0.0199276343134799</v>
      </c>
      <c r="GJ31" s="11" t="n">
        <v>0.0282831274458896</v>
      </c>
      <c r="GK31" s="11" t="n">
        <v>0.0264965287156132</v>
      </c>
      <c r="GL31" s="11" t="n">
        <v>0.0307131365832427</v>
      </c>
      <c r="GM31" s="11" t="n">
        <v>0.402529285559135</v>
      </c>
      <c r="GN31" s="11" t="n">
        <v>0.398525786337094</v>
      </c>
      <c r="GO31" s="11" t="n">
        <v>0.365217391304348</v>
      </c>
      <c r="GP31" s="11" t="n">
        <v>0.365217391304348</v>
      </c>
      <c r="GQ31" s="11" t="n">
        <v>-0.0326852202415466</v>
      </c>
      <c r="GR31" s="11" t="n">
        <v>0</v>
      </c>
      <c r="GS31" s="11" t="n">
        <v>1</v>
      </c>
      <c r="GT31" s="11" t="n">
        <v>0</v>
      </c>
      <c r="GU31" s="11" t="n">
        <v>0</v>
      </c>
      <c r="GV31" s="11" t="n">
        <v>1</v>
      </c>
      <c r="GW31" s="11" t="n">
        <v>1</v>
      </c>
      <c r="GX31" s="11" t="n">
        <v>1</v>
      </c>
      <c r="GY31" s="11" t="n">
        <v>1</v>
      </c>
      <c r="GZ31" s="11" t="n">
        <v>1</v>
      </c>
      <c r="HA31" s="11" t="n">
        <v>0</v>
      </c>
      <c r="HB31" s="11" t="n">
        <v>0</v>
      </c>
      <c r="HC31" s="11" t="n">
        <v>0</v>
      </c>
      <c r="HD31" s="11" t="n">
        <v>0</v>
      </c>
      <c r="HE31" s="11" t="n">
        <v>0</v>
      </c>
      <c r="HF31" s="11" t="n">
        <v>1</v>
      </c>
      <c r="HG31" s="11" t="n">
        <v>1</v>
      </c>
      <c r="HH31" s="11" t="n">
        <v>0</v>
      </c>
      <c r="HI31" s="11" t="n">
        <v>0</v>
      </c>
      <c r="HJ31" s="11" t="n">
        <v>0</v>
      </c>
      <c r="HK31" s="11" t="s">
        <v>788</v>
      </c>
      <c r="HL31" s="11" t="s">
        <v>577</v>
      </c>
      <c r="HM31" s="11" t="n">
        <v>1</v>
      </c>
      <c r="HN31" s="11" t="s">
        <v>10</v>
      </c>
      <c r="HO31" s="11" t="s">
        <v>578</v>
      </c>
      <c r="HP31" s="11" t="s">
        <v>578</v>
      </c>
      <c r="HQ31" s="11" t="n">
        <v>0</v>
      </c>
      <c r="HR31" s="11" t="s">
        <v>189</v>
      </c>
      <c r="HS31" s="11" t="s">
        <v>579</v>
      </c>
      <c r="HT31" s="11" t="s">
        <v>579</v>
      </c>
      <c r="HU31" s="11" t="s">
        <v>789</v>
      </c>
      <c r="HV31" s="11" t="s">
        <v>789</v>
      </c>
      <c r="HW31" s="11" t="s">
        <v>790</v>
      </c>
      <c r="HX31" s="11" t="s">
        <v>791</v>
      </c>
      <c r="HY31" s="11" t="s">
        <v>583</v>
      </c>
      <c r="HZ31" s="11" t="s">
        <v>792</v>
      </c>
      <c r="IA31" s="11" t="s">
        <v>786</v>
      </c>
      <c r="IB31" s="11" t="s">
        <v>793</v>
      </c>
      <c r="IC31" s="11" t="s">
        <v>268</v>
      </c>
      <c r="ID31" s="11" t="s">
        <v>794</v>
      </c>
      <c r="IE31" s="11"/>
      <c r="IF31" s="11"/>
      <c r="IG31" s="11"/>
      <c r="IH31" s="11"/>
    </row>
    <row r="32" customFormat="false" ht="15" hidden="false" customHeight="false" outlineLevel="0" collapsed="false">
      <c r="A32" s="11" t="s">
        <v>97</v>
      </c>
      <c r="B32" s="11" t="s">
        <v>795</v>
      </c>
      <c r="C32" s="11" t="s">
        <v>588</v>
      </c>
      <c r="D32" s="11" t="s">
        <v>570</v>
      </c>
      <c r="E32" s="11" t="s">
        <v>51</v>
      </c>
      <c r="F32" s="11"/>
      <c r="G32" s="11"/>
      <c r="H32" s="11" t="s">
        <v>796</v>
      </c>
      <c r="I32" s="11" t="s">
        <v>267</v>
      </c>
      <c r="J32" s="11" t="n">
        <v>115</v>
      </c>
      <c r="K32" s="11" t="n">
        <v>3.83333333333333</v>
      </c>
      <c r="L32" s="11" t="n">
        <v>0.737914204597473</v>
      </c>
      <c r="M32" s="11" t="n">
        <v>0.797390222549439</v>
      </c>
      <c r="N32" s="11" t="n">
        <v>0</v>
      </c>
      <c r="O32" s="11" t="n">
        <v>1.44455097123088</v>
      </c>
      <c r="P32" s="11" t="n">
        <v>1.58148347599773</v>
      </c>
      <c r="Q32" s="11" t="n">
        <v>0.206021197753956</v>
      </c>
      <c r="R32" s="11" t="n">
        <v>0.408695652173913</v>
      </c>
      <c r="S32" s="11" t="n">
        <v>0.382608695652174</v>
      </c>
      <c r="T32" s="11" t="n">
        <v>0.0434782608695652</v>
      </c>
      <c r="U32" s="11" t="n">
        <v>0</v>
      </c>
      <c r="V32" s="11" t="n">
        <v>0</v>
      </c>
      <c r="W32" s="11" t="n">
        <v>0.652173913043478</v>
      </c>
      <c r="X32" s="11" t="n">
        <v>0.434782608695652</v>
      </c>
      <c r="Y32" s="11" t="n">
        <v>0.51304347826087</v>
      </c>
      <c r="Z32" s="11" t="n">
        <v>0.582608695652174</v>
      </c>
      <c r="AA32" s="11" t="n">
        <v>0.139130434782609</v>
      </c>
      <c r="AB32" s="11" t="n">
        <v>0.0695652173913043</v>
      </c>
      <c r="AC32" s="11" t="n">
        <v>-0.00202259136909449</v>
      </c>
      <c r="AD32" s="11" t="n">
        <v>-0.00859351862349341</v>
      </c>
      <c r="AE32" s="11" t="n">
        <v>0.35</v>
      </c>
      <c r="AF32" s="11" t="n">
        <v>0.225</v>
      </c>
      <c r="AG32" s="11" t="n">
        <v>0.1125</v>
      </c>
      <c r="AH32" s="11" t="n">
        <v>0.217391304347826</v>
      </c>
      <c r="AI32" s="11" t="n">
        <v>0.139130434782609</v>
      </c>
      <c r="AJ32" s="11" t="n">
        <v>0.0695652173913043</v>
      </c>
      <c r="AK32" s="11" t="n">
        <v>0.423565953817292</v>
      </c>
      <c r="AL32" s="11" t="n">
        <v>0</v>
      </c>
      <c r="AM32" s="11" t="n">
        <v>0</v>
      </c>
      <c r="AN32" s="11" t="n">
        <v>0</v>
      </c>
      <c r="AO32" s="11"/>
      <c r="AP32" s="11"/>
      <c r="AQ32" s="11"/>
      <c r="AR32" s="11" t="n">
        <v>0</v>
      </c>
      <c r="AS32" s="11" t="n">
        <v>0.130434782608696</v>
      </c>
      <c r="AT32" s="11" t="n">
        <v>0</v>
      </c>
      <c r="AU32" s="11" t="n">
        <v>0</v>
      </c>
      <c r="AV32" s="11" t="n">
        <v>0</v>
      </c>
      <c r="AW32" s="11" t="n">
        <v>0</v>
      </c>
      <c r="AX32" s="11" t="n">
        <v>0</v>
      </c>
      <c r="AY32" s="11" t="n">
        <v>0.00777035677661206</v>
      </c>
      <c r="AZ32" s="11" t="n">
        <v>0.0195243361541783</v>
      </c>
      <c r="BA32" s="11"/>
      <c r="BB32" s="11" t="n">
        <v>0.147826086956522</v>
      </c>
      <c r="BC32" s="11" t="n">
        <v>0.756521739130435</v>
      </c>
      <c r="BD32" s="11" t="n">
        <v>0.304347826086956</v>
      </c>
      <c r="BE32" s="11" t="n">
        <v>0.782608695652174</v>
      </c>
      <c r="BF32" s="11" t="n">
        <v>0.669565217391304</v>
      </c>
      <c r="BG32" s="11" t="n">
        <v>0.8</v>
      </c>
      <c r="BH32" s="11" t="n">
        <v>0.71304347826087</v>
      </c>
      <c r="BI32" s="11" t="n">
        <v>0.869565217391304</v>
      </c>
      <c r="BJ32" s="11" t="n">
        <v>0.175579666910703</v>
      </c>
      <c r="BK32" s="11" t="n">
        <v>0.0377268911405243</v>
      </c>
      <c r="BL32" s="11" t="n">
        <v>0.315123803003796</v>
      </c>
      <c r="BM32" s="11" t="n">
        <v>0.1221618248083</v>
      </c>
      <c r="BN32" s="11" t="n">
        <v>0.49127040120591</v>
      </c>
      <c r="BO32" s="11" t="n">
        <v>0.601964824166566</v>
      </c>
      <c r="BP32" s="11" t="n">
        <v>0.0152441145104068</v>
      </c>
      <c r="BQ32" s="11" t="n">
        <v>0.0177065830835805</v>
      </c>
      <c r="BR32" s="11" t="n">
        <v>3.85345918253264</v>
      </c>
      <c r="BS32" s="11" t="n">
        <v>15.4493343175558</v>
      </c>
      <c r="BT32" s="11" t="n">
        <v>24.7817296379815</v>
      </c>
      <c r="BU32" s="11" t="n">
        <v>17.5579666910703</v>
      </c>
      <c r="BV32" s="11" t="n">
        <v>18.055263936229</v>
      </c>
      <c r="BW32" s="11" t="n">
        <v>11.2734454920864</v>
      </c>
      <c r="BX32" s="11" t="n">
        <v>3.2000708431299</v>
      </c>
      <c r="BY32" s="11" t="n">
        <v>5.76227486283639</v>
      </c>
      <c r="BZ32" s="11" t="n">
        <v>0.756521739130435</v>
      </c>
      <c r="CA32" s="11" t="n">
        <v>0.862068965517241</v>
      </c>
      <c r="CB32" s="11" t="n">
        <v>0.574712643678161</v>
      </c>
      <c r="CC32" s="11" t="n">
        <v>0.67816091954023</v>
      </c>
      <c r="CD32" s="11" t="n">
        <v>0.770114942528736</v>
      </c>
      <c r="CE32" s="11" t="n">
        <v>0.756521739130435</v>
      </c>
      <c r="CF32" s="11" t="n">
        <v>5</v>
      </c>
      <c r="CG32" s="11" t="n">
        <v>0</v>
      </c>
      <c r="CH32" s="11" t="n">
        <v>0.862068965517241</v>
      </c>
      <c r="CI32" s="11" t="n">
        <v>0.67816091954023</v>
      </c>
      <c r="CJ32" s="11" t="n">
        <v>0.770114942528736</v>
      </c>
      <c r="CK32" s="11" t="n">
        <v>0</v>
      </c>
      <c r="CL32" s="11" t="n">
        <v>0</v>
      </c>
      <c r="CM32" s="11" t="n">
        <v>0</v>
      </c>
      <c r="CN32" s="11" t="n">
        <v>0</v>
      </c>
      <c r="CO32" s="11" t="n">
        <v>0</v>
      </c>
      <c r="CP32" s="11" t="n">
        <v>0</v>
      </c>
      <c r="CQ32" s="11" t="n">
        <v>0</v>
      </c>
      <c r="CR32" s="11" t="n">
        <v>0</v>
      </c>
      <c r="CS32" s="11" t="n">
        <v>0</v>
      </c>
      <c r="CT32" s="11" t="n">
        <v>0</v>
      </c>
      <c r="CU32" s="11" t="n">
        <v>0</v>
      </c>
      <c r="CV32" s="11" t="n">
        <v>0</v>
      </c>
      <c r="CW32" s="11" t="n">
        <v>0.0574712643678161</v>
      </c>
      <c r="CX32" s="11" t="n">
        <v>0</v>
      </c>
      <c r="CY32" s="11" t="n">
        <v>0.00617217897138983</v>
      </c>
      <c r="CZ32" s="11" t="n">
        <v>-0.0512329741382926</v>
      </c>
      <c r="DA32" s="11" t="n">
        <v>9.93389131357508</v>
      </c>
      <c r="DB32" s="11" t="n">
        <v>-0.0154622893862419</v>
      </c>
      <c r="DC32" s="11" t="n">
        <v>17.308671956854</v>
      </c>
      <c r="DD32" s="11" t="n">
        <v>0.169041047033126</v>
      </c>
      <c r="DE32" s="11" t="n">
        <v>0.504347826086956</v>
      </c>
      <c r="DF32" s="11" t="n">
        <v>-0.0297865839570712</v>
      </c>
      <c r="DG32" s="11" t="n">
        <v>-0.0269589385601234</v>
      </c>
      <c r="DH32" s="11" t="n">
        <v>-0.282764539694779</v>
      </c>
      <c r="DI32" s="11" t="n">
        <v>129.117740134914</v>
      </c>
      <c r="DJ32" s="11" t="n">
        <v>50.6802938924838</v>
      </c>
      <c r="DK32" s="11" t="n">
        <v>13.6396911331466</v>
      </c>
      <c r="DL32" s="11" t="n">
        <v>49.05</v>
      </c>
      <c r="DM32" s="11" t="n">
        <v>0.782608695652174</v>
      </c>
      <c r="DN32" s="11" t="n">
        <v>0.765217391304348</v>
      </c>
      <c r="DO32" s="11" t="n">
        <v>-0.0145965391661691</v>
      </c>
      <c r="DP32" s="11" t="n">
        <v>0</v>
      </c>
      <c r="DQ32" s="11" t="n">
        <v>0.00869565217391304</v>
      </c>
      <c r="DR32" s="11" t="n">
        <v>0</v>
      </c>
      <c r="DS32" s="11" t="n">
        <v>0</v>
      </c>
      <c r="DT32" s="11" t="n">
        <v>0</v>
      </c>
      <c r="DU32" s="11" t="n">
        <v>0</v>
      </c>
      <c r="DV32" s="11" t="n">
        <v>5</v>
      </c>
      <c r="DW32" s="11" t="s">
        <v>573</v>
      </c>
      <c r="DX32" s="11" t="n">
        <v>0.406307</v>
      </c>
      <c r="DY32" s="11" t="n">
        <v>0.00645208376451589</v>
      </c>
      <c r="DZ32" s="11" t="n">
        <v>0.806161916235484</v>
      </c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 t="n">
        <v>7.46727748587187</v>
      </c>
      <c r="EP32" s="11" t="n">
        <v>84.346294590725</v>
      </c>
      <c r="EQ32" s="11" t="n">
        <v>2031.64187574297</v>
      </c>
      <c r="ER32" s="11" t="n">
        <v>3.65603470517282</v>
      </c>
      <c r="ES32" s="11" t="n">
        <v>3.65603470517282</v>
      </c>
      <c r="ET32" s="11" t="n">
        <v>2.10946787676757</v>
      </c>
      <c r="EU32" s="11" t="n">
        <v>48.6245403857246</v>
      </c>
      <c r="EV32" s="11" t="n">
        <v>48.6245403857246</v>
      </c>
      <c r="EW32" s="11" t="n">
        <v>714.957094828102</v>
      </c>
      <c r="EX32" s="11" t="n">
        <v>909.737720151334</v>
      </c>
      <c r="EY32" s="11" t="n">
        <v>1.17388810026696</v>
      </c>
      <c r="EZ32" s="11" t="n">
        <v>1.3119379222171</v>
      </c>
      <c r="FA32" s="11" t="n">
        <v>0.0494067316808384</v>
      </c>
      <c r="FB32" s="11" t="n">
        <v>1</v>
      </c>
      <c r="FC32" s="11" t="n">
        <v>0</v>
      </c>
      <c r="FD32" s="11" t="n">
        <v>0</v>
      </c>
      <c r="FE32" s="11" t="s">
        <v>574</v>
      </c>
      <c r="FF32" s="11" t="s">
        <v>268</v>
      </c>
      <c r="FG32" s="11" t="n">
        <v>115</v>
      </c>
      <c r="FH32" s="11" t="s">
        <v>575</v>
      </c>
      <c r="FI32" s="11" t="s">
        <v>59</v>
      </c>
      <c r="FJ32" s="11" t="n">
        <v>0.2</v>
      </c>
      <c r="FK32" s="11" t="n">
        <v>0.120392044677664</v>
      </c>
      <c r="FL32" s="11" t="n">
        <v>0.0535378545665554</v>
      </c>
      <c r="FM32" s="11" t="n">
        <v>0</v>
      </c>
      <c r="FN32" s="11" t="n">
        <v>1</v>
      </c>
      <c r="FO32" s="11" t="n">
        <v>0.510413927016483</v>
      </c>
      <c r="FP32" s="11" t="n">
        <v>0.414101837205709</v>
      </c>
      <c r="FQ32" s="11" t="n">
        <v>0.158695652173913</v>
      </c>
      <c r="FR32" s="11" t="n">
        <v>0</v>
      </c>
      <c r="FS32" s="11" t="n">
        <v>0.510371725649668</v>
      </c>
      <c r="FT32" s="11" t="n">
        <v>0.411907799740495</v>
      </c>
      <c r="FU32" s="11" t="n">
        <v>1</v>
      </c>
      <c r="FV32" s="11" t="n">
        <v>10.9171764690663</v>
      </c>
      <c r="FW32" s="11" t="n">
        <v>384.621255503915</v>
      </c>
      <c r="FX32" s="11" t="n">
        <v>0.0323459498232981</v>
      </c>
      <c r="FY32" s="11" t="n">
        <v>1</v>
      </c>
      <c r="FZ32" s="11" t="n">
        <v>12</v>
      </c>
      <c r="GA32" s="11" t="n">
        <v>1</v>
      </c>
      <c r="GB32" s="11" t="s">
        <v>576</v>
      </c>
      <c r="GC32" s="11" t="n">
        <v>0.84892578125</v>
      </c>
      <c r="GD32" s="11" t="n">
        <v>0.893537703804348</v>
      </c>
      <c r="GE32" s="11" t="n">
        <v>0.892002344423773</v>
      </c>
      <c r="GF32" s="11" t="n">
        <v>0.895652173913044</v>
      </c>
      <c r="GG32" s="11" t="n">
        <v>0.053804347826087</v>
      </c>
      <c r="GH32" s="11" t="n">
        <v>0.0521739130434783</v>
      </c>
      <c r="GI32" s="11" t="n">
        <v>0.0306226892998498</v>
      </c>
      <c r="GJ32" s="11" t="n">
        <v>0.0470228823711691</v>
      </c>
      <c r="GK32" s="11" t="n">
        <v>0.0424290238088257</v>
      </c>
      <c r="GL32" s="11" t="n">
        <v>0.0518020821249356</v>
      </c>
      <c r="GM32" s="11" t="n">
        <v>0.00760333322493313</v>
      </c>
      <c r="GN32" s="11" t="n">
        <v>0.00410421633864842</v>
      </c>
      <c r="GO32" s="11" t="n">
        <v>0.891847826086956</v>
      </c>
      <c r="GP32" s="11" t="n">
        <v>0.895652173913044</v>
      </c>
      <c r="GQ32" s="11" t="n">
        <v>-0.0277455002069473</v>
      </c>
      <c r="GR32" s="11" t="n">
        <v>1</v>
      </c>
      <c r="GS32" s="11" t="n">
        <v>1</v>
      </c>
      <c r="GT32" s="11" t="n">
        <v>0</v>
      </c>
      <c r="GU32" s="11" t="n">
        <v>0</v>
      </c>
      <c r="GV32" s="11" t="n">
        <v>1</v>
      </c>
      <c r="GW32" s="11" t="n">
        <v>1</v>
      </c>
      <c r="GX32" s="11" t="n">
        <v>1</v>
      </c>
      <c r="GY32" s="11" t="n">
        <v>1</v>
      </c>
      <c r="GZ32" s="11" t="n">
        <v>1</v>
      </c>
      <c r="HA32" s="11" t="n">
        <v>1</v>
      </c>
      <c r="HB32" s="11" t="n">
        <v>1</v>
      </c>
      <c r="HC32" s="11" t="n">
        <v>1</v>
      </c>
      <c r="HD32" s="11" t="n">
        <v>1</v>
      </c>
      <c r="HE32" s="11" t="n">
        <v>0</v>
      </c>
      <c r="HF32" s="11" t="n">
        <v>1</v>
      </c>
      <c r="HG32" s="11" t="n">
        <v>1</v>
      </c>
      <c r="HH32" s="11" t="n">
        <v>1</v>
      </c>
      <c r="HI32" s="11" t="n">
        <v>0</v>
      </c>
      <c r="HJ32" s="11" t="n">
        <v>0</v>
      </c>
      <c r="HK32" s="11" t="s">
        <v>143</v>
      </c>
      <c r="HL32" s="11" t="s">
        <v>577</v>
      </c>
      <c r="HM32" s="11" t="n">
        <v>1</v>
      </c>
      <c r="HN32" s="11" t="s">
        <v>591</v>
      </c>
      <c r="HO32" s="11" t="s">
        <v>578</v>
      </c>
      <c r="HP32" s="11" t="s">
        <v>578</v>
      </c>
      <c r="HQ32" s="11" t="n">
        <v>0</v>
      </c>
      <c r="HR32" s="11" t="s">
        <v>189</v>
      </c>
      <c r="HS32" s="11" t="s">
        <v>249</v>
      </c>
      <c r="HT32" s="11" t="s">
        <v>249</v>
      </c>
      <c r="HU32" s="11" t="s">
        <v>797</v>
      </c>
      <c r="HV32" s="11" t="s">
        <v>797</v>
      </c>
      <c r="HW32" s="11" t="s">
        <v>798</v>
      </c>
      <c r="HX32" s="11" t="s">
        <v>791</v>
      </c>
      <c r="HY32" s="11" t="s">
        <v>583</v>
      </c>
      <c r="HZ32" s="11" t="s">
        <v>799</v>
      </c>
      <c r="IA32" s="11" t="s">
        <v>796</v>
      </c>
      <c r="IB32" s="11" t="s">
        <v>800</v>
      </c>
      <c r="IC32" s="11" t="s">
        <v>268</v>
      </c>
      <c r="ID32" s="11" t="s">
        <v>794</v>
      </c>
      <c r="IE32" s="11"/>
      <c r="IF32" s="11"/>
      <c r="IG32" s="11"/>
      <c r="IH32" s="11"/>
    </row>
    <row r="33" customFormat="false" ht="15" hidden="false" customHeight="false" outlineLevel="0" collapsed="false">
      <c r="A33" s="11" t="s">
        <v>98</v>
      </c>
      <c r="B33" s="11" t="s">
        <v>801</v>
      </c>
      <c r="C33" s="11" t="s">
        <v>569</v>
      </c>
      <c r="D33" s="11" t="s">
        <v>570</v>
      </c>
      <c r="E33" s="11" t="s">
        <v>51</v>
      </c>
      <c r="F33" s="11"/>
      <c r="G33" s="11"/>
      <c r="H33" s="11" t="s">
        <v>802</v>
      </c>
      <c r="I33" s="11" t="s">
        <v>803</v>
      </c>
      <c r="J33" s="11" t="n">
        <v>99</v>
      </c>
      <c r="K33" s="11" t="n">
        <v>3.3</v>
      </c>
      <c r="L33" s="11" t="n">
        <v>0.733743667602539</v>
      </c>
      <c r="M33" s="11" t="n">
        <v>0.847654104232788</v>
      </c>
      <c r="N33" s="11" t="n">
        <v>0</v>
      </c>
      <c r="O33" s="11" t="n">
        <v>1.49978856115994</v>
      </c>
      <c r="P33" s="11" t="n">
        <v>1.53153447245124</v>
      </c>
      <c r="Q33" s="11" t="n">
        <v>0.147275923628814</v>
      </c>
      <c r="R33" s="11" t="n">
        <v>0.565656565656566</v>
      </c>
      <c r="S33" s="11" t="n">
        <v>0.414141414141414</v>
      </c>
      <c r="T33" s="11" t="n">
        <v>0.121212121212121</v>
      </c>
      <c r="U33" s="11" t="n">
        <v>0.0505050505050505</v>
      </c>
      <c r="V33" s="11" t="n">
        <v>0</v>
      </c>
      <c r="W33" s="11" t="n">
        <v>0.494949494949495</v>
      </c>
      <c r="X33" s="11" t="n">
        <v>0.383838383838384</v>
      </c>
      <c r="Y33" s="11" t="n">
        <v>0.414141414141414</v>
      </c>
      <c r="Z33" s="11" t="n">
        <v>0.444444444444444</v>
      </c>
      <c r="AA33" s="11" t="n">
        <v>0.0808080808080808</v>
      </c>
      <c r="AB33" s="11" t="n">
        <v>0.0505050505050505</v>
      </c>
      <c r="AC33" s="11" t="n">
        <v>-0.00215366299008079</v>
      </c>
      <c r="AD33" s="11" t="n">
        <v>-0.0151384743021576</v>
      </c>
      <c r="AE33" s="11" t="n">
        <v>0.22</v>
      </c>
      <c r="AF33" s="11" t="n">
        <v>0.16</v>
      </c>
      <c r="AG33" s="11" t="n">
        <v>0.1</v>
      </c>
      <c r="AH33" s="11" t="n">
        <v>0.111111111111111</v>
      </c>
      <c r="AI33" s="11" t="n">
        <v>0.0808080808080808</v>
      </c>
      <c r="AJ33" s="11" t="n">
        <v>0.0505050505050505</v>
      </c>
      <c r="AK33" s="11" t="n">
        <v>0.449191902985665</v>
      </c>
      <c r="AL33" s="11" t="n">
        <v>0</v>
      </c>
      <c r="AM33" s="11" t="n">
        <v>0</v>
      </c>
      <c r="AN33" s="11" t="n">
        <v>0</v>
      </c>
      <c r="AO33" s="11"/>
      <c r="AP33" s="11"/>
      <c r="AQ33" s="11"/>
      <c r="AR33" s="11" t="n">
        <v>0</v>
      </c>
      <c r="AS33" s="11" t="n">
        <v>0.181818181818182</v>
      </c>
      <c r="AT33" s="11" t="n">
        <v>0.131313131313131</v>
      </c>
      <c r="AU33" s="11" t="n">
        <v>0.131313131313131</v>
      </c>
      <c r="AV33" s="11" t="n">
        <v>0</v>
      </c>
      <c r="AW33" s="11" t="n">
        <v>0</v>
      </c>
      <c r="AX33" s="11" t="n">
        <v>0</v>
      </c>
      <c r="AY33" s="11" t="n">
        <v>0.00817900530422699</v>
      </c>
      <c r="AZ33" s="11" t="n">
        <v>0.0296058203791315</v>
      </c>
      <c r="BA33" s="11"/>
      <c r="BB33" s="11" t="n">
        <v>0.0303030303030303</v>
      </c>
      <c r="BC33" s="11" t="n">
        <v>0.727272727272727</v>
      </c>
      <c r="BD33" s="11" t="n">
        <v>0.131313131313131</v>
      </c>
      <c r="BE33" s="11" t="n">
        <v>0.737373737373737</v>
      </c>
      <c r="BF33" s="11" t="n">
        <v>0.252525252525252</v>
      </c>
      <c r="BG33" s="11" t="n">
        <v>0.797979797979798</v>
      </c>
      <c r="BH33" s="11" t="n">
        <v>0.535353535353535</v>
      </c>
      <c r="BI33" s="11" t="n">
        <v>0.828282828282828</v>
      </c>
      <c r="BJ33" s="11" t="n">
        <v>0.217349332073471</v>
      </c>
      <c r="BK33" s="11" t="n">
        <v>0.0539409299108006</v>
      </c>
      <c r="BL33" s="11" t="n">
        <v>0.421739041783315</v>
      </c>
      <c r="BM33" s="11" t="n">
        <v>0.0872646694179354</v>
      </c>
      <c r="BN33" s="11" t="n">
        <v>0.552211264001665</v>
      </c>
      <c r="BO33" s="11" t="n">
        <v>0.564121649300425</v>
      </c>
      <c r="BP33" s="11" t="n">
        <v>0.0229440001770653</v>
      </c>
      <c r="BQ33" s="11" t="n">
        <v>0.00701711478727134</v>
      </c>
      <c r="BR33" s="11" t="n">
        <v>4.20197093234358</v>
      </c>
      <c r="BS33" s="11" t="n">
        <v>19.2056681710684</v>
      </c>
      <c r="BT33" s="11" t="n">
        <v>36.4826081762436</v>
      </c>
      <c r="BU33" s="11" t="n">
        <v>21.7349332073471</v>
      </c>
      <c r="BV33" s="11" t="n">
        <v>24.1638671500752</v>
      </c>
      <c r="BW33" s="11" t="n">
        <v>14.7215993671277</v>
      </c>
      <c r="BX33" s="11" t="n">
        <v>3.99653451715887</v>
      </c>
      <c r="BY33" s="11" t="n">
        <v>3.56250502669008</v>
      </c>
      <c r="BZ33" s="11" t="n">
        <v>0.646464646464646</v>
      </c>
      <c r="CA33" s="11" t="n">
        <v>0.75</v>
      </c>
      <c r="CB33" s="11" t="n">
        <v>0.578125</v>
      </c>
      <c r="CC33" s="11" t="n">
        <v>0.625</v>
      </c>
      <c r="CD33" s="11" t="n">
        <v>0.671875</v>
      </c>
      <c r="CE33" s="11" t="n">
        <v>0.646464646464646</v>
      </c>
      <c r="CF33" s="11" t="n">
        <v>5</v>
      </c>
      <c r="CG33" s="11" t="n">
        <v>0</v>
      </c>
      <c r="CH33" s="11" t="n">
        <v>0.75</v>
      </c>
      <c r="CI33" s="11" t="n">
        <v>0.625</v>
      </c>
      <c r="CJ33" s="11" t="n">
        <v>0.671875</v>
      </c>
      <c r="CK33" s="11" t="n">
        <v>0.0285714285714286</v>
      </c>
      <c r="CL33" s="11" t="n">
        <v>0.0285714285714286</v>
      </c>
      <c r="CM33" s="11" t="n">
        <v>0.0285714285714286</v>
      </c>
      <c r="CN33" s="11" t="n">
        <v>0.0285714285714286</v>
      </c>
      <c r="CO33" s="11" t="n">
        <v>0</v>
      </c>
      <c r="CP33" s="11" t="n">
        <v>0</v>
      </c>
      <c r="CQ33" s="11" t="n">
        <v>0</v>
      </c>
      <c r="CR33" s="11" t="n">
        <v>0</v>
      </c>
      <c r="CS33" s="11" t="n">
        <v>0.0526315789473684</v>
      </c>
      <c r="CT33" s="11" t="n">
        <v>0.0526315789473684</v>
      </c>
      <c r="CU33" s="11" t="n">
        <v>0.0526315789473684</v>
      </c>
      <c r="CV33" s="11" t="n">
        <v>0.0526315789473684</v>
      </c>
      <c r="CW33" s="11" t="n">
        <v>0.1875</v>
      </c>
      <c r="CX33" s="11" t="n">
        <v>0.078125</v>
      </c>
      <c r="CY33" s="11" t="n">
        <v>-0.0344473567901565</v>
      </c>
      <c r="CZ33" s="11" t="n">
        <v>-0.140404609415363</v>
      </c>
      <c r="DA33" s="11" t="n">
        <v>13.3741786169805</v>
      </c>
      <c r="DB33" s="11" t="n">
        <v>-0.0838944926832091</v>
      </c>
      <c r="DC33" s="11" t="n">
        <v>25.2251458338423</v>
      </c>
      <c r="DD33" s="11" t="n">
        <v>0.253474683166032</v>
      </c>
      <c r="DE33" s="11" t="n">
        <v>0.434343434343434</v>
      </c>
      <c r="DF33" s="11" t="n">
        <v>-0.0805081331463218</v>
      </c>
      <c r="DG33" s="11" t="n">
        <v>-0.080672908147988</v>
      </c>
      <c r="DH33" s="11" t="n">
        <v>0.016477500166627</v>
      </c>
      <c r="DI33" s="11" t="n">
        <v>191.373235638198</v>
      </c>
      <c r="DJ33" s="11" t="n">
        <v>80.943704711414</v>
      </c>
      <c r="DK33" s="11" t="n">
        <v>12.7469885071423</v>
      </c>
      <c r="DL33" s="11" t="n">
        <v>49.05</v>
      </c>
      <c r="DM33" s="11" t="n">
        <v>0.676767676767677</v>
      </c>
      <c r="DN33" s="11" t="n">
        <v>0.666666666666667</v>
      </c>
      <c r="DO33" s="11" t="n">
        <v>-0.0145871291232319</v>
      </c>
      <c r="DP33" s="11" t="n">
        <v>0</v>
      </c>
      <c r="DQ33" s="11" t="n">
        <v>0.0404040404040404</v>
      </c>
      <c r="DR33" s="11" t="n">
        <v>0.0404040404040404</v>
      </c>
      <c r="DS33" s="11" t="n">
        <v>0.0303030303030303</v>
      </c>
      <c r="DT33" s="11" t="n">
        <v>0.0101010101010101</v>
      </c>
      <c r="DU33" s="11" t="n">
        <v>0</v>
      </c>
      <c r="DV33" s="11" t="n">
        <v>5</v>
      </c>
      <c r="DW33" s="11" t="s">
        <v>573</v>
      </c>
      <c r="DX33" s="11" t="n">
        <v>0.406307</v>
      </c>
      <c r="DY33" s="11" t="n">
        <v>-0.0375197650717184</v>
      </c>
      <c r="DZ33" s="11" t="n">
        <v>0.850133765071718</v>
      </c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 t="n">
        <v>8.75011089975515</v>
      </c>
      <c r="EP33" s="11" t="n">
        <v>118.764374969184</v>
      </c>
      <c r="EQ33" s="11" t="n">
        <v>2290.5444399191</v>
      </c>
      <c r="ER33" s="11" t="n">
        <v>3.35497951460318</v>
      </c>
      <c r="ES33" s="11" t="n">
        <v>3.35497951460318</v>
      </c>
      <c r="ET33" s="11" t="n">
        <v>3.3451728738664</v>
      </c>
      <c r="EU33" s="11" t="n">
        <v>42.8900947591232</v>
      </c>
      <c r="EV33" s="11" t="n">
        <v>41.9029110245208</v>
      </c>
      <c r="EW33" s="11" t="n">
        <v>570.173304630459</v>
      </c>
      <c r="EX33" s="11" t="n">
        <v>642.419449401419</v>
      </c>
      <c r="EY33" s="11" t="n">
        <v>1.72797029075932</v>
      </c>
      <c r="EZ33" s="11" t="n">
        <v>0.523672915269884</v>
      </c>
      <c r="FA33" s="11" t="n">
        <v>0.0495830497473215</v>
      </c>
      <c r="FB33" s="11" t="n">
        <v>0.939393939393939</v>
      </c>
      <c r="FC33" s="11" t="n">
        <v>0</v>
      </c>
      <c r="FD33" s="11" t="n">
        <v>0</v>
      </c>
      <c r="FE33" s="11" t="s">
        <v>574</v>
      </c>
      <c r="FF33" s="11" t="s">
        <v>273</v>
      </c>
      <c r="FG33" s="11" t="n">
        <v>99</v>
      </c>
      <c r="FH33" s="11" t="s">
        <v>575</v>
      </c>
      <c r="FI33" s="11" t="s">
        <v>59</v>
      </c>
      <c r="FJ33" s="11" t="n">
        <v>0.2</v>
      </c>
      <c r="FK33" s="11" t="n">
        <v>0.168832693041621</v>
      </c>
      <c r="FL33" s="11" t="n">
        <v>0.095308130614565</v>
      </c>
      <c r="FM33" s="11" t="n">
        <v>0</v>
      </c>
      <c r="FN33" s="11" t="n">
        <v>1</v>
      </c>
      <c r="FO33" s="11" t="n">
        <v>0.654569306507483</v>
      </c>
      <c r="FP33" s="11" t="n">
        <v>0.43961928384985</v>
      </c>
      <c r="FQ33" s="11" t="n">
        <v>0.234848484848485</v>
      </c>
      <c r="FR33" s="11" t="n">
        <v>0</v>
      </c>
      <c r="FS33" s="11" t="n">
        <v>0.654354558229143</v>
      </c>
      <c r="FT33" s="11" t="n">
        <v>0.430075287433169</v>
      </c>
      <c r="FU33" s="11" t="n">
        <v>1</v>
      </c>
      <c r="FV33" s="11" t="n">
        <v>10.9282284703574</v>
      </c>
      <c r="FW33" s="11" t="n">
        <v>336.496985764139</v>
      </c>
      <c r="FX33" s="11" t="n">
        <v>0.0519074099694754</v>
      </c>
      <c r="FY33" s="11" t="n">
        <v>1</v>
      </c>
      <c r="FZ33" s="11" t="n">
        <v>19</v>
      </c>
      <c r="GA33" s="11" t="n">
        <v>1</v>
      </c>
      <c r="GB33" s="11" t="s">
        <v>576</v>
      </c>
      <c r="GC33" s="11" t="n">
        <v>0.527030251242898</v>
      </c>
      <c r="GD33" s="11" t="n">
        <v>0.544576625631313</v>
      </c>
      <c r="GE33" s="11" t="n">
        <v>0.536919439525162</v>
      </c>
      <c r="GF33" s="11" t="n">
        <v>0.545454545454545</v>
      </c>
      <c r="GG33" s="11" t="n">
        <v>0.392361111111111</v>
      </c>
      <c r="GH33" s="11" t="n">
        <v>0.393939393939394</v>
      </c>
      <c r="GI33" s="11" t="n">
        <v>0.0217042137384226</v>
      </c>
      <c r="GJ33" s="11" t="n">
        <v>0.0308652322720548</v>
      </c>
      <c r="GK33" s="11" t="n">
        <v>0.0290256996370466</v>
      </c>
      <c r="GL33" s="11" t="n">
        <v>0.0326893198059289</v>
      </c>
      <c r="GM33" s="11" t="n">
        <v>0.143709753047685</v>
      </c>
      <c r="GN33" s="11" t="n">
        <v>0.138209903092392</v>
      </c>
      <c r="GO33" s="11" t="n">
        <v>0.535984848484848</v>
      </c>
      <c r="GP33" s="11" t="n">
        <v>0.545454545454545</v>
      </c>
      <c r="GQ33" s="11" t="n">
        <v>-0.0494036674499512</v>
      </c>
      <c r="GR33" s="11" t="n">
        <v>0</v>
      </c>
      <c r="GS33" s="11" t="n">
        <v>1</v>
      </c>
      <c r="GT33" s="11" t="n">
        <v>0</v>
      </c>
      <c r="GU33" s="11" t="n">
        <v>0</v>
      </c>
      <c r="GV33" s="11" t="n">
        <v>1</v>
      </c>
      <c r="GW33" s="11" t="n">
        <v>1</v>
      </c>
      <c r="GX33" s="11" t="n">
        <v>1</v>
      </c>
      <c r="GY33" s="11" t="n">
        <v>1</v>
      </c>
      <c r="GZ33" s="11" t="n">
        <v>1</v>
      </c>
      <c r="HA33" s="11" t="n">
        <v>0</v>
      </c>
      <c r="HB33" s="11" t="n">
        <v>0</v>
      </c>
      <c r="HC33" s="11" t="n">
        <v>0</v>
      </c>
      <c r="HD33" s="11" t="n">
        <v>1</v>
      </c>
      <c r="HE33" s="11" t="n">
        <v>0</v>
      </c>
      <c r="HF33" s="11" t="n">
        <v>1</v>
      </c>
      <c r="HG33" s="11" t="n">
        <v>1</v>
      </c>
      <c r="HH33" s="11" t="n">
        <v>0</v>
      </c>
      <c r="HI33" s="11" t="n">
        <v>0</v>
      </c>
      <c r="HJ33" s="11" t="n">
        <v>0</v>
      </c>
      <c r="HK33" s="11" t="s">
        <v>804</v>
      </c>
      <c r="HL33" s="11" t="s">
        <v>577</v>
      </c>
      <c r="HM33" s="11" t="n">
        <v>1</v>
      </c>
      <c r="HN33" s="11" t="s">
        <v>10</v>
      </c>
      <c r="HO33" s="11" t="s">
        <v>578</v>
      </c>
      <c r="HP33" s="11" t="s">
        <v>578</v>
      </c>
      <c r="HQ33" s="11" t="n">
        <v>0</v>
      </c>
      <c r="HR33" s="11" t="s">
        <v>189</v>
      </c>
      <c r="HS33" s="11" t="s">
        <v>579</v>
      </c>
      <c r="HT33" s="11" t="s">
        <v>579</v>
      </c>
      <c r="HU33" s="11" t="s">
        <v>805</v>
      </c>
      <c r="HV33" s="11" t="s">
        <v>805</v>
      </c>
      <c r="HW33" s="11" t="s">
        <v>806</v>
      </c>
      <c r="HX33" s="11" t="s">
        <v>807</v>
      </c>
      <c r="HY33" s="11" t="s">
        <v>583</v>
      </c>
      <c r="HZ33" s="11" t="s">
        <v>808</v>
      </c>
      <c r="IA33" s="11" t="s">
        <v>802</v>
      </c>
      <c r="IB33" s="11" t="s">
        <v>809</v>
      </c>
      <c r="IC33" s="11" t="s">
        <v>273</v>
      </c>
      <c r="ID33" s="11" t="s">
        <v>810</v>
      </c>
      <c r="IE33" s="11"/>
      <c r="IF33" s="11"/>
      <c r="IG33" s="11"/>
      <c r="IH33" s="11"/>
    </row>
    <row r="34" customFormat="false" ht="15" hidden="false" customHeight="false" outlineLevel="0" collapsed="false">
      <c r="A34" s="11" t="s">
        <v>98</v>
      </c>
      <c r="B34" s="11" t="s">
        <v>811</v>
      </c>
      <c r="C34" s="11" t="s">
        <v>588</v>
      </c>
      <c r="D34" s="11" t="s">
        <v>570</v>
      </c>
      <c r="E34" s="11" t="s">
        <v>51</v>
      </c>
      <c r="F34" s="11"/>
      <c r="G34" s="11"/>
      <c r="H34" s="11" t="s">
        <v>812</v>
      </c>
      <c r="I34" s="11" t="s">
        <v>272</v>
      </c>
      <c r="J34" s="11" t="n">
        <v>99</v>
      </c>
      <c r="K34" s="11" t="n">
        <v>3.3</v>
      </c>
      <c r="L34" s="11" t="n">
        <v>0.737977802753449</v>
      </c>
      <c r="M34" s="11" t="n">
        <v>0.864583373069763</v>
      </c>
      <c r="N34" s="11" t="n">
        <v>0</v>
      </c>
      <c r="O34" s="11" t="n">
        <v>1.49157174299577</v>
      </c>
      <c r="P34" s="11" t="n">
        <v>1.58665485202178</v>
      </c>
      <c r="Q34" s="11" t="n">
        <v>0.223598947689455</v>
      </c>
      <c r="R34" s="11" t="n">
        <v>0.303030303030303</v>
      </c>
      <c r="S34" s="11" t="n">
        <v>0.333333333333333</v>
      </c>
      <c r="T34" s="11" t="n">
        <v>0.0505050505050505</v>
      </c>
      <c r="U34" s="11" t="n">
        <v>0</v>
      </c>
      <c r="V34" s="11" t="n">
        <v>0</v>
      </c>
      <c r="W34" s="11" t="n">
        <v>0.464646464646465</v>
      </c>
      <c r="X34" s="11" t="n">
        <v>0.282828282828283</v>
      </c>
      <c r="Y34" s="11" t="n">
        <v>0.323232323232323</v>
      </c>
      <c r="Z34" s="11" t="n">
        <v>0.424242424242424</v>
      </c>
      <c r="AA34" s="11" t="n">
        <v>0.141414141414141</v>
      </c>
      <c r="AB34" s="11" t="n">
        <v>0.0404040404040404</v>
      </c>
      <c r="AC34" s="11" t="n">
        <v>-0.00202945985029263</v>
      </c>
      <c r="AD34" s="11" t="n">
        <v>-0.00633481299450778</v>
      </c>
      <c r="AE34" s="11" t="n">
        <v>0.391304347826087</v>
      </c>
      <c r="AF34" s="11" t="n">
        <v>0.304347826086956</v>
      </c>
      <c r="AG34" s="11" t="n">
        <v>0.0869565217391304</v>
      </c>
      <c r="AH34" s="11" t="n">
        <v>0.181818181818182</v>
      </c>
      <c r="AI34" s="11" t="n">
        <v>0.141414141414141</v>
      </c>
      <c r="AJ34" s="11" t="n">
        <v>0.0404040404040404</v>
      </c>
      <c r="AK34" s="11" t="n">
        <v>0.457674445779889</v>
      </c>
      <c r="AL34" s="11" t="n">
        <v>0</v>
      </c>
      <c r="AM34" s="11" t="n">
        <v>0</v>
      </c>
      <c r="AN34" s="11" t="n">
        <v>0</v>
      </c>
      <c r="AO34" s="11"/>
      <c r="AP34" s="11"/>
      <c r="AQ34" s="11"/>
      <c r="AR34" s="11" t="n">
        <v>0</v>
      </c>
      <c r="AS34" s="11" t="n">
        <v>0.303030303030303</v>
      </c>
      <c r="AT34" s="11" t="n">
        <v>0.212121212121212</v>
      </c>
      <c r="AU34" s="11" t="n">
        <v>0.212121212121212</v>
      </c>
      <c r="AV34" s="11" t="n">
        <v>0</v>
      </c>
      <c r="AW34" s="11" t="n">
        <v>0</v>
      </c>
      <c r="AX34" s="11" t="n">
        <v>0</v>
      </c>
      <c r="AY34" s="11" t="n">
        <v>0.00907766450834849</v>
      </c>
      <c r="AZ34" s="11" t="n">
        <v>0.0245730733496702</v>
      </c>
      <c r="BA34" s="11"/>
      <c r="BB34" s="11" t="n">
        <v>0</v>
      </c>
      <c r="BC34" s="11" t="n">
        <v>0.717171717171717</v>
      </c>
      <c r="BD34" s="11" t="n">
        <v>0.0404040404040404</v>
      </c>
      <c r="BE34" s="11" t="n">
        <v>0.727272727272727</v>
      </c>
      <c r="BF34" s="11" t="n">
        <v>0.262626262626263</v>
      </c>
      <c r="BG34" s="11" t="n">
        <v>0.737373737373737</v>
      </c>
      <c r="BH34" s="11" t="n">
        <v>0.474747474747475</v>
      </c>
      <c r="BI34" s="11" t="n">
        <v>0.797979797979798</v>
      </c>
      <c r="BJ34" s="11" t="n">
        <v>0.315456259390952</v>
      </c>
      <c r="BK34" s="11" t="n">
        <v>0.295338451449871</v>
      </c>
      <c r="BL34" s="11" t="n">
        <v>0.740339202104835</v>
      </c>
      <c r="BM34" s="11" t="n">
        <v>0.864663738906794</v>
      </c>
      <c r="BN34" s="11" t="n">
        <v>0.692074688481804</v>
      </c>
      <c r="BO34" s="11" t="n">
        <v>0.818053348002122</v>
      </c>
      <c r="BP34" s="11" t="n">
        <v>0.0332334257290125</v>
      </c>
      <c r="BQ34" s="11" t="n">
        <v>0.0167183482809398</v>
      </c>
      <c r="BR34" s="11" t="n">
        <v>5.35242688872839</v>
      </c>
      <c r="BS34" s="11" t="n">
        <v>24.1502870434455</v>
      </c>
      <c r="BT34" s="11" t="n">
        <v>49.3860832454766</v>
      </c>
      <c r="BU34" s="11" t="n">
        <v>31.5456259390952</v>
      </c>
      <c r="BV34" s="11" t="n">
        <v>42.4183116886898</v>
      </c>
      <c r="BW34" s="11" t="n">
        <v>14.1128945090528</v>
      </c>
      <c r="BX34" s="11" t="n">
        <v>4.01556678939207</v>
      </c>
      <c r="BY34" s="11" t="n">
        <v>6.78355612909578</v>
      </c>
      <c r="BZ34" s="11" t="n">
        <v>0.646464646464646</v>
      </c>
      <c r="CA34" s="11" t="n">
        <v>0.71875</v>
      </c>
      <c r="CB34" s="11" t="n">
        <v>0.4375</v>
      </c>
      <c r="CC34" s="11" t="n">
        <v>0.5</v>
      </c>
      <c r="CD34" s="11" t="n">
        <v>0.65625</v>
      </c>
      <c r="CE34" s="11" t="n">
        <v>0.646464646464646</v>
      </c>
      <c r="CF34" s="11" t="n">
        <v>5</v>
      </c>
      <c r="CG34" s="11" t="n">
        <v>0</v>
      </c>
      <c r="CH34" s="11" t="n">
        <v>0.71875</v>
      </c>
      <c r="CI34" s="11" t="n">
        <v>0.5</v>
      </c>
      <c r="CJ34" s="11" t="n">
        <v>0.65625</v>
      </c>
      <c r="CK34" s="11" t="n">
        <v>0</v>
      </c>
      <c r="CL34" s="11" t="n">
        <v>0</v>
      </c>
      <c r="CM34" s="11" t="n">
        <v>0</v>
      </c>
      <c r="CN34" s="11" t="n">
        <v>0</v>
      </c>
      <c r="CO34" s="11" t="n">
        <v>0</v>
      </c>
      <c r="CP34" s="11" t="n">
        <v>0</v>
      </c>
      <c r="CQ34" s="11" t="n">
        <v>0</v>
      </c>
      <c r="CR34" s="11" t="n">
        <v>0</v>
      </c>
      <c r="CS34" s="11" t="n">
        <v>0</v>
      </c>
      <c r="CT34" s="11" t="n">
        <v>0</v>
      </c>
      <c r="CU34" s="11" t="n">
        <v>0</v>
      </c>
      <c r="CV34" s="11" t="n">
        <v>0</v>
      </c>
      <c r="CW34" s="11" t="n">
        <v>0.078125</v>
      </c>
      <c r="CX34" s="11" t="n">
        <v>0</v>
      </c>
      <c r="CY34" s="11" t="n">
        <v>0.0110266549712434</v>
      </c>
      <c r="CZ34" s="11" t="n">
        <v>-0.0688557138662069</v>
      </c>
      <c r="DA34" s="11" t="n">
        <v>12.8279855656516</v>
      </c>
      <c r="DB34" s="11" t="n">
        <v>-0.00979459426293494</v>
      </c>
      <c r="DC34" s="11" t="n">
        <v>25.1418556986791</v>
      </c>
      <c r="DD34" s="11" t="n">
        <v>0.181419509281028</v>
      </c>
      <c r="DE34" s="11" t="n">
        <v>0.434343434343434</v>
      </c>
      <c r="DF34" s="11" t="n">
        <v>-0.0126391426709389</v>
      </c>
      <c r="DG34" s="11" t="n">
        <v>0.00332172078256038</v>
      </c>
      <c r="DH34" s="11" t="n">
        <v>-1.59608634534993</v>
      </c>
      <c r="DI34" s="11" t="n">
        <v>204.200827798001</v>
      </c>
      <c r="DJ34" s="11" t="n">
        <v>56.2494813806508</v>
      </c>
      <c r="DK34" s="11" t="n">
        <v>13.3080305776507</v>
      </c>
      <c r="DL34" s="11" t="n">
        <v>49.05</v>
      </c>
      <c r="DM34" s="11" t="n">
        <v>0.676767676767677</v>
      </c>
      <c r="DN34" s="11" t="n">
        <v>0.666666666666667</v>
      </c>
      <c r="DO34" s="11" t="n">
        <v>-0.0145871291232319</v>
      </c>
      <c r="DP34" s="11" t="n">
        <v>0</v>
      </c>
      <c r="DQ34" s="11" t="n">
        <v>0</v>
      </c>
      <c r="DR34" s="11" t="n">
        <v>0</v>
      </c>
      <c r="DS34" s="11" t="n">
        <v>0</v>
      </c>
      <c r="DT34" s="11" t="n">
        <v>0</v>
      </c>
      <c r="DU34" s="11" t="n">
        <v>0</v>
      </c>
      <c r="DV34" s="11" t="n">
        <v>5</v>
      </c>
      <c r="DW34" s="11" t="s">
        <v>573</v>
      </c>
      <c r="DX34" s="11" t="n">
        <v>0.406307</v>
      </c>
      <c r="DY34" s="11" t="n">
        <v>-0.0375197650717184</v>
      </c>
      <c r="DZ34" s="11" t="n">
        <v>0.850133765071718</v>
      </c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 t="n">
        <v>10.2983975380563</v>
      </c>
      <c r="EP34" s="11" t="n">
        <v>156.502230545804</v>
      </c>
      <c r="EQ34" s="11" t="n">
        <v>2954.51478474788</v>
      </c>
      <c r="ER34" s="11" t="n">
        <v>3.89159305262854</v>
      </c>
      <c r="ES34" s="11" t="n">
        <v>3.89159305262854</v>
      </c>
      <c r="ET34" s="11" t="n">
        <v>3.22299253763635</v>
      </c>
      <c r="EU34" s="11" t="n">
        <v>79.562745689969</v>
      </c>
      <c r="EV34" s="11" t="n">
        <v>79.562745689969</v>
      </c>
      <c r="EW34" s="11" t="n">
        <v>847.282854193715</v>
      </c>
      <c r="EX34" s="11" t="n">
        <v>968.948156021705</v>
      </c>
      <c r="EY34" s="11" t="n">
        <v>1.48217085507897</v>
      </c>
      <c r="EZ34" s="11" t="n">
        <v>1.01227632519191</v>
      </c>
      <c r="FA34" s="11" t="n">
        <v>0.0489915606417231</v>
      </c>
      <c r="FB34" s="11" t="n">
        <v>0.848484848484848</v>
      </c>
      <c r="FC34" s="11" t="n">
        <v>0</v>
      </c>
      <c r="FD34" s="11" t="n">
        <v>0</v>
      </c>
      <c r="FE34" s="11" t="s">
        <v>574</v>
      </c>
      <c r="FF34" s="11" t="s">
        <v>273</v>
      </c>
      <c r="FG34" s="11" t="n">
        <v>99</v>
      </c>
      <c r="FH34" s="11" t="s">
        <v>575</v>
      </c>
      <c r="FI34" s="11" t="s">
        <v>59</v>
      </c>
      <c r="FJ34" s="11" t="n">
        <v>0.2</v>
      </c>
      <c r="FK34" s="11" t="n">
        <v>0.106032371558323</v>
      </c>
      <c r="FL34" s="11" t="n">
        <v>0.0789869007259339</v>
      </c>
      <c r="FM34" s="11" t="n">
        <v>0</v>
      </c>
      <c r="FN34" s="11" t="n">
        <v>1</v>
      </c>
      <c r="FO34" s="11" t="n">
        <v>0.869570340245528</v>
      </c>
      <c r="FP34" s="11" t="n">
        <v>0.724778976076539</v>
      </c>
      <c r="FQ34" s="11" t="n">
        <v>0.419191919191919</v>
      </c>
      <c r="FR34" s="11" t="n">
        <v>0</v>
      </c>
      <c r="FS34" s="11" t="n">
        <v>0.868967658967107</v>
      </c>
      <c r="FT34" s="11" t="n">
        <v>0.724033049382656</v>
      </c>
      <c r="FU34" s="11" t="n">
        <v>1</v>
      </c>
      <c r="FV34" s="11" t="n">
        <v>14.2406977640565</v>
      </c>
      <c r="FW34" s="11" t="n">
        <v>394.138298511179</v>
      </c>
      <c r="FX34" s="11" t="n">
        <v>0.0519792946603422</v>
      </c>
      <c r="FY34" s="11" t="n">
        <v>1</v>
      </c>
      <c r="FZ34" s="11" t="n">
        <v>19</v>
      </c>
      <c r="GA34" s="11" t="n">
        <v>1</v>
      </c>
      <c r="GB34" s="11" t="s">
        <v>576</v>
      </c>
      <c r="GC34" s="11" t="n">
        <v>0.353929924242424</v>
      </c>
      <c r="GD34" s="11" t="n">
        <v>0.373145517676768</v>
      </c>
      <c r="GE34" s="11" t="n">
        <v>0.365768592788501</v>
      </c>
      <c r="GF34" s="11" t="n">
        <v>0.373737373737374</v>
      </c>
      <c r="GG34" s="11" t="n">
        <v>0.566919191919192</v>
      </c>
      <c r="GH34" s="11" t="n">
        <v>0.565656565656566</v>
      </c>
      <c r="GI34" s="11" t="n">
        <v>-0.0017190566671556</v>
      </c>
      <c r="GJ34" s="11" t="n">
        <v>0.00286107372041001</v>
      </c>
      <c r="GK34" s="11" t="n">
        <v>0.00260292837504613</v>
      </c>
      <c r="GL34" s="11" t="n">
        <v>0.0060200999782543</v>
      </c>
      <c r="GM34" s="11" t="n">
        <v>0.285475983316878</v>
      </c>
      <c r="GN34" s="11" t="n">
        <v>0.284397123946374</v>
      </c>
      <c r="GO34" s="11" t="n">
        <v>0.364267676767677</v>
      </c>
      <c r="GP34" s="11" t="n">
        <v>0.373737373737374</v>
      </c>
      <c r="GQ34" s="11" t="n">
        <v>-0.0583768375217915</v>
      </c>
      <c r="GR34" s="11" t="n">
        <v>0</v>
      </c>
      <c r="GS34" s="11" t="n">
        <v>1</v>
      </c>
      <c r="GT34" s="11" t="n">
        <v>0</v>
      </c>
      <c r="GU34" s="11" t="n">
        <v>0</v>
      </c>
      <c r="GV34" s="11" t="n">
        <v>1</v>
      </c>
      <c r="GW34" s="11" t="n">
        <v>1</v>
      </c>
      <c r="GX34" s="11" t="n">
        <v>1</v>
      </c>
      <c r="GY34" s="11" t="n">
        <v>1</v>
      </c>
      <c r="GZ34" s="11" t="n">
        <v>1</v>
      </c>
      <c r="HA34" s="11" t="n">
        <v>0</v>
      </c>
      <c r="HB34" s="11" t="n">
        <v>0</v>
      </c>
      <c r="HC34" s="11" t="n">
        <v>0</v>
      </c>
      <c r="HD34" s="11" t="n">
        <v>0</v>
      </c>
      <c r="HE34" s="11" t="n">
        <v>0</v>
      </c>
      <c r="HF34" s="11" t="n">
        <v>1</v>
      </c>
      <c r="HG34" s="11" t="n">
        <v>1</v>
      </c>
      <c r="HH34" s="11" t="n">
        <v>0</v>
      </c>
      <c r="HI34" s="11" t="n">
        <v>0</v>
      </c>
      <c r="HJ34" s="11" t="n">
        <v>0</v>
      </c>
      <c r="HK34" s="11" t="s">
        <v>788</v>
      </c>
      <c r="HL34" s="11" t="s">
        <v>577</v>
      </c>
      <c r="HM34" s="11" t="n">
        <v>1</v>
      </c>
      <c r="HN34" s="11" t="s">
        <v>591</v>
      </c>
      <c r="HO34" s="11" t="s">
        <v>578</v>
      </c>
      <c r="HP34" s="11" t="s">
        <v>578</v>
      </c>
      <c r="HQ34" s="11" t="n">
        <v>0</v>
      </c>
      <c r="HR34" s="11" t="s">
        <v>189</v>
      </c>
      <c r="HS34" s="11" t="s">
        <v>300</v>
      </c>
      <c r="HT34" s="11" t="s">
        <v>300</v>
      </c>
      <c r="HU34" s="11" t="s">
        <v>813</v>
      </c>
      <c r="HV34" s="11" t="s">
        <v>813</v>
      </c>
      <c r="HW34" s="11" t="s">
        <v>814</v>
      </c>
      <c r="HX34" s="11" t="s">
        <v>807</v>
      </c>
      <c r="HY34" s="11" t="s">
        <v>583</v>
      </c>
      <c r="HZ34" s="11" t="s">
        <v>815</v>
      </c>
      <c r="IA34" s="11" t="s">
        <v>812</v>
      </c>
      <c r="IB34" s="11" t="s">
        <v>816</v>
      </c>
      <c r="IC34" s="11" t="s">
        <v>273</v>
      </c>
      <c r="ID34" s="11" t="s">
        <v>810</v>
      </c>
      <c r="IE34" s="11"/>
      <c r="IF34" s="11"/>
      <c r="IG34" s="11"/>
      <c r="IH34" s="11"/>
    </row>
    <row r="35" customFormat="false" ht="15" hidden="false" customHeight="false" outlineLevel="0" collapsed="false">
      <c r="A35" s="11" t="s">
        <v>99</v>
      </c>
      <c r="B35" s="11" t="s">
        <v>817</v>
      </c>
      <c r="C35" s="11" t="s">
        <v>569</v>
      </c>
      <c r="D35" s="11" t="s">
        <v>570</v>
      </c>
      <c r="E35" s="11" t="s">
        <v>51</v>
      </c>
      <c r="F35" s="11"/>
      <c r="G35" s="11"/>
      <c r="H35" s="11" t="s">
        <v>818</v>
      </c>
      <c r="I35" s="11" t="s">
        <v>819</v>
      </c>
      <c r="J35" s="11" t="n">
        <v>119</v>
      </c>
      <c r="K35" s="11" t="n">
        <v>3.96666666666667</v>
      </c>
      <c r="L35" s="11" t="n">
        <v>0.751995444297791</v>
      </c>
      <c r="M35" s="11" t="n">
        <v>0.825361371040344</v>
      </c>
      <c r="N35" s="11" t="n">
        <v>0</v>
      </c>
      <c r="O35" s="11" t="n">
        <v>0.924249983636663</v>
      </c>
      <c r="P35" s="11" t="n">
        <v>0.966262788828723</v>
      </c>
      <c r="Q35" s="11" t="n">
        <v>0.142012156215123</v>
      </c>
      <c r="R35" s="11" t="n">
        <v>0.504201680672269</v>
      </c>
      <c r="S35" s="11" t="n">
        <v>0.126050420168067</v>
      </c>
      <c r="T35" s="11" t="n">
        <v>0.00840336134453782</v>
      </c>
      <c r="U35" s="11" t="n">
        <v>0</v>
      </c>
      <c r="V35" s="11" t="n">
        <v>0</v>
      </c>
      <c r="W35" s="11" t="n">
        <v>0.630252100840336</v>
      </c>
      <c r="X35" s="11" t="n">
        <v>0.134453781512605</v>
      </c>
      <c r="Y35" s="11" t="n">
        <v>0.310924369747899</v>
      </c>
      <c r="Z35" s="11" t="n">
        <v>0.529411764705882</v>
      </c>
      <c r="AA35" s="11" t="n">
        <v>0.319327731092437</v>
      </c>
      <c r="AB35" s="11" t="n">
        <v>0.100840336134454</v>
      </c>
      <c r="AC35" s="11" t="n">
        <v>-0.00344188148981485</v>
      </c>
      <c r="AD35" s="11" t="n">
        <v>-0.0103346470551062</v>
      </c>
      <c r="AE35" s="11" t="n">
        <v>0.784090909090909</v>
      </c>
      <c r="AF35" s="11" t="n">
        <v>0.511363636363636</v>
      </c>
      <c r="AG35" s="11" t="n">
        <v>0.159090909090909</v>
      </c>
      <c r="AH35" s="11" t="n">
        <v>0.495798319327731</v>
      </c>
      <c r="AI35" s="11" t="n">
        <v>0.319327731092437</v>
      </c>
      <c r="AJ35" s="11" t="n">
        <v>0.100840336134454</v>
      </c>
      <c r="AK35" s="11" t="n">
        <v>0.470063286737652</v>
      </c>
      <c r="AL35" s="11" t="n">
        <v>0</v>
      </c>
      <c r="AM35" s="11" t="n">
        <v>0</v>
      </c>
      <c r="AN35" s="11" t="n">
        <v>0</v>
      </c>
      <c r="AO35" s="11"/>
      <c r="AP35" s="11"/>
      <c r="AQ35" s="11"/>
      <c r="AR35" s="11" t="n">
        <v>0</v>
      </c>
      <c r="AS35" s="11" t="n">
        <v>0.0168067226890756</v>
      </c>
      <c r="AT35" s="11" t="n">
        <v>0</v>
      </c>
      <c r="AU35" s="11" t="n">
        <v>0</v>
      </c>
      <c r="AV35" s="11" t="n">
        <v>0</v>
      </c>
      <c r="AW35" s="11" t="n">
        <v>0</v>
      </c>
      <c r="AX35" s="11" t="n">
        <v>0</v>
      </c>
      <c r="AY35" s="11" t="n">
        <v>0.00600606235793268</v>
      </c>
      <c r="AZ35" s="11" t="n">
        <v>0.0154804688588331</v>
      </c>
      <c r="BA35" s="11"/>
      <c r="BB35" s="11" t="n">
        <v>0.487394957983193</v>
      </c>
      <c r="BC35" s="11" t="n">
        <v>0.689075630252101</v>
      </c>
      <c r="BD35" s="11" t="n">
        <v>0.596638655462185</v>
      </c>
      <c r="BE35" s="11" t="n">
        <v>0.689075630252101</v>
      </c>
      <c r="BF35" s="11" t="n">
        <v>0.630252100840336</v>
      </c>
      <c r="BG35" s="11" t="n">
        <v>0.697478991596639</v>
      </c>
      <c r="BH35" s="11" t="n">
        <v>0.663865546218487</v>
      </c>
      <c r="BI35" s="11" t="n">
        <v>0.781512605042017</v>
      </c>
      <c r="BJ35" s="11" t="n">
        <v>0.132618021718811</v>
      </c>
      <c r="BK35" s="11" t="n">
        <v>0.0501159846482268</v>
      </c>
      <c r="BL35" s="11" t="n">
        <v>0.157469895508056</v>
      </c>
      <c r="BM35" s="11" t="n">
        <v>0.0245978358867444</v>
      </c>
      <c r="BN35" s="11" t="n">
        <v>0.483286824213367</v>
      </c>
      <c r="BO35" s="11" t="n">
        <v>0.341975805142374</v>
      </c>
      <c r="BP35" s="11" t="n">
        <v>0.00964816128604571</v>
      </c>
      <c r="BQ35" s="11" t="n">
        <v>0.00477786354895234</v>
      </c>
      <c r="BR35" s="11" t="n">
        <v>3.7281190006928</v>
      </c>
      <c r="BS35" s="11" t="n">
        <v>12.2489143702842</v>
      </c>
      <c r="BT35" s="11" t="n">
        <v>18.420279583465</v>
      </c>
      <c r="BU35" s="11" t="n">
        <v>13.2618021718811</v>
      </c>
      <c r="BV35" s="11" t="n">
        <v>9.02236040592155</v>
      </c>
      <c r="BW35" s="11" t="n">
        <v>10.3613790317046</v>
      </c>
      <c r="BX35" s="11" t="n">
        <v>4.84328086349573</v>
      </c>
      <c r="BY35" s="11" t="n">
        <v>6.81385203905223</v>
      </c>
      <c r="BZ35" s="11" t="n">
        <v>0.705882352941176</v>
      </c>
      <c r="CA35" s="11" t="n">
        <v>0.892857142857143</v>
      </c>
      <c r="CB35" s="11" t="n">
        <v>0.190476190476191</v>
      </c>
      <c r="CC35" s="11" t="n">
        <v>0.440476190476191</v>
      </c>
      <c r="CD35" s="11" t="n">
        <v>0.75</v>
      </c>
      <c r="CE35" s="11" t="n">
        <v>0.705882352941176</v>
      </c>
      <c r="CF35" s="11" t="n">
        <v>5</v>
      </c>
      <c r="CG35" s="11" t="n">
        <v>0</v>
      </c>
      <c r="CH35" s="11" t="n">
        <v>0.892857142857143</v>
      </c>
      <c r="CI35" s="11" t="n">
        <v>0.440476190476191</v>
      </c>
      <c r="CJ35" s="11" t="n">
        <v>0.75</v>
      </c>
      <c r="CK35" s="11" t="n">
        <v>0</v>
      </c>
      <c r="CL35" s="11" t="n">
        <v>0</v>
      </c>
      <c r="CM35" s="11" t="n">
        <v>0</v>
      </c>
      <c r="CN35" s="11" t="n">
        <v>0</v>
      </c>
      <c r="CO35" s="11" t="n">
        <v>0</v>
      </c>
      <c r="CP35" s="11" t="n">
        <v>0</v>
      </c>
      <c r="CQ35" s="11" t="n">
        <v>0</v>
      </c>
      <c r="CR35" s="11" t="n">
        <v>0</v>
      </c>
      <c r="CS35" s="11" t="n">
        <v>0</v>
      </c>
      <c r="CT35" s="11" t="n">
        <v>0</v>
      </c>
      <c r="CU35" s="11" t="n">
        <v>0</v>
      </c>
      <c r="CV35" s="11" t="n">
        <v>0</v>
      </c>
      <c r="CW35" s="11" t="n">
        <v>0.0119047619047619</v>
      </c>
      <c r="CX35" s="11" t="n">
        <v>0</v>
      </c>
      <c r="CY35" s="11" t="n">
        <v>-0.0458745128062037</v>
      </c>
      <c r="CZ35" s="11" t="n">
        <v>-0.108865306849294</v>
      </c>
      <c r="DA35" s="11" t="n">
        <v>8.55538483886347</v>
      </c>
      <c r="DB35" s="11" t="n">
        <v>-0.0900540875986389</v>
      </c>
      <c r="DC35" s="11" t="n">
        <v>12.1293917972909</v>
      </c>
      <c r="DD35" s="11" t="n">
        <v>0.426093860479572</v>
      </c>
      <c r="DE35" s="11" t="n">
        <v>0.512605042016807</v>
      </c>
      <c r="DF35" s="11" t="n">
        <v>-0.0564222410539004</v>
      </c>
      <c r="DG35" s="11" t="n">
        <v>-0.154392793128068</v>
      </c>
      <c r="DH35" s="11" t="n">
        <v>9.79705520741677</v>
      </c>
      <c r="DI35" s="11" t="n">
        <v>113.615203402286</v>
      </c>
      <c r="DJ35" s="11" t="n">
        <v>68.9645890044944</v>
      </c>
      <c r="DK35" s="11" t="n">
        <v>14.4581601597848</v>
      </c>
      <c r="DL35" s="11" t="n">
        <v>49.05</v>
      </c>
      <c r="DM35" s="11" t="n">
        <v>0.689075630252101</v>
      </c>
      <c r="DN35" s="11" t="n">
        <v>0.647058823529412</v>
      </c>
      <c r="DO35" s="11" t="n">
        <v>-0.0154751481920064</v>
      </c>
      <c r="DP35" s="11" t="n">
        <v>0</v>
      </c>
      <c r="DQ35" s="11" t="n">
        <v>0.0336134453781513</v>
      </c>
      <c r="DR35" s="11" t="n">
        <v>0.00840336134453782</v>
      </c>
      <c r="DS35" s="11" t="n">
        <v>0</v>
      </c>
      <c r="DT35" s="11" t="n">
        <v>0</v>
      </c>
      <c r="DU35" s="11" t="n">
        <v>0</v>
      </c>
      <c r="DV35" s="11" t="n">
        <v>5</v>
      </c>
      <c r="DW35" s="11" t="s">
        <v>573</v>
      </c>
      <c r="DX35" s="11" t="n">
        <v>0.406307</v>
      </c>
      <c r="DY35" s="11" t="n">
        <v>0.0501733257317448</v>
      </c>
      <c r="DZ35" s="11" t="n">
        <v>0.762440674268255</v>
      </c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 t="n">
        <v>8.29075711781032</v>
      </c>
      <c r="EP35" s="11" t="n">
        <v>88.8590746811833</v>
      </c>
      <c r="EQ35" s="11" t="n">
        <v>1721.9520550543</v>
      </c>
      <c r="ER35" s="11" t="n">
        <v>3.15275988599286</v>
      </c>
      <c r="ES35" s="11" t="n">
        <v>3.15275988599286</v>
      </c>
      <c r="ET35" s="11" t="n">
        <v>2.74423342439158</v>
      </c>
      <c r="EU35" s="11" t="n">
        <v>38.8696684821955</v>
      </c>
      <c r="EV35" s="11" t="n">
        <v>38.8696684821955</v>
      </c>
      <c r="EW35" s="11" t="n">
        <v>435.172733548343</v>
      </c>
      <c r="EX35" s="11" t="n">
        <v>511.651091762764</v>
      </c>
      <c r="EY35" s="11" t="n">
        <v>0.928564674782865</v>
      </c>
      <c r="EZ35" s="11" t="n">
        <v>0.637053246560335</v>
      </c>
      <c r="FA35" s="11" t="n">
        <v>0.0499122052519648</v>
      </c>
      <c r="FB35" s="11" t="n">
        <v>0.983193277310924</v>
      </c>
      <c r="FC35" s="11" t="n">
        <v>0</v>
      </c>
      <c r="FD35" s="11" t="n">
        <v>0</v>
      </c>
      <c r="FE35" s="11" t="s">
        <v>574</v>
      </c>
      <c r="FF35" s="11" t="s">
        <v>278</v>
      </c>
      <c r="FG35" s="11" t="n">
        <v>119</v>
      </c>
      <c r="FH35" s="11" t="s">
        <v>575</v>
      </c>
      <c r="FI35" s="11" t="s">
        <v>59</v>
      </c>
      <c r="FJ35" s="11" t="n">
        <v>0.2</v>
      </c>
      <c r="FK35" s="11" t="n">
        <v>0.154163484040921</v>
      </c>
      <c r="FL35" s="11" t="n">
        <v>0.0800343161956466</v>
      </c>
      <c r="FM35" s="11" t="n">
        <v>0</v>
      </c>
      <c r="FN35" s="11" t="n">
        <v>1</v>
      </c>
      <c r="FO35" s="11" t="n">
        <v>0.665472151921016</v>
      </c>
      <c r="FP35" s="11" t="n">
        <v>0.422407062445586</v>
      </c>
      <c r="FQ35" s="11" t="n">
        <v>0.100840336134454</v>
      </c>
      <c r="FR35" s="11" t="n">
        <v>0</v>
      </c>
      <c r="FS35" s="11" t="n">
        <v>0.658988423363154</v>
      </c>
      <c r="FT35" s="11" t="n">
        <v>0.42116676667505</v>
      </c>
      <c r="FU35" s="11" t="n">
        <v>1</v>
      </c>
      <c r="FV35" s="11" t="n">
        <v>10.1724107960568</v>
      </c>
      <c r="FW35" s="11" t="n">
        <v>244.509882848148</v>
      </c>
      <c r="FX35" s="11" t="n">
        <v>0.0462092590039201</v>
      </c>
      <c r="FY35" s="11" t="n">
        <v>1</v>
      </c>
      <c r="FZ35" s="11" t="n">
        <v>20</v>
      </c>
      <c r="GA35" s="11" t="n">
        <v>1</v>
      </c>
      <c r="GB35" s="11" t="s">
        <v>576</v>
      </c>
      <c r="GC35" s="11" t="n">
        <v>0.921865254891019</v>
      </c>
      <c r="GD35" s="11" t="n">
        <v>0.948709952731092</v>
      </c>
      <c r="GE35" s="11" t="n">
        <v>0.949579831932773</v>
      </c>
      <c r="GF35" s="11" t="n">
        <v>0.949579831932773</v>
      </c>
      <c r="GG35" s="11" t="n">
        <v>0</v>
      </c>
      <c r="GH35" s="11" t="n">
        <v>0</v>
      </c>
      <c r="GI35" s="11" t="n">
        <v>0.0327415404213493</v>
      </c>
      <c r="GJ35" s="11" t="n">
        <v>0.044163051609169</v>
      </c>
      <c r="GK35" s="11" t="n">
        <v>0.0419971456954329</v>
      </c>
      <c r="GL35" s="11" t="n">
        <v>0.0472944759090721</v>
      </c>
      <c r="GM35" s="11" t="n">
        <v>0.00287315636005864</v>
      </c>
      <c r="GN35" s="11" t="n">
        <v>6.95835002689444E-005</v>
      </c>
      <c r="GO35" s="11" t="n">
        <v>0.949579831932773</v>
      </c>
      <c r="GP35" s="11" t="n">
        <v>0.949579831932773</v>
      </c>
      <c r="GQ35" s="11" t="n">
        <v>-0.0336563847959042</v>
      </c>
      <c r="GR35" s="11" t="n">
        <v>1</v>
      </c>
      <c r="GS35" s="11" t="n">
        <v>1</v>
      </c>
      <c r="GT35" s="11" t="n">
        <v>0</v>
      </c>
      <c r="GU35" s="11" t="n">
        <v>0</v>
      </c>
      <c r="GV35" s="11" t="n">
        <v>1</v>
      </c>
      <c r="GW35" s="11" t="n">
        <v>1</v>
      </c>
      <c r="GX35" s="11" t="n">
        <v>1</v>
      </c>
      <c r="GY35" s="11" t="n">
        <v>1</v>
      </c>
      <c r="GZ35" s="11" t="n">
        <v>0</v>
      </c>
      <c r="HA35" s="11" t="n">
        <v>1</v>
      </c>
      <c r="HB35" s="11" t="n">
        <v>1</v>
      </c>
      <c r="HC35" s="11" t="n">
        <v>1</v>
      </c>
      <c r="HD35" s="11" t="n">
        <v>1</v>
      </c>
      <c r="HE35" s="11" t="n">
        <v>1</v>
      </c>
      <c r="HF35" s="11" t="n">
        <v>1</v>
      </c>
      <c r="HG35" s="11" t="n">
        <v>1</v>
      </c>
      <c r="HH35" s="11" t="n">
        <v>0</v>
      </c>
      <c r="HI35" s="11" t="n">
        <v>0</v>
      </c>
      <c r="HJ35" s="11" t="n">
        <v>0</v>
      </c>
      <c r="HK35" s="11" t="s">
        <v>138</v>
      </c>
      <c r="HL35" s="11" t="s">
        <v>577</v>
      </c>
      <c r="HM35" s="11" t="n">
        <v>1</v>
      </c>
      <c r="HN35" s="11" t="s">
        <v>10</v>
      </c>
      <c r="HO35" s="11" t="s">
        <v>578</v>
      </c>
      <c r="HP35" s="11" t="s">
        <v>578</v>
      </c>
      <c r="HQ35" s="11" t="n">
        <v>0</v>
      </c>
      <c r="HR35" s="11" t="s">
        <v>204</v>
      </c>
      <c r="HS35" s="11" t="s">
        <v>579</v>
      </c>
      <c r="HT35" s="11" t="s">
        <v>579</v>
      </c>
      <c r="HU35" s="11" t="s">
        <v>820</v>
      </c>
      <c r="HV35" s="11" t="s">
        <v>820</v>
      </c>
      <c r="HW35" s="11" t="s">
        <v>821</v>
      </c>
      <c r="HX35" s="11" t="s">
        <v>822</v>
      </c>
      <c r="HY35" s="11" t="s">
        <v>583</v>
      </c>
      <c r="HZ35" s="11" t="s">
        <v>823</v>
      </c>
      <c r="IA35" s="11" t="s">
        <v>818</v>
      </c>
      <c r="IB35" s="11" t="s">
        <v>824</v>
      </c>
      <c r="IC35" s="11" t="s">
        <v>278</v>
      </c>
      <c r="ID35" s="11" t="s">
        <v>825</v>
      </c>
      <c r="IE35" s="11"/>
      <c r="IF35" s="11"/>
      <c r="IG35" s="11"/>
      <c r="IH35" s="11"/>
    </row>
    <row r="36" customFormat="false" ht="15" hidden="false" customHeight="false" outlineLevel="0" collapsed="false">
      <c r="A36" s="11" t="s">
        <v>99</v>
      </c>
      <c r="B36" s="11" t="s">
        <v>826</v>
      </c>
      <c r="C36" s="11" t="s">
        <v>588</v>
      </c>
      <c r="D36" s="11" t="s">
        <v>570</v>
      </c>
      <c r="E36" s="11" t="s">
        <v>51</v>
      </c>
      <c r="F36" s="11"/>
      <c r="G36" s="11"/>
      <c r="H36" s="11" t="s">
        <v>827</v>
      </c>
      <c r="I36" s="11" t="s">
        <v>277</v>
      </c>
      <c r="J36" s="11" t="n">
        <v>119</v>
      </c>
      <c r="K36" s="11" t="n">
        <v>3.96666666666667</v>
      </c>
      <c r="L36" s="11" t="n">
        <v>0.750094830989838</v>
      </c>
      <c r="M36" s="11" t="n">
        <v>0.818133652210236</v>
      </c>
      <c r="N36" s="11" t="n">
        <v>0</v>
      </c>
      <c r="O36" s="11" t="n">
        <v>0.886619791624688</v>
      </c>
      <c r="P36" s="11" t="n">
        <v>0.918682703626567</v>
      </c>
      <c r="Q36" s="11" t="n">
        <v>0.233102657203617</v>
      </c>
      <c r="R36" s="11" t="n">
        <v>0.142857142857143</v>
      </c>
      <c r="S36" s="11" t="n">
        <v>0.226890756302521</v>
      </c>
      <c r="T36" s="11" t="n">
        <v>0</v>
      </c>
      <c r="U36" s="11" t="n">
        <v>0</v>
      </c>
      <c r="V36" s="11" t="n">
        <v>0</v>
      </c>
      <c r="W36" s="11" t="n">
        <v>0.621848739495798</v>
      </c>
      <c r="X36" s="11" t="n">
        <v>0.336134453781513</v>
      </c>
      <c r="Y36" s="11" t="n">
        <v>0.403361344537815</v>
      </c>
      <c r="Z36" s="11" t="n">
        <v>0.554621848739496</v>
      </c>
      <c r="AA36" s="11" t="n">
        <v>0.218487394957983</v>
      </c>
      <c r="AB36" s="11" t="n">
        <v>0.0672268907563025</v>
      </c>
      <c r="AC36" s="11" t="n">
        <v>-0.0022251949512296</v>
      </c>
      <c r="AD36" s="11" t="n">
        <v>-0.00717229317864713</v>
      </c>
      <c r="AE36" s="11" t="n">
        <v>0.447368421052632</v>
      </c>
      <c r="AF36" s="11" t="n">
        <v>0.342105263157895</v>
      </c>
      <c r="AG36" s="11" t="n">
        <v>0.105263157894737</v>
      </c>
      <c r="AH36" s="11" t="n">
        <v>0.285714285714286</v>
      </c>
      <c r="AI36" s="11" t="n">
        <v>0.218487394957983</v>
      </c>
      <c r="AJ36" s="11" t="n">
        <v>0.0672268907563025</v>
      </c>
      <c r="AK36" s="11" t="n">
        <v>0.457084277550896</v>
      </c>
      <c r="AL36" s="11" t="n">
        <v>0</v>
      </c>
      <c r="AM36" s="11" t="n">
        <v>0</v>
      </c>
      <c r="AN36" s="11" t="n">
        <v>0</v>
      </c>
      <c r="AO36" s="11"/>
      <c r="AP36" s="11"/>
      <c r="AQ36" s="11"/>
      <c r="AR36" s="11" t="n">
        <v>0</v>
      </c>
      <c r="AS36" s="11" t="n">
        <v>0.0252100840336134</v>
      </c>
      <c r="AT36" s="11" t="n">
        <v>0</v>
      </c>
      <c r="AU36" s="11" t="n">
        <v>0</v>
      </c>
      <c r="AV36" s="11" t="n">
        <v>0</v>
      </c>
      <c r="AW36" s="11" t="n">
        <v>0</v>
      </c>
      <c r="AX36" s="11" t="n">
        <v>0</v>
      </c>
      <c r="AY36" s="11" t="n">
        <v>0.00676710562432265</v>
      </c>
      <c r="AZ36" s="11" t="n">
        <v>0.0163552657653259</v>
      </c>
      <c r="BA36" s="11"/>
      <c r="BB36" s="11" t="n">
        <v>0.100840336134454</v>
      </c>
      <c r="BC36" s="11" t="n">
        <v>0.680672268907563</v>
      </c>
      <c r="BD36" s="11" t="n">
        <v>0.294117647058823</v>
      </c>
      <c r="BE36" s="11" t="n">
        <v>0.689075630252101</v>
      </c>
      <c r="BF36" s="11" t="n">
        <v>0.672268907563025</v>
      </c>
      <c r="BG36" s="11" t="n">
        <v>0.714285714285714</v>
      </c>
      <c r="BH36" s="11" t="n">
        <v>0.680672268907563</v>
      </c>
      <c r="BI36" s="11" t="n">
        <v>0.80672268907563</v>
      </c>
      <c r="BJ36" s="11" t="n">
        <v>0.132527931857779</v>
      </c>
      <c r="BK36" s="11" t="n">
        <v>0.0236435303240539</v>
      </c>
      <c r="BL36" s="11" t="n">
        <v>0.104633543964696</v>
      </c>
      <c r="BM36" s="11" t="n">
        <v>0.0396477907937025</v>
      </c>
      <c r="BN36" s="11" t="n">
        <v>0.447107685753658</v>
      </c>
      <c r="BO36" s="11" t="n">
        <v>0.37838954652649</v>
      </c>
      <c r="BP36" s="11" t="n">
        <v>0.00997624377462756</v>
      </c>
      <c r="BQ36" s="11" t="n">
        <v>0.00698948247270992</v>
      </c>
      <c r="BR36" s="11" t="n">
        <v>3.46256520587349</v>
      </c>
      <c r="BS36" s="11" t="n">
        <v>12.8344940127319</v>
      </c>
      <c r="BT36" s="11" t="n">
        <v>16.046618234451</v>
      </c>
      <c r="BU36" s="11" t="n">
        <v>13.2527931857779</v>
      </c>
      <c r="BV36" s="11" t="n">
        <v>5.99506045761748</v>
      </c>
      <c r="BW36" s="11" t="n">
        <v>8.97576515380658</v>
      </c>
      <c r="BX36" s="11" t="n">
        <v>2.34329188512728</v>
      </c>
      <c r="BY36" s="11" t="n">
        <v>5.7363941158155</v>
      </c>
      <c r="BZ36" s="11" t="n">
        <v>0.705882352941176</v>
      </c>
      <c r="CA36" s="11" t="n">
        <v>0.880952380952381</v>
      </c>
      <c r="CB36" s="11" t="n">
        <v>0.476190476190476</v>
      </c>
      <c r="CC36" s="11" t="n">
        <v>0.571428571428571</v>
      </c>
      <c r="CD36" s="11" t="n">
        <v>0.785714285714286</v>
      </c>
      <c r="CE36" s="11" t="n">
        <v>0.705882352941176</v>
      </c>
      <c r="CF36" s="11" t="n">
        <v>5</v>
      </c>
      <c r="CG36" s="11" t="n">
        <v>0</v>
      </c>
      <c r="CH36" s="11" t="n">
        <v>0.880952380952381</v>
      </c>
      <c r="CI36" s="11" t="n">
        <v>0.571428571428571</v>
      </c>
      <c r="CJ36" s="11" t="n">
        <v>0.785714285714286</v>
      </c>
      <c r="CK36" s="11" t="n">
        <v>0</v>
      </c>
      <c r="CL36" s="11" t="n">
        <v>0</v>
      </c>
      <c r="CM36" s="11" t="n">
        <v>0</v>
      </c>
      <c r="CN36" s="11" t="n">
        <v>0</v>
      </c>
      <c r="CO36" s="11" t="n">
        <v>0</v>
      </c>
      <c r="CP36" s="11" t="n">
        <v>0</v>
      </c>
      <c r="CQ36" s="11" t="n">
        <v>0</v>
      </c>
      <c r="CR36" s="11" t="n">
        <v>0</v>
      </c>
      <c r="CS36" s="11" t="n">
        <v>0</v>
      </c>
      <c r="CT36" s="11" t="n">
        <v>0</v>
      </c>
      <c r="CU36" s="11" t="n">
        <v>0</v>
      </c>
      <c r="CV36" s="11" t="n">
        <v>0</v>
      </c>
      <c r="CW36" s="11" t="n">
        <v>0</v>
      </c>
      <c r="CX36" s="11" t="n">
        <v>0</v>
      </c>
      <c r="CY36" s="11" t="n">
        <v>-0.00391454094270568</v>
      </c>
      <c r="CZ36" s="11" t="n">
        <v>-0.0658452103180768</v>
      </c>
      <c r="DA36" s="11" t="n">
        <v>8.25398226451732</v>
      </c>
      <c r="DB36" s="11" t="n">
        <v>-0.0243315443067084</v>
      </c>
      <c r="DC36" s="11" t="n">
        <v>12.941804962409</v>
      </c>
      <c r="DD36" s="11" t="n">
        <v>0.177777343248169</v>
      </c>
      <c r="DE36" s="11" t="n">
        <v>0.512605042016807</v>
      </c>
      <c r="DF36" s="11" t="n">
        <v>-0.0437201648240038</v>
      </c>
      <c r="DG36" s="11" t="n">
        <v>-0.0420135260133955</v>
      </c>
      <c r="DH36" s="11" t="n">
        <v>-0.170663881060833</v>
      </c>
      <c r="DI36" s="11" t="n">
        <v>110.71126438074</v>
      </c>
      <c r="DJ36" s="11" t="n">
        <v>47.9739309650773</v>
      </c>
      <c r="DK36" s="11" t="n">
        <v>11.8058808158459</v>
      </c>
      <c r="DL36" s="11" t="n">
        <v>49.05</v>
      </c>
      <c r="DM36" s="11" t="n">
        <v>0.689075630252101</v>
      </c>
      <c r="DN36" s="11" t="n">
        <v>0.647058823529412</v>
      </c>
      <c r="DO36" s="11" t="n">
        <v>-0.0154751481920064</v>
      </c>
      <c r="DP36" s="11" t="n">
        <v>0</v>
      </c>
      <c r="DQ36" s="11" t="n">
        <v>0</v>
      </c>
      <c r="DR36" s="11" t="n">
        <v>0</v>
      </c>
      <c r="DS36" s="11" t="n">
        <v>0</v>
      </c>
      <c r="DT36" s="11" t="n">
        <v>0</v>
      </c>
      <c r="DU36" s="11" t="n">
        <v>0</v>
      </c>
      <c r="DV36" s="11" t="n">
        <v>5</v>
      </c>
      <c r="DW36" s="11" t="s">
        <v>573</v>
      </c>
      <c r="DX36" s="11" t="n">
        <v>0.406307</v>
      </c>
      <c r="DY36" s="11" t="n">
        <v>0.0501733257317448</v>
      </c>
      <c r="DZ36" s="11" t="n">
        <v>0.762440674268255</v>
      </c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 t="n">
        <v>7.6782589898666</v>
      </c>
      <c r="EP36" s="11" t="n">
        <v>88.5628139265008</v>
      </c>
      <c r="EQ36" s="11" t="n">
        <v>1768.50725263958</v>
      </c>
      <c r="ER36" s="11" t="n">
        <v>3.00657673339457</v>
      </c>
      <c r="ES36" s="11" t="n">
        <v>3.00657673339457</v>
      </c>
      <c r="ET36" s="11" t="n">
        <v>2.8010451279185</v>
      </c>
      <c r="EU36" s="11" t="n">
        <v>47.851044914553</v>
      </c>
      <c r="EV36" s="11" t="n">
        <v>47.851044914553</v>
      </c>
      <c r="EW36" s="11" t="n">
        <v>487.280660840485</v>
      </c>
      <c r="EX36" s="11" t="n">
        <v>789.471142147164</v>
      </c>
      <c r="EY36" s="11" t="n">
        <v>0.978859654241094</v>
      </c>
      <c r="EZ36" s="11" t="n">
        <v>0.906808605744261</v>
      </c>
      <c r="FA36" s="11" t="n">
        <v>0.0496836083802214</v>
      </c>
      <c r="FB36" s="11" t="n">
        <v>0.966386554621849</v>
      </c>
      <c r="FC36" s="11" t="n">
        <v>0</v>
      </c>
      <c r="FD36" s="11" t="n">
        <v>0</v>
      </c>
      <c r="FE36" s="11" t="s">
        <v>574</v>
      </c>
      <c r="FF36" s="11" t="s">
        <v>278</v>
      </c>
      <c r="FG36" s="11" t="n">
        <v>119</v>
      </c>
      <c r="FH36" s="11" t="s">
        <v>575</v>
      </c>
      <c r="FI36" s="11" t="s">
        <v>59</v>
      </c>
      <c r="FJ36" s="11" t="n">
        <v>0.2</v>
      </c>
      <c r="FK36" s="11" t="n">
        <v>0.135416354793858</v>
      </c>
      <c r="FL36" s="11" t="n">
        <v>0.0656378160000335</v>
      </c>
      <c r="FM36" s="11" t="n">
        <v>0</v>
      </c>
      <c r="FN36" s="11" t="n">
        <v>1</v>
      </c>
      <c r="FO36" s="11" t="n">
        <v>0.542654813514148</v>
      </c>
      <c r="FP36" s="11" t="n">
        <v>0.441917029074742</v>
      </c>
      <c r="FQ36" s="11" t="n">
        <v>0.121848739495798</v>
      </c>
      <c r="FR36" s="11" t="n">
        <v>0</v>
      </c>
      <c r="FS36" s="11" t="n">
        <v>0.539548365907675</v>
      </c>
      <c r="FT36" s="11" t="n">
        <v>0.44125913218433</v>
      </c>
      <c r="FU36" s="11" t="n">
        <v>1</v>
      </c>
      <c r="FV36" s="11" t="n">
        <v>8.6422724482622</v>
      </c>
      <c r="FW36" s="11" t="n">
        <v>275.281529916519</v>
      </c>
      <c r="FX36" s="11" t="n">
        <v>0.0450746516527358</v>
      </c>
      <c r="FY36" s="11" t="n">
        <v>1</v>
      </c>
      <c r="FZ36" s="11" t="n">
        <v>20</v>
      </c>
      <c r="GA36" s="11" t="n">
        <v>1</v>
      </c>
      <c r="GB36" s="11" t="s">
        <v>576</v>
      </c>
      <c r="GC36" s="11" t="n">
        <v>0.935136298171612</v>
      </c>
      <c r="GD36" s="11" t="n">
        <v>0.94948956144958</v>
      </c>
      <c r="GE36" s="11" t="n">
        <v>0.949579831932773</v>
      </c>
      <c r="GF36" s="11" t="n">
        <v>0.949579831932773</v>
      </c>
      <c r="GG36" s="11" t="n">
        <v>0</v>
      </c>
      <c r="GH36" s="11" t="n">
        <v>0</v>
      </c>
      <c r="GI36" s="11" t="n">
        <v>0.0389644903794959</v>
      </c>
      <c r="GJ36" s="11" t="n">
        <v>0.0514944647360562</v>
      </c>
      <c r="GK36" s="11" t="n">
        <v>0.047999963734106</v>
      </c>
      <c r="GL36" s="11" t="n">
        <v>0.0539330448485723</v>
      </c>
      <c r="GM36" s="11" t="n">
        <v>0.00178524633880546</v>
      </c>
      <c r="GN36" s="11" t="n">
        <v>2.05160198247005E-006</v>
      </c>
      <c r="GO36" s="11" t="n">
        <v>0.949579831932773</v>
      </c>
      <c r="GP36" s="11" t="n">
        <v>0.949579831932773</v>
      </c>
      <c r="GQ36" s="11" t="n">
        <v>-0.0266096629202366</v>
      </c>
      <c r="GR36" s="11" t="n">
        <v>1</v>
      </c>
      <c r="GS36" s="11" t="n">
        <v>1</v>
      </c>
      <c r="GT36" s="11" t="n">
        <v>0</v>
      </c>
      <c r="GU36" s="11" t="n">
        <v>0</v>
      </c>
      <c r="GV36" s="11" t="n">
        <v>1</v>
      </c>
      <c r="GW36" s="11" t="n">
        <v>1</v>
      </c>
      <c r="GX36" s="11" t="n">
        <v>1</v>
      </c>
      <c r="GY36" s="11" t="n">
        <v>1</v>
      </c>
      <c r="GZ36" s="11" t="n">
        <v>1</v>
      </c>
      <c r="HA36" s="11" t="n">
        <v>1</v>
      </c>
      <c r="HB36" s="11" t="n">
        <v>1</v>
      </c>
      <c r="HC36" s="11" t="n">
        <v>1</v>
      </c>
      <c r="HD36" s="11" t="n">
        <v>1</v>
      </c>
      <c r="HE36" s="11" t="n">
        <v>1</v>
      </c>
      <c r="HF36" s="11" t="n">
        <v>1</v>
      </c>
      <c r="HG36" s="11" t="n">
        <v>1</v>
      </c>
      <c r="HH36" s="11" t="n">
        <v>1</v>
      </c>
      <c r="HI36" s="11" t="n">
        <v>1</v>
      </c>
      <c r="HJ36" s="11" t="n">
        <v>1</v>
      </c>
      <c r="HK36" s="11"/>
      <c r="HL36" s="11" t="s">
        <v>577</v>
      </c>
      <c r="HM36" s="11" t="n">
        <v>1</v>
      </c>
      <c r="HN36" s="11" t="s">
        <v>591</v>
      </c>
      <c r="HO36" s="11" t="s">
        <v>578</v>
      </c>
      <c r="HP36" s="11" t="s">
        <v>578</v>
      </c>
      <c r="HQ36" s="11" t="n">
        <v>0</v>
      </c>
      <c r="HR36" s="11" t="s">
        <v>204</v>
      </c>
      <c r="HS36" s="11" t="s">
        <v>249</v>
      </c>
      <c r="HT36" s="11" t="s">
        <v>249</v>
      </c>
      <c r="HU36" s="11" t="s">
        <v>828</v>
      </c>
      <c r="HV36" s="11" t="s">
        <v>828</v>
      </c>
      <c r="HW36" s="11" t="s">
        <v>829</v>
      </c>
      <c r="HX36" s="11" t="s">
        <v>822</v>
      </c>
      <c r="HY36" s="11" t="s">
        <v>583</v>
      </c>
      <c r="HZ36" s="11" t="s">
        <v>830</v>
      </c>
      <c r="IA36" s="11" t="s">
        <v>827</v>
      </c>
      <c r="IB36" s="11" t="s">
        <v>831</v>
      </c>
      <c r="IC36" s="11" t="s">
        <v>278</v>
      </c>
      <c r="ID36" s="11" t="s">
        <v>825</v>
      </c>
      <c r="IE36" s="11"/>
      <c r="IF36" s="11"/>
      <c r="IG36" s="11"/>
      <c r="IH36" s="11"/>
    </row>
    <row r="37" customFormat="false" ht="15" hidden="false" customHeight="false" outlineLevel="0" collapsed="false">
      <c r="A37" s="11" t="s">
        <v>100</v>
      </c>
      <c r="B37" s="11" t="s">
        <v>832</v>
      </c>
      <c r="C37" s="11" t="s">
        <v>569</v>
      </c>
      <c r="D37" s="11" t="s">
        <v>570</v>
      </c>
      <c r="E37" s="11" t="s">
        <v>51</v>
      </c>
      <c r="F37" s="11"/>
      <c r="G37" s="11"/>
      <c r="H37" s="11" t="s">
        <v>833</v>
      </c>
      <c r="I37" s="11" t="s">
        <v>834</v>
      </c>
      <c r="J37" s="11" t="n">
        <v>174</v>
      </c>
      <c r="K37" s="11" t="n">
        <v>5.8</v>
      </c>
      <c r="L37" s="11" t="n">
        <v>0.115259267389774</v>
      </c>
      <c r="M37" s="11" t="n">
        <v>0.792045950889587</v>
      </c>
      <c r="N37" s="11" t="n">
        <v>1</v>
      </c>
      <c r="O37" s="11" t="n">
        <v>0.827625162543574</v>
      </c>
      <c r="P37" s="11" t="n">
        <v>0.914570260132644</v>
      </c>
      <c r="Q37" s="11" t="n">
        <v>0.118227378312967</v>
      </c>
      <c r="R37" s="11" t="n">
        <v>0.741379310344828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/>
      <c r="AD37" s="11"/>
      <c r="AE37" s="11"/>
      <c r="AF37" s="11"/>
      <c r="AG37" s="11"/>
      <c r="AH37" s="11" t="n">
        <v>0</v>
      </c>
      <c r="AI37" s="11" t="n">
        <v>0</v>
      </c>
      <c r="AJ37" s="11" t="n">
        <v>0</v>
      </c>
      <c r="AK37" s="11" t="n">
        <v>-0.0262942585391297</v>
      </c>
      <c r="AL37" s="11" t="n">
        <v>0.0459770114942529</v>
      </c>
      <c r="AM37" s="11" t="n">
        <v>0.0344827586206896</v>
      </c>
      <c r="AN37" s="11" t="n">
        <v>0.0344827586206896</v>
      </c>
      <c r="AO37" s="11" t="n">
        <v>-0.0121829705262353</v>
      </c>
      <c r="AP37" s="11" t="n">
        <v>-0.0264153432195858</v>
      </c>
      <c r="AQ37" s="11" t="n">
        <v>0.833333333333333</v>
      </c>
      <c r="AR37" s="11" t="n">
        <v>0.0229885057471264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0.00339828117233425</v>
      </c>
      <c r="AZ37" s="11" t="n">
        <v>0.0156156862768333</v>
      </c>
      <c r="BA37" s="11"/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5.63143721419789</v>
      </c>
      <c r="BK37" s="11" t="n">
        <v>6.05253108940134</v>
      </c>
      <c r="BL37" s="11" t="n">
        <v>2.17360241587572</v>
      </c>
      <c r="BM37" s="11" t="n">
        <v>2.76631116858415</v>
      </c>
      <c r="BN37" s="11" t="n">
        <v>0.479656498493489</v>
      </c>
      <c r="BO37" s="11" t="n">
        <v>0.124994712672099</v>
      </c>
      <c r="BP37" s="11" t="n">
        <v>0.0682182516801654</v>
      </c>
      <c r="BQ37" s="11" t="n">
        <v>0.00339183123632115</v>
      </c>
      <c r="BR37" s="11" t="n">
        <v>2.9775042775982</v>
      </c>
      <c r="BS37" s="11" t="n">
        <v>579.233257713379</v>
      </c>
      <c r="BT37" s="11" t="n">
        <v>126.192057459372</v>
      </c>
      <c r="BU37" s="11" t="n">
        <v>563.143721419789</v>
      </c>
      <c r="BV37" s="11" t="n">
        <v>124.538244765484</v>
      </c>
      <c r="BW37" s="11" t="n">
        <v>7.95841056954231</v>
      </c>
      <c r="BX37" s="11" t="n">
        <v>3.72482400817427</v>
      </c>
      <c r="BY37" s="11" t="n">
        <v>5.45099581956756</v>
      </c>
      <c r="BZ37" s="11" t="n">
        <v>0.505747126436782</v>
      </c>
      <c r="CA37" s="11" t="n">
        <v>0</v>
      </c>
      <c r="CB37" s="11" t="n">
        <v>0</v>
      </c>
      <c r="CC37" s="11" t="n">
        <v>0</v>
      </c>
      <c r="CD37" s="11" t="n">
        <v>0</v>
      </c>
      <c r="CE37" s="11" t="n">
        <v>0.505747126436782</v>
      </c>
      <c r="CF37" s="11" t="n">
        <v>5</v>
      </c>
      <c r="CG37" s="11" t="n">
        <v>0</v>
      </c>
      <c r="CH37" s="11" t="n">
        <v>0</v>
      </c>
      <c r="CI37" s="11" t="n">
        <v>0</v>
      </c>
      <c r="CJ37" s="11" t="n">
        <v>0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0</v>
      </c>
      <c r="CS37" s="11" t="n">
        <v>0</v>
      </c>
      <c r="CT37" s="11" t="n">
        <v>0</v>
      </c>
      <c r="CU37" s="11" t="n">
        <v>0</v>
      </c>
      <c r="CV37" s="11" t="n">
        <v>0</v>
      </c>
      <c r="CW37" s="11" t="n">
        <v>0</v>
      </c>
      <c r="CX37" s="11" t="n">
        <v>0</v>
      </c>
      <c r="CY37" s="11" t="n">
        <v>-0.0329864786804167</v>
      </c>
      <c r="CZ37" s="11" t="n">
        <v>-0.114382861873469</v>
      </c>
      <c r="DA37" s="11" t="n">
        <v>6.4957693413723</v>
      </c>
      <c r="DB37" s="11" t="n">
        <v>-0.0987136449662733</v>
      </c>
      <c r="DC37" s="11" t="n">
        <v>11.0472466344206</v>
      </c>
      <c r="DD37" s="11" t="n">
        <v>0.471893876452247</v>
      </c>
      <c r="DE37" s="11" t="n">
        <v>0.333333333333333</v>
      </c>
      <c r="DF37" s="11" t="n">
        <v>-0.115747848320862</v>
      </c>
      <c r="DG37" s="11" t="n">
        <v>-0.0747152005666151</v>
      </c>
      <c r="DH37" s="11" t="n">
        <v>-4.10326477542472</v>
      </c>
      <c r="DI37" s="11" t="n">
        <v>101.930578194457</v>
      </c>
      <c r="DJ37" s="11" t="n">
        <v>76.6831761843398</v>
      </c>
      <c r="DK37" s="11" t="n">
        <v>9.40413094210871</v>
      </c>
      <c r="DL37" s="11" t="n">
        <v>49.05</v>
      </c>
      <c r="DM37" s="11" t="n">
        <v>0.471264367816092</v>
      </c>
      <c r="DN37" s="11" t="n">
        <v>0.442528735632184</v>
      </c>
      <c r="DO37" s="11" t="n">
        <v>-0.0111052590175988</v>
      </c>
      <c r="DP37" s="11" t="n">
        <v>0</v>
      </c>
      <c r="DQ37" s="11" t="n">
        <v>0</v>
      </c>
      <c r="DR37" s="11" t="n">
        <v>0</v>
      </c>
      <c r="DS37" s="11" t="n">
        <v>0</v>
      </c>
      <c r="DT37" s="11" t="n">
        <v>0</v>
      </c>
      <c r="DU37" s="11" t="n">
        <v>0</v>
      </c>
      <c r="DV37" s="11" t="n">
        <v>5</v>
      </c>
      <c r="DW37" s="11" t="s">
        <v>573</v>
      </c>
      <c r="DX37" s="11" t="n">
        <v>0.406307</v>
      </c>
      <c r="DY37" s="11" t="n">
        <v>0.0153471979499636</v>
      </c>
      <c r="DZ37" s="11" t="n">
        <v>0.797266802050036</v>
      </c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 t="n">
        <v>16.7164603230459</v>
      </c>
      <c r="EP37" s="11" t="n">
        <v>202.1840028836</v>
      </c>
      <c r="EQ37" s="11" t="n">
        <v>4773.30493149503</v>
      </c>
      <c r="ER37" s="11" t="n">
        <v>6.45918825181693</v>
      </c>
      <c r="ES37" s="11" t="n">
        <v>6.09317109614962</v>
      </c>
      <c r="ET37" s="11" t="n">
        <v>6.45918825181693</v>
      </c>
      <c r="EU37" s="11" t="n">
        <v>111.096909303359</v>
      </c>
      <c r="EV37" s="11" t="n">
        <v>111.096909303359</v>
      </c>
      <c r="EW37" s="11" t="n">
        <v>1214.24579076971</v>
      </c>
      <c r="EX37" s="11" t="n">
        <v>1126.69096820109</v>
      </c>
      <c r="EY37" s="11" t="n">
        <v>0.9355582603956</v>
      </c>
      <c r="EZ37" s="11" t="n">
        <v>0.401428791932548</v>
      </c>
      <c r="FA37" s="11" t="n">
        <v>0.049264082847808</v>
      </c>
      <c r="FB37" s="11" t="n">
        <v>0.833333333333333</v>
      </c>
      <c r="FC37" s="11" t="n">
        <v>0</v>
      </c>
      <c r="FD37" s="11" t="n">
        <v>0</v>
      </c>
      <c r="FE37" s="11" t="s">
        <v>574</v>
      </c>
      <c r="FF37" s="11" t="s">
        <v>283</v>
      </c>
      <c r="FG37" s="11" t="n">
        <v>174</v>
      </c>
      <c r="FH37" s="11" t="s">
        <v>575</v>
      </c>
      <c r="FI37" s="11" t="s">
        <v>59</v>
      </c>
      <c r="FJ37" s="11" t="n">
        <v>0.2</v>
      </c>
      <c r="FK37" s="11" t="n">
        <v>0.849640544372897</v>
      </c>
      <c r="FL37" s="11" t="n">
        <v>0.454850223768836</v>
      </c>
      <c r="FM37" s="11" t="n">
        <v>0.122126436781609</v>
      </c>
      <c r="FN37" s="11" t="n">
        <v>0</v>
      </c>
      <c r="FO37" s="11" t="n">
        <v>6.87262704133126</v>
      </c>
      <c r="FP37" s="11" t="n">
        <v>6.71329029752378</v>
      </c>
      <c r="FQ37" s="11" t="n">
        <v>0.954022988505747</v>
      </c>
      <c r="FR37" s="11" t="n">
        <v>0</v>
      </c>
      <c r="FS37" s="11" t="n">
        <v>6.87262673605656</v>
      </c>
      <c r="FT37" s="11" t="n">
        <v>6.71328658539006</v>
      </c>
      <c r="FU37" s="11" t="n">
        <v>0</v>
      </c>
      <c r="FV37" s="11" t="n">
        <v>30.7526681076568</v>
      </c>
      <c r="FW37" s="11" t="n">
        <v>729.559454715494</v>
      </c>
      <c r="FX37" s="11" t="n">
        <v>0.09742733695207</v>
      </c>
      <c r="FY37" s="11" t="n">
        <v>1</v>
      </c>
      <c r="FZ37" s="11" t="n">
        <v>70</v>
      </c>
      <c r="GA37" s="11" t="n">
        <v>1</v>
      </c>
      <c r="GB37" s="11" t="s">
        <v>576</v>
      </c>
      <c r="GC37" s="11" t="n">
        <v>0.96551724137931</v>
      </c>
      <c r="GD37" s="11" t="n">
        <v>0.96551724137931</v>
      </c>
      <c r="GE37" s="11" t="n">
        <v>0.96551724137931</v>
      </c>
      <c r="GF37" s="11" t="n">
        <v>0.96551724137931</v>
      </c>
      <c r="GG37" s="11" t="n">
        <v>0</v>
      </c>
      <c r="GH37" s="11" t="n">
        <v>0</v>
      </c>
      <c r="GI37" s="11" t="n">
        <v>5.49627285056758</v>
      </c>
      <c r="GJ37" s="11" t="n">
        <v>5.51174280287206</v>
      </c>
      <c r="GK37" s="11" t="n">
        <v>5.50762174158603</v>
      </c>
      <c r="GL37" s="11" t="n">
        <v>5.51529556307299</v>
      </c>
      <c r="GM37" s="11" t="n">
        <v>0</v>
      </c>
      <c r="GN37" s="11" t="n">
        <v>0</v>
      </c>
      <c r="GO37" s="11" t="n">
        <v>0.96551724137931</v>
      </c>
      <c r="GP37" s="11" t="n">
        <v>0.96551724137931</v>
      </c>
      <c r="GQ37" s="11" t="n">
        <v>0</v>
      </c>
      <c r="GR37" s="11" t="n">
        <v>1</v>
      </c>
      <c r="GS37" s="11" t="n">
        <v>1</v>
      </c>
      <c r="GT37" s="11" t="n">
        <v>0</v>
      </c>
      <c r="GU37" s="11" t="n">
        <v>0</v>
      </c>
      <c r="GV37" s="11" t="n">
        <v>0</v>
      </c>
      <c r="GW37" s="11" t="n">
        <v>0</v>
      </c>
      <c r="GX37" s="11" t="n">
        <v>0</v>
      </c>
      <c r="GY37" s="11" t="n">
        <v>1</v>
      </c>
      <c r="GZ37" s="11" t="n">
        <v>1</v>
      </c>
      <c r="HA37" s="11" t="n">
        <v>1</v>
      </c>
      <c r="HB37" s="11" t="n">
        <v>0</v>
      </c>
      <c r="HC37" s="11" t="n">
        <v>0</v>
      </c>
      <c r="HD37" s="11" t="n">
        <v>0</v>
      </c>
      <c r="HE37" s="11" t="n">
        <v>0</v>
      </c>
      <c r="HF37" s="11" t="n">
        <v>1</v>
      </c>
      <c r="HG37" s="11" t="n">
        <v>1</v>
      </c>
      <c r="HH37" s="11" t="n">
        <v>0</v>
      </c>
      <c r="HI37" s="11" t="n">
        <v>0</v>
      </c>
      <c r="HJ37" s="11" t="n">
        <v>0</v>
      </c>
      <c r="HK37" s="11" t="s">
        <v>835</v>
      </c>
      <c r="HL37" s="11" t="s">
        <v>577</v>
      </c>
      <c r="HM37" s="11" t="n">
        <v>1</v>
      </c>
      <c r="HN37" s="11" t="s">
        <v>10</v>
      </c>
      <c r="HO37" s="11" t="s">
        <v>578</v>
      </c>
      <c r="HP37" s="11" t="s">
        <v>578</v>
      </c>
      <c r="HQ37" s="11" t="n">
        <v>0</v>
      </c>
      <c r="HR37" s="11" t="s">
        <v>204</v>
      </c>
      <c r="HS37" s="11" t="s">
        <v>579</v>
      </c>
      <c r="HT37" s="11" t="s">
        <v>579</v>
      </c>
      <c r="HU37" s="11" t="s">
        <v>836</v>
      </c>
      <c r="HV37" s="11" t="s">
        <v>836</v>
      </c>
      <c r="HW37" s="11" t="s">
        <v>837</v>
      </c>
      <c r="HX37" s="11" t="s">
        <v>838</v>
      </c>
      <c r="HY37" s="11" t="s">
        <v>583</v>
      </c>
      <c r="HZ37" s="11" t="s">
        <v>839</v>
      </c>
      <c r="IA37" s="11" t="s">
        <v>833</v>
      </c>
      <c r="IB37" s="11" t="s">
        <v>840</v>
      </c>
      <c r="IC37" s="11" t="s">
        <v>283</v>
      </c>
      <c r="ID37" s="11" t="s">
        <v>841</v>
      </c>
      <c r="IE37" s="11"/>
      <c r="IF37" s="11"/>
      <c r="IG37" s="11"/>
      <c r="IH37" s="11"/>
    </row>
    <row r="38" customFormat="false" ht="15" hidden="false" customHeight="false" outlineLevel="0" collapsed="false">
      <c r="A38" s="11" t="s">
        <v>100</v>
      </c>
      <c r="B38" s="11" t="s">
        <v>842</v>
      </c>
      <c r="C38" s="11" t="s">
        <v>588</v>
      </c>
      <c r="D38" s="11" t="s">
        <v>570</v>
      </c>
      <c r="E38" s="11" t="s">
        <v>51</v>
      </c>
      <c r="F38" s="11"/>
      <c r="G38" s="11"/>
      <c r="H38" s="11" t="s">
        <v>843</v>
      </c>
      <c r="I38" s="11" t="s">
        <v>282</v>
      </c>
      <c r="J38" s="11" t="n">
        <v>174</v>
      </c>
      <c r="K38" s="11" t="n">
        <v>5.8</v>
      </c>
      <c r="L38" s="11" t="n">
        <v>0.116409599781036</v>
      </c>
      <c r="M38" s="11" t="n">
        <v>0.791846752166748</v>
      </c>
      <c r="N38" s="11" t="n">
        <v>1</v>
      </c>
      <c r="O38" s="11" t="n">
        <v>0.0798292223610708</v>
      </c>
      <c r="P38" s="11" t="n">
        <v>0.907514295540489</v>
      </c>
      <c r="Q38" s="11" t="n">
        <v>0.214814328605157</v>
      </c>
      <c r="R38" s="11" t="n">
        <v>0.683908045977011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/>
      <c r="AD38" s="11"/>
      <c r="AE38" s="11"/>
      <c r="AF38" s="11"/>
      <c r="AG38" s="11"/>
      <c r="AH38" s="11" t="n">
        <v>0</v>
      </c>
      <c r="AI38" s="11" t="n">
        <v>0</v>
      </c>
      <c r="AJ38" s="11" t="n">
        <v>0</v>
      </c>
      <c r="AK38" s="11" t="n">
        <v>-0.0324425677776424</v>
      </c>
      <c r="AL38" s="11" t="n">
        <v>0.0459770114942529</v>
      </c>
      <c r="AM38" s="11" t="n">
        <v>0.0402298850574713</v>
      </c>
      <c r="AN38" s="11" t="n">
        <v>0.0402298850574713</v>
      </c>
      <c r="AO38" s="11" t="n">
        <v>-0.0126270921280764</v>
      </c>
      <c r="AP38" s="11" t="n">
        <v>-0.0321681765272889</v>
      </c>
      <c r="AQ38" s="11" t="n">
        <v>0.571428571428571</v>
      </c>
      <c r="AR38" s="11" t="n">
        <v>0.0229885057471264</v>
      </c>
      <c r="AS38" s="11" t="n">
        <v>0</v>
      </c>
      <c r="AT38" s="11" t="n">
        <v>0</v>
      </c>
      <c r="AU38" s="11" t="n">
        <v>0</v>
      </c>
      <c r="AV38" s="11" t="n">
        <v>0</v>
      </c>
      <c r="AW38" s="11" t="n">
        <v>0</v>
      </c>
      <c r="AX38" s="11" t="n">
        <v>0</v>
      </c>
      <c r="AY38" s="11" t="n">
        <v>0.00383316345621279</v>
      </c>
      <c r="AZ38" s="11" t="n">
        <v>0.0156045286332374</v>
      </c>
      <c r="BA38" s="11"/>
      <c r="BB38" s="11" t="n">
        <v>0</v>
      </c>
      <c r="BC38" s="11" t="n">
        <v>0</v>
      </c>
      <c r="BD38" s="11" t="n">
        <v>0</v>
      </c>
      <c r="BE38" s="11" t="n">
        <v>0</v>
      </c>
      <c r="BF38" s="11" t="n">
        <v>0</v>
      </c>
      <c r="BG38" s="11" t="n">
        <v>0</v>
      </c>
      <c r="BH38" s="11" t="n">
        <v>0</v>
      </c>
      <c r="BI38" s="11" t="n">
        <v>0</v>
      </c>
      <c r="BJ38" s="11" t="n">
        <v>5.28140185540388</v>
      </c>
      <c r="BK38" s="11" t="n">
        <v>5.60168983089474</v>
      </c>
      <c r="BL38" s="11" t="n">
        <v>2.14936733888183</v>
      </c>
      <c r="BM38" s="11" t="n">
        <v>2.34882771399577</v>
      </c>
      <c r="BN38" s="11" t="n">
        <v>0.481697549564545</v>
      </c>
      <c r="BO38" s="11" t="n">
        <v>0.123136780436789</v>
      </c>
      <c r="BP38" s="11" t="n">
        <v>0.0654771684157021</v>
      </c>
      <c r="BQ38" s="11" t="n">
        <v>0.00301484790552117</v>
      </c>
      <c r="BR38" s="11" t="n">
        <v>3.05820681596071</v>
      </c>
      <c r="BS38" s="11" t="n">
        <v>544.691268922021</v>
      </c>
      <c r="BT38" s="11" t="n">
        <v>124.612333960435</v>
      </c>
      <c r="BU38" s="11" t="n">
        <v>528.140185540388</v>
      </c>
      <c r="BV38" s="11" t="n">
        <v>123.14967713756</v>
      </c>
      <c r="BW38" s="11" t="n">
        <v>6.00674160505032</v>
      </c>
      <c r="BX38" s="11" t="n">
        <v>2.62755199996229</v>
      </c>
      <c r="BY38" s="11" t="n">
        <v>11.0057428973875</v>
      </c>
      <c r="BZ38" s="11" t="n">
        <v>0.505747126436782</v>
      </c>
      <c r="CA38" s="11" t="n">
        <v>0</v>
      </c>
      <c r="CB38" s="11" t="n">
        <v>0</v>
      </c>
      <c r="CC38" s="11" t="n">
        <v>0</v>
      </c>
      <c r="CD38" s="11" t="n">
        <v>0</v>
      </c>
      <c r="CE38" s="11" t="n">
        <v>0.505747126436782</v>
      </c>
      <c r="CF38" s="11" t="n">
        <v>5</v>
      </c>
      <c r="CG38" s="11" t="n">
        <v>0</v>
      </c>
      <c r="CH38" s="11" t="n">
        <v>0</v>
      </c>
      <c r="CI38" s="11" t="n">
        <v>0</v>
      </c>
      <c r="CJ38" s="11" t="n">
        <v>0</v>
      </c>
      <c r="CK38" s="11" t="n">
        <v>0</v>
      </c>
      <c r="CL38" s="11" t="n">
        <v>0</v>
      </c>
      <c r="CM38" s="11" t="n">
        <v>0</v>
      </c>
      <c r="CN38" s="11" t="n">
        <v>0</v>
      </c>
      <c r="CO38" s="11" t="n">
        <v>0</v>
      </c>
      <c r="CP38" s="11" t="n">
        <v>0</v>
      </c>
      <c r="CQ38" s="11" t="n">
        <v>0</v>
      </c>
      <c r="CR38" s="11" t="n">
        <v>0</v>
      </c>
      <c r="CS38" s="11" t="n">
        <v>0</v>
      </c>
      <c r="CT38" s="11" t="n">
        <v>0</v>
      </c>
      <c r="CU38" s="11" t="n">
        <v>0</v>
      </c>
      <c r="CV38" s="11" t="n">
        <v>0</v>
      </c>
      <c r="CW38" s="11" t="n">
        <v>0</v>
      </c>
      <c r="CX38" s="11" t="n">
        <v>0</v>
      </c>
      <c r="CY38" s="11" t="n">
        <v>0.00923339155096419</v>
      </c>
      <c r="CZ38" s="11" t="n">
        <v>-0.0350978900755696</v>
      </c>
      <c r="DA38" s="11" t="n">
        <v>4.90927477747892</v>
      </c>
      <c r="DB38" s="11" t="n">
        <v>-0.0154529187280263</v>
      </c>
      <c r="DC38" s="11" t="n">
        <v>10.8973982702722</v>
      </c>
      <c r="DD38" s="11" t="n">
        <v>0.239588177702594</v>
      </c>
      <c r="DE38" s="11" t="n">
        <v>0.333333333333333</v>
      </c>
      <c r="DF38" s="11" t="n">
        <v>-0.0547088875117242</v>
      </c>
      <c r="DG38" s="11" t="n">
        <v>-0.0238180526272282</v>
      </c>
      <c r="DH38" s="11" t="n">
        <v>-3.0890834884496</v>
      </c>
      <c r="DI38" s="11" t="n">
        <v>86.0063947596044</v>
      </c>
      <c r="DJ38" s="11" t="n">
        <v>44.9754386514988</v>
      </c>
      <c r="DK38" s="11" t="n">
        <v>25.3230401528483</v>
      </c>
      <c r="DL38" s="11" t="n">
        <v>49.05</v>
      </c>
      <c r="DM38" s="11" t="n">
        <v>0.471264367816092</v>
      </c>
      <c r="DN38" s="11" t="n">
        <v>0.442528735632184</v>
      </c>
      <c r="DO38" s="11" t="n">
        <v>-0.0111052590175988</v>
      </c>
      <c r="DP38" s="11" t="n">
        <v>0</v>
      </c>
      <c r="DQ38" s="11" t="n">
        <v>0</v>
      </c>
      <c r="DR38" s="11" t="n">
        <v>0</v>
      </c>
      <c r="DS38" s="11" t="n">
        <v>0</v>
      </c>
      <c r="DT38" s="11" t="n">
        <v>0</v>
      </c>
      <c r="DU38" s="11" t="n">
        <v>0</v>
      </c>
      <c r="DV38" s="11" t="n">
        <v>5</v>
      </c>
      <c r="DW38" s="11" t="s">
        <v>573</v>
      </c>
      <c r="DX38" s="11" t="n">
        <v>0.406307</v>
      </c>
      <c r="DY38" s="11" t="n">
        <v>0.0153471979499636</v>
      </c>
      <c r="DZ38" s="11" t="n">
        <v>0.797266802050036</v>
      </c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 t="n">
        <v>17.1493426372204</v>
      </c>
      <c r="EP38" s="11" t="n">
        <v>210.68764300604</v>
      </c>
      <c r="EQ38" s="11" t="n">
        <v>5254.1574805633</v>
      </c>
      <c r="ER38" s="11" t="n">
        <v>5.77035300082851</v>
      </c>
      <c r="ES38" s="11" t="n">
        <v>5.66927039787154</v>
      </c>
      <c r="ET38" s="11" t="n">
        <v>5.77035300082851</v>
      </c>
      <c r="EU38" s="11" t="n">
        <v>121.269735416272</v>
      </c>
      <c r="EV38" s="11" t="n">
        <v>82.5078010500984</v>
      </c>
      <c r="EW38" s="11" t="n">
        <v>1328.97931336155</v>
      </c>
      <c r="EX38" s="11" t="n">
        <v>1145.7607080663</v>
      </c>
      <c r="EY38" s="11" t="n">
        <v>0.934940190723528</v>
      </c>
      <c r="EZ38" s="11" t="n">
        <v>0.398117936227402</v>
      </c>
      <c r="FA38" s="11" t="n">
        <v>0.0499076291053083</v>
      </c>
      <c r="FB38" s="11" t="n">
        <v>0.839080459770115</v>
      </c>
      <c r="FC38" s="11" t="n">
        <v>0</v>
      </c>
      <c r="FD38" s="11" t="n">
        <v>0</v>
      </c>
      <c r="FE38" s="11" t="s">
        <v>574</v>
      </c>
      <c r="FF38" s="11" t="s">
        <v>283</v>
      </c>
      <c r="FG38" s="11" t="n">
        <v>174</v>
      </c>
      <c r="FH38" s="11" t="s">
        <v>575</v>
      </c>
      <c r="FI38" s="11" t="s">
        <v>59</v>
      </c>
      <c r="FJ38" s="11" t="n">
        <v>0.2</v>
      </c>
      <c r="FK38" s="11" t="n">
        <v>0.859814313588282</v>
      </c>
      <c r="FL38" s="11" t="n">
        <v>0.47855012343755</v>
      </c>
      <c r="FM38" s="11" t="n">
        <v>0.133620689655172</v>
      </c>
      <c r="FN38" s="11" t="n">
        <v>0</v>
      </c>
      <c r="FO38" s="11" t="n">
        <v>6.42942523280142</v>
      </c>
      <c r="FP38" s="11" t="n">
        <v>6.27733543662549</v>
      </c>
      <c r="FQ38" s="11" t="n">
        <v>0.954022988505747</v>
      </c>
      <c r="FR38" s="11" t="n">
        <v>0</v>
      </c>
      <c r="FS38" s="11" t="n">
        <v>6.4294251139436</v>
      </c>
      <c r="FT38" s="11" t="n">
        <v>6.27733449840433</v>
      </c>
      <c r="FU38" s="11" t="n">
        <v>0</v>
      </c>
      <c r="FV38" s="11" t="n">
        <v>29.2145251845551</v>
      </c>
      <c r="FW38" s="11" t="n">
        <v>785.429385089354</v>
      </c>
      <c r="FX38" s="11" t="n">
        <v>0.0827666687220865</v>
      </c>
      <c r="FY38" s="11" t="n">
        <v>1</v>
      </c>
      <c r="FZ38" s="11" t="n">
        <v>70</v>
      </c>
      <c r="GA38" s="11" t="n">
        <v>1</v>
      </c>
      <c r="GB38" s="11" t="s">
        <v>576</v>
      </c>
      <c r="GC38" s="11" t="n">
        <v>0.96551724137931</v>
      </c>
      <c r="GD38" s="11" t="n">
        <v>0.96551724137931</v>
      </c>
      <c r="GE38" s="11" t="n">
        <v>0.96551724137931</v>
      </c>
      <c r="GF38" s="11" t="n">
        <v>0.96551724137931</v>
      </c>
      <c r="GG38" s="11" t="n">
        <v>0</v>
      </c>
      <c r="GH38" s="11" t="n">
        <v>0</v>
      </c>
      <c r="GI38" s="11" t="n">
        <v>5.19386872897546</v>
      </c>
      <c r="GJ38" s="11" t="n">
        <v>5.20969340444981</v>
      </c>
      <c r="GK38" s="11" t="n">
        <v>5.20560683001732</v>
      </c>
      <c r="GL38" s="11" t="n">
        <v>5.21316152605517</v>
      </c>
      <c r="GM38" s="11" t="n">
        <v>0</v>
      </c>
      <c r="GN38" s="11" t="n">
        <v>0</v>
      </c>
      <c r="GO38" s="11" t="n">
        <v>0.96551724137931</v>
      </c>
      <c r="GP38" s="11" t="n">
        <v>0.96551724137931</v>
      </c>
      <c r="GQ38" s="11" t="n">
        <v>0</v>
      </c>
      <c r="GR38" s="11" t="n">
        <v>1</v>
      </c>
      <c r="GS38" s="11" t="n">
        <v>1</v>
      </c>
      <c r="GT38" s="11" t="n">
        <v>0</v>
      </c>
      <c r="GU38" s="11" t="n">
        <v>0</v>
      </c>
      <c r="GV38" s="11" t="n">
        <v>0</v>
      </c>
      <c r="GW38" s="11" t="n">
        <v>0</v>
      </c>
      <c r="GX38" s="11" t="n">
        <v>0</v>
      </c>
      <c r="GY38" s="11" t="n">
        <v>1</v>
      </c>
      <c r="GZ38" s="11" t="n">
        <v>1</v>
      </c>
      <c r="HA38" s="11" t="n">
        <v>1</v>
      </c>
      <c r="HB38" s="11" t="n">
        <v>0</v>
      </c>
      <c r="HC38" s="11" t="n">
        <v>0</v>
      </c>
      <c r="HD38" s="11" t="n">
        <v>0</v>
      </c>
      <c r="HE38" s="11" t="n">
        <v>0</v>
      </c>
      <c r="HF38" s="11" t="n">
        <v>1</v>
      </c>
      <c r="HG38" s="11" t="n">
        <v>0</v>
      </c>
      <c r="HH38" s="11" t="n">
        <v>0</v>
      </c>
      <c r="HI38" s="11" t="n">
        <v>0</v>
      </c>
      <c r="HJ38" s="11" t="n">
        <v>0</v>
      </c>
      <c r="HK38" s="11" t="s">
        <v>844</v>
      </c>
      <c r="HL38" s="11" t="s">
        <v>577</v>
      </c>
      <c r="HM38" s="11" t="n">
        <v>1</v>
      </c>
      <c r="HN38" s="11" t="s">
        <v>591</v>
      </c>
      <c r="HO38" s="11" t="s">
        <v>578</v>
      </c>
      <c r="HP38" s="11" t="s">
        <v>578</v>
      </c>
      <c r="HQ38" s="11" t="n">
        <v>0</v>
      </c>
      <c r="HR38" s="11" t="s">
        <v>204</v>
      </c>
      <c r="HS38" s="11" t="s">
        <v>249</v>
      </c>
      <c r="HT38" s="11" t="s">
        <v>249</v>
      </c>
      <c r="HU38" s="11" t="s">
        <v>845</v>
      </c>
      <c r="HV38" s="11" t="s">
        <v>845</v>
      </c>
      <c r="HW38" s="11" t="s">
        <v>846</v>
      </c>
      <c r="HX38" s="11" t="s">
        <v>838</v>
      </c>
      <c r="HY38" s="11" t="s">
        <v>583</v>
      </c>
      <c r="HZ38" s="11" t="s">
        <v>847</v>
      </c>
      <c r="IA38" s="11" t="s">
        <v>843</v>
      </c>
      <c r="IB38" s="11" t="s">
        <v>848</v>
      </c>
      <c r="IC38" s="11" t="s">
        <v>283</v>
      </c>
      <c r="ID38" s="11" t="s">
        <v>841</v>
      </c>
      <c r="IE38" s="11"/>
      <c r="IF38" s="11"/>
      <c r="IG38" s="11"/>
      <c r="IH38" s="11"/>
    </row>
    <row r="39" customFormat="false" ht="15" hidden="false" customHeight="false" outlineLevel="0" collapsed="false">
      <c r="A39" s="11" t="s">
        <v>101</v>
      </c>
      <c r="B39" s="11" t="s">
        <v>849</v>
      </c>
      <c r="C39" s="11" t="s">
        <v>569</v>
      </c>
      <c r="D39" s="11" t="s">
        <v>570</v>
      </c>
      <c r="E39" s="11" t="s">
        <v>91</v>
      </c>
      <c r="F39" s="11"/>
      <c r="G39" s="11"/>
      <c r="H39" s="11" t="s">
        <v>850</v>
      </c>
      <c r="I39" s="11" t="s">
        <v>851</v>
      </c>
      <c r="J39" s="11" t="n">
        <v>78</v>
      </c>
      <c r="K39" s="11" t="n">
        <v>2.6</v>
      </c>
      <c r="L39" s="11" t="n">
        <v>0.675871014595032</v>
      </c>
      <c r="M39" s="11" t="n">
        <v>0.801442265510559</v>
      </c>
      <c r="N39" s="11" t="n">
        <v>0</v>
      </c>
      <c r="O39" s="11" t="n">
        <v>0.519413761547664</v>
      </c>
      <c r="P39" s="11" t="n">
        <v>0.510570388540192</v>
      </c>
      <c r="Q39" s="11" t="n">
        <v>0.255798306834168</v>
      </c>
      <c r="R39" s="11" t="n">
        <v>0.602564102564102</v>
      </c>
      <c r="S39" s="11" t="n">
        <v>0.217948717948718</v>
      </c>
      <c r="T39" s="11" t="n">
        <v>0.0512820512820513</v>
      </c>
      <c r="U39" s="11" t="n">
        <v>0</v>
      </c>
      <c r="V39" s="11" t="n">
        <v>0</v>
      </c>
      <c r="W39" s="11" t="n">
        <v>0.333333333333333</v>
      </c>
      <c r="X39" s="11" t="n">
        <v>0.205128205128205</v>
      </c>
      <c r="Y39" s="11" t="n">
        <v>0.256410256410256</v>
      </c>
      <c r="Z39" s="11" t="n">
        <v>0.307692307692308</v>
      </c>
      <c r="AA39" s="11" t="n">
        <v>0.0769230769230769</v>
      </c>
      <c r="AB39" s="11" t="n">
        <v>0.0256410256410256</v>
      </c>
      <c r="AC39" s="11" t="n">
        <v>-0.00207435655585376</v>
      </c>
      <c r="AD39" s="11" t="n">
        <v>-0.0105557476334523</v>
      </c>
      <c r="AE39" s="11" t="n">
        <v>0.428571428571429</v>
      </c>
      <c r="AF39" s="11" t="n">
        <v>0.228571428571429</v>
      </c>
      <c r="AG39" s="11" t="n">
        <v>0.0571428571428571</v>
      </c>
      <c r="AH39" s="11" t="n">
        <v>0.128205128205128</v>
      </c>
      <c r="AI39" s="11" t="n">
        <v>0.0769230769230769</v>
      </c>
      <c r="AJ39" s="11" t="n">
        <v>0.0256410256410256</v>
      </c>
      <c r="AK39" s="11" t="n">
        <v>0.18845019011299</v>
      </c>
      <c r="AL39" s="11" t="n">
        <v>0</v>
      </c>
      <c r="AM39" s="11" t="n">
        <v>0</v>
      </c>
      <c r="AN39" s="11" t="n">
        <v>0</v>
      </c>
      <c r="AO39" s="11"/>
      <c r="AP39" s="11"/>
      <c r="AQ39" s="11"/>
      <c r="AR39" s="11" t="n">
        <v>0</v>
      </c>
      <c r="AS39" s="11" t="n">
        <v>0.102564102564103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0.00553718128849029</v>
      </c>
      <c r="AZ39" s="11" t="n">
        <v>0.0164148733498196</v>
      </c>
      <c r="BA39" s="11"/>
      <c r="BB39" s="11" t="n">
        <v>0.0256410256410256</v>
      </c>
      <c r="BC39" s="11" t="n">
        <v>0.564102564102564</v>
      </c>
      <c r="BD39" s="11" t="n">
        <v>0.205128205128205</v>
      </c>
      <c r="BE39" s="11" t="n">
        <v>0.576923076923077</v>
      </c>
      <c r="BF39" s="11" t="n">
        <v>0.371794871794872</v>
      </c>
      <c r="BG39" s="11" t="n">
        <v>0.602564102564102</v>
      </c>
      <c r="BH39" s="11" t="n">
        <v>0.435897435897436</v>
      </c>
      <c r="BI39" s="11" t="n">
        <v>0.602564102564102</v>
      </c>
      <c r="BJ39" s="11" t="n">
        <v>0.12468614817136</v>
      </c>
      <c r="BK39" s="11" t="n">
        <v>0.125850083756829</v>
      </c>
      <c r="BL39" s="11" t="n">
        <v>0.297030613461034</v>
      </c>
      <c r="BM39" s="11" t="n">
        <v>0.329317201719095</v>
      </c>
      <c r="BN39" s="11" t="n">
        <v>0.604928349478977</v>
      </c>
      <c r="BO39" s="11" t="n">
        <v>0.559649893793101</v>
      </c>
      <c r="BP39" s="11" t="n">
        <v>0.0175856653624953</v>
      </c>
      <c r="BQ39" s="11" t="n">
        <v>0.00588124156653059</v>
      </c>
      <c r="BR39" s="11" t="n">
        <v>4.52529082302048</v>
      </c>
      <c r="BS39" s="11" t="n">
        <v>11.8622078889902</v>
      </c>
      <c r="BT39" s="11" t="n">
        <v>23.6685140106803</v>
      </c>
      <c r="BU39" s="11" t="n">
        <v>12.468614817136</v>
      </c>
      <c r="BV39" s="11" t="n">
        <v>17.0186005374987</v>
      </c>
      <c r="BW39" s="11" t="n">
        <v>6.84161491189635</v>
      </c>
      <c r="BX39" s="11" t="n">
        <v>4.79846588361147</v>
      </c>
      <c r="BY39" s="11" t="n">
        <v>4.56046810919258</v>
      </c>
      <c r="BZ39" s="11" t="n">
        <v>0.551282051282051</v>
      </c>
      <c r="CA39" s="11" t="n">
        <v>0.534883720930232</v>
      </c>
      <c r="CB39" s="11" t="n">
        <v>0.372093023255814</v>
      </c>
      <c r="CC39" s="11" t="n">
        <v>0.441860465116279</v>
      </c>
      <c r="CD39" s="11" t="n">
        <v>0.534883720930232</v>
      </c>
      <c r="CE39" s="11" t="n">
        <v>0.551282051282051</v>
      </c>
      <c r="CF39" s="11" t="n">
        <v>5</v>
      </c>
      <c r="CG39" s="11" t="n">
        <v>0</v>
      </c>
      <c r="CH39" s="11" t="n">
        <v>0.534883720930232</v>
      </c>
      <c r="CI39" s="11" t="n">
        <v>0.441860465116279</v>
      </c>
      <c r="CJ39" s="11" t="n">
        <v>0.534883720930232</v>
      </c>
      <c r="CK39" s="11" t="n">
        <v>0.0857142857142857</v>
      </c>
      <c r="CL39" s="11" t="n">
        <v>0</v>
      </c>
      <c r="CM39" s="11" t="n">
        <v>0.0285714285714286</v>
      </c>
      <c r="CN39" s="11" t="n">
        <v>0.0285714285714286</v>
      </c>
      <c r="CO39" s="11" t="n">
        <v>0</v>
      </c>
      <c r="CP39" s="11" t="n">
        <v>0</v>
      </c>
      <c r="CQ39" s="11" t="n">
        <v>0</v>
      </c>
      <c r="CR39" s="11" t="n">
        <v>0</v>
      </c>
      <c r="CS39" s="11" t="n">
        <v>0.157894736842105</v>
      </c>
      <c r="CT39" s="11" t="n">
        <v>0</v>
      </c>
      <c r="CU39" s="11" t="n">
        <v>0.0526315789473684</v>
      </c>
      <c r="CV39" s="11" t="n">
        <v>0.0526315789473684</v>
      </c>
      <c r="CW39" s="11" t="n">
        <v>0.0465116279069767</v>
      </c>
      <c r="CX39" s="11" t="n">
        <v>0</v>
      </c>
      <c r="CY39" s="11" t="n">
        <v>-0.0328458990077557</v>
      </c>
      <c r="CZ39" s="11" t="n">
        <v>-0.186736698987348</v>
      </c>
      <c r="DA39" s="11" t="n">
        <v>3.69170863774616</v>
      </c>
      <c r="DB39" s="11" t="n">
        <v>-0.10719446595104</v>
      </c>
      <c r="DC39" s="11" t="n">
        <v>7.50735565372514</v>
      </c>
      <c r="DD39" s="11" t="n">
        <v>0.61633573822174</v>
      </c>
      <c r="DE39" s="11" t="n">
        <v>0.346153846153846</v>
      </c>
      <c r="DF39" s="11" t="n">
        <v>-0.116587729525904</v>
      </c>
      <c r="DG39" s="11" t="n">
        <v>-0.0921048911504178</v>
      </c>
      <c r="DH39" s="11" t="n">
        <v>-2.44828383754857</v>
      </c>
      <c r="DI39" s="11" t="n">
        <v>115.813107695834</v>
      </c>
      <c r="DJ39" s="11" t="n">
        <v>113.483901292613</v>
      </c>
      <c r="DK39" s="11" t="n">
        <v>10.2598186222378</v>
      </c>
      <c r="DL39" s="11" t="n">
        <v>49.05</v>
      </c>
      <c r="DM39" s="11" t="n">
        <v>0.474358974358974</v>
      </c>
      <c r="DN39" s="11" t="n">
        <v>0.205128205128205</v>
      </c>
      <c r="DO39" s="11" t="n">
        <v>-0.00761572021956686</v>
      </c>
      <c r="DP39" s="11" t="n">
        <v>0</v>
      </c>
      <c r="DQ39" s="11" t="n">
        <v>0.0128205128205128</v>
      </c>
      <c r="DR39" s="11" t="n">
        <v>0.0128205128205128</v>
      </c>
      <c r="DS39" s="11" t="n">
        <v>0</v>
      </c>
      <c r="DT39" s="11" t="n">
        <v>0</v>
      </c>
      <c r="DU39" s="11" t="n">
        <v>0</v>
      </c>
      <c r="DV39" s="11" t="n">
        <v>5</v>
      </c>
      <c r="DW39" s="11" t="s">
        <v>690</v>
      </c>
      <c r="DX39" s="11" t="n">
        <v>0.195506</v>
      </c>
      <c r="DY39" s="11" t="n">
        <v>-0.0215261441559284</v>
      </c>
      <c r="DZ39" s="11" t="n">
        <v>0.412538144155928</v>
      </c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 t="n">
        <v>10.8771447461001</v>
      </c>
      <c r="EP39" s="11" t="n">
        <v>96.6128966999725</v>
      </c>
      <c r="EQ39" s="11" t="n">
        <v>2047.54251948936</v>
      </c>
      <c r="ER39" s="11" t="n">
        <v>2.85330946404206</v>
      </c>
      <c r="ES39" s="11" t="n">
        <v>2.85330946404206</v>
      </c>
      <c r="ET39" s="11" t="n">
        <v>2.38562045124069</v>
      </c>
      <c r="EU39" s="11" t="n">
        <v>42.3717042195343</v>
      </c>
      <c r="EV39" s="11" t="n">
        <v>42.3717042195343</v>
      </c>
      <c r="EW39" s="11" t="n">
        <v>555.22743420828</v>
      </c>
      <c r="EX39" s="11" t="n">
        <v>804.355707500556</v>
      </c>
      <c r="EY39" s="11" t="n">
        <v>0.97681334909489</v>
      </c>
      <c r="EZ39" s="11" t="n">
        <v>0.481036542855418</v>
      </c>
      <c r="FA39" s="11" t="n">
        <v>0.0489836991648684</v>
      </c>
      <c r="FB39" s="11" t="n">
        <v>1</v>
      </c>
      <c r="FC39" s="11" t="n">
        <v>0</v>
      </c>
      <c r="FD39" s="11" t="n">
        <v>0</v>
      </c>
      <c r="FE39" s="11" t="s">
        <v>574</v>
      </c>
      <c r="FF39" s="11" t="s">
        <v>288</v>
      </c>
      <c r="FG39" s="11" t="n">
        <v>78</v>
      </c>
      <c r="FH39" s="11" t="s">
        <v>575</v>
      </c>
      <c r="FI39" s="11" t="s">
        <v>59</v>
      </c>
      <c r="FJ39" s="11" t="n">
        <v>0.2</v>
      </c>
      <c r="FK39" s="11" t="n">
        <v>0.219155404394532</v>
      </c>
      <c r="FL39" s="11" t="n">
        <v>0.166733594484847</v>
      </c>
      <c r="FM39" s="11" t="n">
        <v>0.0224358974358974</v>
      </c>
      <c r="FN39" s="11" t="n">
        <v>1</v>
      </c>
      <c r="FO39" s="11" t="n">
        <v>0.545293492890174</v>
      </c>
      <c r="FP39" s="11" t="n">
        <v>0.339358664480485</v>
      </c>
      <c r="FQ39" s="11" t="n">
        <v>0.0673076923076923</v>
      </c>
      <c r="FR39" s="11" t="n">
        <v>0</v>
      </c>
      <c r="FS39" s="11" t="n">
        <v>0.543129699961501</v>
      </c>
      <c r="FT39" s="11" t="n">
        <v>0.338369941978685</v>
      </c>
      <c r="FU39" s="11" t="n">
        <v>1</v>
      </c>
      <c r="FV39" s="11" t="n">
        <v>11.6763375030783</v>
      </c>
      <c r="FW39" s="11" t="n">
        <v>245.98861784502</v>
      </c>
      <c r="FX39" s="11" t="n">
        <v>0.0400801552412786</v>
      </c>
      <c r="FY39" s="11" t="n">
        <v>1</v>
      </c>
      <c r="FZ39" s="11" t="n">
        <v>19</v>
      </c>
      <c r="GA39" s="11" t="n">
        <v>1</v>
      </c>
      <c r="GB39" s="11" t="s">
        <v>576</v>
      </c>
      <c r="GC39" s="11" t="n">
        <v>0.868758764022436</v>
      </c>
      <c r="GD39" s="11" t="n">
        <v>0.894956931089744</v>
      </c>
      <c r="GE39" s="11" t="n">
        <v>0.896709244597542</v>
      </c>
      <c r="GF39" s="11" t="n">
        <v>0.897435897435897</v>
      </c>
      <c r="GG39" s="11" t="n">
        <v>0.0260416666666667</v>
      </c>
      <c r="GH39" s="11" t="n">
        <v>0.0256410256410256</v>
      </c>
      <c r="GI39" s="11" t="n">
        <v>0.0618468429325171</v>
      </c>
      <c r="GJ39" s="11" t="n">
        <v>0.0720315537212464</v>
      </c>
      <c r="GK39" s="11" t="n">
        <v>0.0699464649224086</v>
      </c>
      <c r="GL39" s="11" t="n">
        <v>0.0745461877936927</v>
      </c>
      <c r="GM39" s="11" t="n">
        <v>0.00454979284850546</v>
      </c>
      <c r="GN39" s="11" t="n">
        <v>0.00096012999860343</v>
      </c>
      <c r="GO39" s="11" t="n">
        <v>0.896634615384615</v>
      </c>
      <c r="GP39" s="11" t="n">
        <v>0.897435897435897</v>
      </c>
      <c r="GQ39" s="11" t="n">
        <v>-0.0367171838879585</v>
      </c>
      <c r="GR39" s="11" t="n">
        <v>1</v>
      </c>
      <c r="GS39" s="11" t="n">
        <v>1</v>
      </c>
      <c r="GT39" s="11" t="n">
        <v>0</v>
      </c>
      <c r="GU39" s="11" t="n">
        <v>0</v>
      </c>
      <c r="GV39" s="11" t="n">
        <v>1</v>
      </c>
      <c r="GW39" s="11" t="n">
        <v>1</v>
      </c>
      <c r="GX39" s="11" t="n">
        <v>1</v>
      </c>
      <c r="GY39" s="11" t="n">
        <v>1</v>
      </c>
      <c r="GZ39" s="11" t="n">
        <v>1</v>
      </c>
      <c r="HA39" s="11" t="n">
        <v>1</v>
      </c>
      <c r="HB39" s="11" t="n">
        <v>1</v>
      </c>
      <c r="HC39" s="11" t="n">
        <v>1</v>
      </c>
      <c r="HD39" s="11" t="n">
        <v>1</v>
      </c>
      <c r="HE39" s="11" t="n">
        <v>0</v>
      </c>
      <c r="HF39" s="11" t="n">
        <v>1</v>
      </c>
      <c r="HG39" s="11" t="n">
        <v>1</v>
      </c>
      <c r="HH39" s="11" t="n">
        <v>1</v>
      </c>
      <c r="HI39" s="11" t="n">
        <v>0</v>
      </c>
      <c r="HJ39" s="11" t="n">
        <v>0</v>
      </c>
      <c r="HK39" s="11" t="s">
        <v>143</v>
      </c>
      <c r="HL39" s="11" t="s">
        <v>577</v>
      </c>
      <c r="HM39" s="11" t="n">
        <v>1</v>
      </c>
      <c r="HN39" s="11" t="s">
        <v>10</v>
      </c>
      <c r="HO39" s="11" t="s">
        <v>578</v>
      </c>
      <c r="HP39" s="11" t="s">
        <v>578</v>
      </c>
      <c r="HQ39" s="11" t="n">
        <v>0</v>
      </c>
      <c r="HR39" s="11" t="s">
        <v>189</v>
      </c>
      <c r="HS39" s="11" t="s">
        <v>579</v>
      </c>
      <c r="HT39" s="11" t="s">
        <v>579</v>
      </c>
      <c r="HU39" s="11" t="s">
        <v>852</v>
      </c>
      <c r="HV39" s="11" t="s">
        <v>852</v>
      </c>
      <c r="HW39" s="11" t="s">
        <v>853</v>
      </c>
      <c r="HX39" s="11" t="s">
        <v>854</v>
      </c>
      <c r="HY39" s="11" t="s">
        <v>583</v>
      </c>
      <c r="HZ39" s="11" t="s">
        <v>855</v>
      </c>
      <c r="IA39" s="11" t="s">
        <v>850</v>
      </c>
      <c r="IB39" s="11" t="s">
        <v>856</v>
      </c>
      <c r="IC39" s="11" t="s">
        <v>288</v>
      </c>
      <c r="ID39" s="11" t="s">
        <v>857</v>
      </c>
      <c r="IE39" s="11"/>
      <c r="IF39" s="11"/>
      <c r="IG39" s="11"/>
      <c r="IH39" s="11"/>
    </row>
    <row r="40" customFormat="false" ht="15" hidden="false" customHeight="false" outlineLevel="0" collapsed="false">
      <c r="A40" s="11" t="s">
        <v>101</v>
      </c>
      <c r="B40" s="11" t="s">
        <v>858</v>
      </c>
      <c r="C40" s="11" t="s">
        <v>588</v>
      </c>
      <c r="D40" s="11" t="s">
        <v>570</v>
      </c>
      <c r="E40" s="11" t="s">
        <v>91</v>
      </c>
      <c r="F40" s="11"/>
      <c r="G40" s="11"/>
      <c r="H40" s="11" t="s">
        <v>859</v>
      </c>
      <c r="I40" s="11" t="s">
        <v>287</v>
      </c>
      <c r="J40" s="11" t="n">
        <v>78</v>
      </c>
      <c r="K40" s="11" t="n">
        <v>2.6</v>
      </c>
      <c r="L40" s="11" t="n">
        <v>0.676700174808502</v>
      </c>
      <c r="M40" s="11" t="n">
        <v>0.806067645549774</v>
      </c>
      <c r="N40" s="11" t="n">
        <v>0</v>
      </c>
      <c r="O40" s="11" t="n">
        <v>0.579259322647866</v>
      </c>
      <c r="P40" s="11" t="n">
        <v>0.501306386433296</v>
      </c>
      <c r="Q40" s="11" t="n">
        <v>0.357374296804709</v>
      </c>
      <c r="R40" s="11" t="n">
        <v>0.307692307692308</v>
      </c>
      <c r="S40" s="11" t="n">
        <v>0.205128205128205</v>
      </c>
      <c r="T40" s="11" t="n">
        <v>0.0256410256410256</v>
      </c>
      <c r="U40" s="11" t="n">
        <v>0</v>
      </c>
      <c r="V40" s="11" t="n">
        <v>0</v>
      </c>
      <c r="W40" s="11" t="n">
        <v>0.448717948717949</v>
      </c>
      <c r="X40" s="11" t="n">
        <v>0.230769230769231</v>
      </c>
      <c r="Y40" s="11" t="n">
        <v>0.307692307692308</v>
      </c>
      <c r="Z40" s="11" t="n">
        <v>0.358974358974359</v>
      </c>
      <c r="AA40" s="11" t="n">
        <v>0.141025641025641</v>
      </c>
      <c r="AB40" s="11" t="n">
        <v>0.0897435897435897</v>
      </c>
      <c r="AC40" s="11" t="n">
        <v>-0.00234093202537655</v>
      </c>
      <c r="AD40" s="11" t="n">
        <v>-0.00791198445758774</v>
      </c>
      <c r="AE40" s="11" t="n">
        <v>0.377777777777778</v>
      </c>
      <c r="AF40" s="11" t="n">
        <v>0.244444444444444</v>
      </c>
      <c r="AG40" s="11" t="n">
        <v>0.155555555555556</v>
      </c>
      <c r="AH40" s="11" t="n">
        <v>0.217948717948718</v>
      </c>
      <c r="AI40" s="11" t="n">
        <v>0.141025641025641</v>
      </c>
      <c r="AJ40" s="11" t="n">
        <v>0.0897435897435897</v>
      </c>
      <c r="AK40" s="11" t="n">
        <v>0.206259380195779</v>
      </c>
      <c r="AL40" s="11" t="n">
        <v>0</v>
      </c>
      <c r="AM40" s="11" t="n">
        <v>0</v>
      </c>
      <c r="AN40" s="11" t="n">
        <v>0</v>
      </c>
      <c r="AO40" s="11"/>
      <c r="AP40" s="11"/>
      <c r="AQ40" s="11"/>
      <c r="AR40" s="11" t="n">
        <v>0</v>
      </c>
      <c r="AS40" s="11" t="n">
        <v>0</v>
      </c>
      <c r="AT40" s="11" t="n">
        <v>0</v>
      </c>
      <c r="AU40" s="11" t="n">
        <v>0</v>
      </c>
      <c r="AV40" s="11" t="n">
        <v>0</v>
      </c>
      <c r="AW40" s="11" t="n">
        <v>0</v>
      </c>
      <c r="AX40" s="11" t="n">
        <v>0</v>
      </c>
      <c r="AY40" s="11" t="n">
        <v>0.00642807848275278</v>
      </c>
      <c r="AZ40" s="11" t="n">
        <v>0.0192180989996482</v>
      </c>
      <c r="BA40" s="11"/>
      <c r="BB40" s="11" t="n">
        <v>0</v>
      </c>
      <c r="BC40" s="11" t="n">
        <v>0.58974358974359</v>
      </c>
      <c r="BD40" s="11" t="n">
        <v>0.153846153846154</v>
      </c>
      <c r="BE40" s="11" t="n">
        <v>0.58974358974359</v>
      </c>
      <c r="BF40" s="11" t="n">
        <v>0.307692307692308</v>
      </c>
      <c r="BG40" s="11" t="n">
        <v>0.615384615384615</v>
      </c>
      <c r="BH40" s="11" t="n">
        <v>0.5</v>
      </c>
      <c r="BI40" s="11" t="n">
        <v>0.615384615384615</v>
      </c>
      <c r="BJ40" s="11" t="n">
        <v>0.153318282194247</v>
      </c>
      <c r="BK40" s="11" t="n">
        <v>0.185189398104232</v>
      </c>
      <c r="BL40" s="11" t="n">
        <v>0.263831929348328</v>
      </c>
      <c r="BM40" s="11" t="n">
        <v>0.194908207650661</v>
      </c>
      <c r="BN40" s="11" t="n">
        <v>0.646237886798399</v>
      </c>
      <c r="BO40" s="11" t="n">
        <v>0.76868892387316</v>
      </c>
      <c r="BP40" s="11" t="n">
        <v>0.0182331869527218</v>
      </c>
      <c r="BQ40" s="11" t="n">
        <v>0.00548601863414358</v>
      </c>
      <c r="BR40" s="11" t="n">
        <v>4.96204826279941</v>
      </c>
      <c r="BS40" s="11" t="n">
        <v>13.7486476689841</v>
      </c>
      <c r="BT40" s="11" t="n">
        <v>23.58043464976</v>
      </c>
      <c r="BU40" s="11" t="n">
        <v>15.3318282194247</v>
      </c>
      <c r="BV40" s="11" t="n">
        <v>15.1164560524525</v>
      </c>
      <c r="BW40" s="11" t="n">
        <v>7.56125382566066</v>
      </c>
      <c r="BX40" s="11" t="n">
        <v>4.81904880351113</v>
      </c>
      <c r="BY40" s="11" t="n">
        <v>5.87664197593269</v>
      </c>
      <c r="BZ40" s="11" t="n">
        <v>0.551282051282051</v>
      </c>
      <c r="CA40" s="11" t="n">
        <v>0.790697674418605</v>
      </c>
      <c r="CB40" s="11" t="n">
        <v>0.395348837209302</v>
      </c>
      <c r="CC40" s="11" t="n">
        <v>0.534883720930232</v>
      </c>
      <c r="CD40" s="11" t="n">
        <v>0.627906976744186</v>
      </c>
      <c r="CE40" s="11" t="n">
        <v>0.551282051282051</v>
      </c>
      <c r="CF40" s="11" t="n">
        <v>5</v>
      </c>
      <c r="CG40" s="11" t="n">
        <v>0</v>
      </c>
      <c r="CH40" s="11" t="n">
        <v>0.790697674418605</v>
      </c>
      <c r="CI40" s="11" t="n">
        <v>0.534883720930232</v>
      </c>
      <c r="CJ40" s="11" t="n">
        <v>0.627906976744186</v>
      </c>
      <c r="CK40" s="11" t="n">
        <v>0.0285714285714286</v>
      </c>
      <c r="CL40" s="11" t="n">
        <v>0.0285714285714286</v>
      </c>
      <c r="CM40" s="11" t="n">
        <v>0.0285714285714286</v>
      </c>
      <c r="CN40" s="11" t="n">
        <v>0.0285714285714286</v>
      </c>
      <c r="CO40" s="11" t="n">
        <v>0</v>
      </c>
      <c r="CP40" s="11" t="n">
        <v>0</v>
      </c>
      <c r="CQ40" s="11" t="n">
        <v>0</v>
      </c>
      <c r="CR40" s="11" t="n">
        <v>0</v>
      </c>
      <c r="CS40" s="11" t="n">
        <v>0.0526315789473684</v>
      </c>
      <c r="CT40" s="11" t="n">
        <v>0.0526315789473684</v>
      </c>
      <c r="CU40" s="11" t="n">
        <v>0.0526315789473684</v>
      </c>
      <c r="CV40" s="11" t="n">
        <v>0.0526315789473684</v>
      </c>
      <c r="CW40" s="11" t="n">
        <v>0.0465116279069767</v>
      </c>
      <c r="CX40" s="11" t="n">
        <v>0</v>
      </c>
      <c r="CY40" s="11" t="n">
        <v>-0.000354745608955171</v>
      </c>
      <c r="CZ40" s="11" t="n">
        <v>-0.127125552590452</v>
      </c>
      <c r="DA40" s="11" t="n">
        <v>4.99210884723986</v>
      </c>
      <c r="DB40" s="11" t="n">
        <v>-0.0375788179185</v>
      </c>
      <c r="DC40" s="11" t="n">
        <v>9.74879195732126</v>
      </c>
      <c r="DD40" s="11" t="n">
        <v>0.504826747764524</v>
      </c>
      <c r="DE40" s="11" t="n">
        <v>0.346153846153846</v>
      </c>
      <c r="DF40" s="11" t="n">
        <v>-0.051838571241359</v>
      </c>
      <c r="DG40" s="11" t="n">
        <v>-0.0190889285114538</v>
      </c>
      <c r="DH40" s="11" t="n">
        <v>-3.27496427299052</v>
      </c>
      <c r="DI40" s="11" t="n">
        <v>91.2262150658438</v>
      </c>
      <c r="DJ40" s="11" t="n">
        <v>89.1794760765952</v>
      </c>
      <c r="DK40" s="11" t="n">
        <v>11.5808150858615</v>
      </c>
      <c r="DL40" s="11" t="n">
        <v>49.05</v>
      </c>
      <c r="DM40" s="11" t="n">
        <v>0.474358974358974</v>
      </c>
      <c r="DN40" s="11" t="n">
        <v>0.205128205128205</v>
      </c>
      <c r="DO40" s="11" t="n">
        <v>-0.00761572021956686</v>
      </c>
      <c r="DP40" s="11" t="n">
        <v>0</v>
      </c>
      <c r="DQ40" s="11" t="n">
        <v>0</v>
      </c>
      <c r="DR40" s="11" t="n">
        <v>0</v>
      </c>
      <c r="DS40" s="11" t="n">
        <v>0</v>
      </c>
      <c r="DT40" s="11" t="n">
        <v>0</v>
      </c>
      <c r="DU40" s="11" t="n">
        <v>0</v>
      </c>
      <c r="DV40" s="11" t="n">
        <v>5</v>
      </c>
      <c r="DW40" s="11" t="s">
        <v>690</v>
      </c>
      <c r="DX40" s="11" t="n">
        <v>0.195506</v>
      </c>
      <c r="DY40" s="11" t="n">
        <v>-0.0215261441559284</v>
      </c>
      <c r="DZ40" s="11" t="n">
        <v>0.412538144155928</v>
      </c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 t="n">
        <v>11.727387693769</v>
      </c>
      <c r="EP40" s="11" t="n">
        <v>98.3777198526519</v>
      </c>
      <c r="EQ40" s="11" t="n">
        <v>1922.37894469762</v>
      </c>
      <c r="ER40" s="11" t="n">
        <v>3.32555192617853</v>
      </c>
      <c r="ES40" s="11" t="n">
        <v>2.51093689529862</v>
      </c>
      <c r="ET40" s="11" t="n">
        <v>3.32555192617853</v>
      </c>
      <c r="EU40" s="11" t="n">
        <v>62.738026917172</v>
      </c>
      <c r="EV40" s="11" t="n">
        <v>62.738026917172</v>
      </c>
      <c r="EW40" s="11" t="n">
        <v>475.411177684719</v>
      </c>
      <c r="EX40" s="11" t="n">
        <v>515.519550721209</v>
      </c>
      <c r="EY40" s="11" t="n">
        <v>1.1457722261579</v>
      </c>
      <c r="EZ40" s="11" t="n">
        <v>0.682134685787104</v>
      </c>
      <c r="FA40" s="11" t="n">
        <v>0.0481395153459317</v>
      </c>
      <c r="FB40" s="11" t="n">
        <v>1</v>
      </c>
      <c r="FC40" s="11" t="n">
        <v>0</v>
      </c>
      <c r="FD40" s="11" t="n">
        <v>0</v>
      </c>
      <c r="FE40" s="11" t="s">
        <v>574</v>
      </c>
      <c r="FF40" s="11" t="s">
        <v>288</v>
      </c>
      <c r="FG40" s="11" t="n">
        <v>78</v>
      </c>
      <c r="FH40" s="11" t="s">
        <v>575</v>
      </c>
      <c r="FI40" s="11" t="s">
        <v>59</v>
      </c>
      <c r="FJ40" s="11" t="n">
        <v>0.2</v>
      </c>
      <c r="FK40" s="11" t="n">
        <v>0.205816749517738</v>
      </c>
      <c r="FL40" s="11" t="n">
        <v>0.151846522393922</v>
      </c>
      <c r="FM40" s="11" t="n">
        <v>0.0032051282051282</v>
      </c>
      <c r="FN40" s="11" t="n">
        <v>1</v>
      </c>
      <c r="FO40" s="11" t="n">
        <v>0.552557856064794</v>
      </c>
      <c r="FP40" s="11" t="n">
        <v>0.33894047980341</v>
      </c>
      <c r="FQ40" s="11" t="n">
        <v>0.0801282051282051</v>
      </c>
      <c r="FR40" s="11" t="n">
        <v>0</v>
      </c>
      <c r="FS40" s="11" t="n">
        <v>0.551387449550537</v>
      </c>
      <c r="FT40" s="11" t="n">
        <v>0.338873989194029</v>
      </c>
      <c r="FU40" s="11" t="n">
        <v>1</v>
      </c>
      <c r="FV40" s="11" t="n">
        <v>11.6221912326665</v>
      </c>
      <c r="FW40" s="11" t="n">
        <v>235.731783259554</v>
      </c>
      <c r="FX40" s="11" t="n">
        <v>0.0554236253223024</v>
      </c>
      <c r="FY40" s="11" t="n">
        <v>1</v>
      </c>
      <c r="FZ40" s="11" t="n">
        <v>19</v>
      </c>
      <c r="GA40" s="11" t="n">
        <v>1</v>
      </c>
      <c r="GB40" s="11" t="s">
        <v>576</v>
      </c>
      <c r="GC40" s="11" t="n">
        <v>0.919176150590945</v>
      </c>
      <c r="GD40" s="11" t="n">
        <v>0.922676282051282</v>
      </c>
      <c r="GE40" s="11" t="n">
        <v>0.923076923076923</v>
      </c>
      <c r="GF40" s="11" t="n">
        <v>0.923076923076923</v>
      </c>
      <c r="GG40" s="11" t="n">
        <v>0</v>
      </c>
      <c r="GH40" s="11" t="n">
        <v>0</v>
      </c>
      <c r="GI40" s="11" t="n">
        <v>0.0737532834853202</v>
      </c>
      <c r="GJ40" s="11" t="n">
        <v>0.083999494353357</v>
      </c>
      <c r="GK40" s="11" t="n">
        <v>0.0820238825620797</v>
      </c>
      <c r="GL40" s="11" t="n">
        <v>0.0867592541930767</v>
      </c>
      <c r="GM40" s="11" t="n">
        <v>0.000253066046010184</v>
      </c>
      <c r="GN40" s="11" t="n">
        <v>8.34668828293872E-006</v>
      </c>
      <c r="GO40" s="11" t="n">
        <v>0.923076923076923</v>
      </c>
      <c r="GP40" s="11" t="n">
        <v>0.923076923076923</v>
      </c>
      <c r="GQ40" s="11" t="n">
        <v>-0.0217926781624556</v>
      </c>
      <c r="GR40" s="11" t="n">
        <v>1</v>
      </c>
      <c r="GS40" s="11" t="n">
        <v>1</v>
      </c>
      <c r="GT40" s="11" t="n">
        <v>0</v>
      </c>
      <c r="GU40" s="11" t="n">
        <v>0</v>
      </c>
      <c r="GV40" s="11" t="n">
        <v>1</v>
      </c>
      <c r="GW40" s="11" t="n">
        <v>1</v>
      </c>
      <c r="GX40" s="11" t="n">
        <v>1</v>
      </c>
      <c r="GY40" s="11" t="n">
        <v>1</v>
      </c>
      <c r="GZ40" s="11" t="n">
        <v>1</v>
      </c>
      <c r="HA40" s="11" t="n">
        <v>1</v>
      </c>
      <c r="HB40" s="11" t="n">
        <v>1</v>
      </c>
      <c r="HC40" s="11" t="n">
        <v>1</v>
      </c>
      <c r="HD40" s="11" t="n">
        <v>1</v>
      </c>
      <c r="HE40" s="11" t="n">
        <v>0</v>
      </c>
      <c r="HF40" s="11" t="n">
        <v>1</v>
      </c>
      <c r="HG40" s="11" t="n">
        <v>1</v>
      </c>
      <c r="HH40" s="11" t="n">
        <v>1</v>
      </c>
      <c r="HI40" s="11" t="n">
        <v>0</v>
      </c>
      <c r="HJ40" s="11" t="n">
        <v>0</v>
      </c>
      <c r="HK40" s="11" t="s">
        <v>143</v>
      </c>
      <c r="HL40" s="11" t="s">
        <v>577</v>
      </c>
      <c r="HM40" s="11" t="n">
        <v>1</v>
      </c>
      <c r="HN40" s="11" t="s">
        <v>591</v>
      </c>
      <c r="HO40" s="11" t="s">
        <v>578</v>
      </c>
      <c r="HP40" s="11" t="s">
        <v>578</v>
      </c>
      <c r="HQ40" s="11" t="n">
        <v>0</v>
      </c>
      <c r="HR40" s="11" t="s">
        <v>189</v>
      </c>
      <c r="HS40" s="11" t="s">
        <v>300</v>
      </c>
      <c r="HT40" s="11" t="s">
        <v>300</v>
      </c>
      <c r="HU40" s="11" t="s">
        <v>860</v>
      </c>
      <c r="HV40" s="11" t="s">
        <v>860</v>
      </c>
      <c r="HW40" s="11" t="s">
        <v>861</v>
      </c>
      <c r="HX40" s="11" t="s">
        <v>854</v>
      </c>
      <c r="HY40" s="11" t="s">
        <v>583</v>
      </c>
      <c r="HZ40" s="11" t="s">
        <v>862</v>
      </c>
      <c r="IA40" s="11" t="s">
        <v>859</v>
      </c>
      <c r="IB40" s="11" t="s">
        <v>863</v>
      </c>
      <c r="IC40" s="11" t="s">
        <v>288</v>
      </c>
      <c r="ID40" s="11" t="s">
        <v>857</v>
      </c>
      <c r="IE40" s="11"/>
      <c r="IF40" s="11"/>
      <c r="IG40" s="11"/>
      <c r="IH40" s="11"/>
    </row>
    <row r="41" customFormat="false" ht="15" hidden="false" customHeight="false" outlineLevel="0" collapsed="false">
      <c r="A41" s="11" t="s">
        <v>102</v>
      </c>
      <c r="B41" s="11" t="s">
        <v>864</v>
      </c>
      <c r="C41" s="11" t="s">
        <v>569</v>
      </c>
      <c r="D41" s="11" t="s">
        <v>570</v>
      </c>
      <c r="E41" s="11" t="s">
        <v>91</v>
      </c>
      <c r="F41" s="11"/>
      <c r="G41" s="11"/>
      <c r="H41" s="11" t="s">
        <v>865</v>
      </c>
      <c r="I41" s="11" t="s">
        <v>866</v>
      </c>
      <c r="J41" s="11" t="n">
        <v>107</v>
      </c>
      <c r="K41" s="11" t="n">
        <v>3.56666666666667</v>
      </c>
      <c r="L41" s="11" t="n">
        <v>0.694536745548248</v>
      </c>
      <c r="M41" s="11" t="n">
        <v>0.822956800460815</v>
      </c>
      <c r="N41" s="11" t="n">
        <v>0</v>
      </c>
      <c r="O41" s="11" t="n">
        <v>0.867295135187994</v>
      </c>
      <c r="P41" s="11" t="n">
        <v>0.977442082356042</v>
      </c>
      <c r="Q41" s="11" t="n">
        <v>0.375899816789162</v>
      </c>
      <c r="R41" s="11" t="n">
        <v>0.542056074766355</v>
      </c>
      <c r="S41" s="11" t="n">
        <v>0.355140186915888</v>
      </c>
      <c r="T41" s="11" t="n">
        <v>0.168224299065421</v>
      </c>
      <c r="U41" s="11" t="n">
        <v>0.0747663551401869</v>
      </c>
      <c r="V41" s="11" t="n">
        <v>0.0373831775700935</v>
      </c>
      <c r="W41" s="11" t="n">
        <v>0.514018691588785</v>
      </c>
      <c r="X41" s="11" t="n">
        <v>0.205607476635514</v>
      </c>
      <c r="Y41" s="11" t="n">
        <v>0.261682242990654</v>
      </c>
      <c r="Z41" s="11" t="n">
        <v>0.317757009345794</v>
      </c>
      <c r="AA41" s="11" t="n">
        <v>0.252336448598131</v>
      </c>
      <c r="AB41" s="11" t="n">
        <v>0.196261682242991</v>
      </c>
      <c r="AC41" s="11" t="n">
        <v>-0.00538729602828963</v>
      </c>
      <c r="AD41" s="11" t="n">
        <v>-0.0318876807378341</v>
      </c>
      <c r="AE41" s="11" t="n">
        <v>0.614285714285714</v>
      </c>
      <c r="AF41" s="11" t="n">
        <v>0.457142857142857</v>
      </c>
      <c r="AG41" s="11" t="n">
        <v>0.342857142857143</v>
      </c>
      <c r="AH41" s="11" t="n">
        <v>0.308411214953271</v>
      </c>
      <c r="AI41" s="11" t="n">
        <v>0.252336448598131</v>
      </c>
      <c r="AJ41" s="11" t="n">
        <v>0.196261682242991</v>
      </c>
      <c r="AK41" s="11" t="n">
        <v>0.236416873165244</v>
      </c>
      <c r="AL41" s="11" t="n">
        <v>0</v>
      </c>
      <c r="AM41" s="11" t="n">
        <v>0</v>
      </c>
      <c r="AN41" s="11" t="n">
        <v>0</v>
      </c>
      <c r="AO41" s="11"/>
      <c r="AP41" s="11"/>
      <c r="AQ41" s="11"/>
      <c r="AR41" s="11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0.00755236348418797</v>
      </c>
      <c r="AZ41" s="11" t="n">
        <v>0.0294370484530433</v>
      </c>
      <c r="BA41" s="11"/>
      <c r="BB41" s="11" t="n">
        <v>0</v>
      </c>
      <c r="BC41" s="11" t="n">
        <v>0.598130841121495</v>
      </c>
      <c r="BD41" s="11" t="n">
        <v>0.0654205607476635</v>
      </c>
      <c r="BE41" s="11" t="n">
        <v>0.607476635514019</v>
      </c>
      <c r="BF41" s="11" t="n">
        <v>0.196261682242991</v>
      </c>
      <c r="BG41" s="11" t="n">
        <v>0.607476635514019</v>
      </c>
      <c r="BH41" s="11" t="n">
        <v>0.242990654205607</v>
      </c>
      <c r="BI41" s="11" t="n">
        <v>0.626168224299065</v>
      </c>
      <c r="BJ41" s="11" t="n">
        <v>0.240628305664237</v>
      </c>
      <c r="BK41" s="11" t="n">
        <v>0.0774578020296194</v>
      </c>
      <c r="BL41" s="11" t="n">
        <v>0.348003765195661</v>
      </c>
      <c r="BM41" s="11" t="n">
        <v>0.0394954225613241</v>
      </c>
      <c r="BN41" s="11" t="n">
        <v>0.675151795594178</v>
      </c>
      <c r="BO41" s="11" t="n">
        <v>0.298996272845475</v>
      </c>
      <c r="BP41" s="11" t="n">
        <v>0.0202986610035638</v>
      </c>
      <c r="BQ41" s="11" t="n">
        <v>0.0116987010430872</v>
      </c>
      <c r="BR41" s="11" t="n">
        <v>4.9700819543739</v>
      </c>
      <c r="BS41" s="11" t="n">
        <v>21.3833533678187</v>
      </c>
      <c r="BT41" s="11" t="n">
        <v>26.536885060453</v>
      </c>
      <c r="BU41" s="11" t="n">
        <v>24.0628305664237</v>
      </c>
      <c r="BV41" s="11" t="n">
        <v>19.9391469828545</v>
      </c>
      <c r="BW41" s="11" t="n">
        <v>13.387607770304</v>
      </c>
      <c r="BX41" s="11" t="n">
        <v>6.10522923060653</v>
      </c>
      <c r="BY41" s="11" t="n">
        <v>6.01294496429663</v>
      </c>
      <c r="BZ41" s="11" t="n">
        <v>0.514018691588785</v>
      </c>
      <c r="CA41" s="11" t="n">
        <v>0.763636363636364</v>
      </c>
      <c r="CB41" s="11" t="n">
        <v>0.309090909090909</v>
      </c>
      <c r="CC41" s="11" t="n">
        <v>0.418181818181818</v>
      </c>
      <c r="CD41" s="11" t="n">
        <v>0.509090909090909</v>
      </c>
      <c r="CE41" s="11" t="n">
        <v>0.551401869158878</v>
      </c>
      <c r="CF41" s="11" t="n">
        <v>5</v>
      </c>
      <c r="CG41" s="11" t="n">
        <v>4</v>
      </c>
      <c r="CH41" s="11" t="n">
        <v>0.779661016949153</v>
      </c>
      <c r="CI41" s="11" t="n">
        <v>0.457627118644068</v>
      </c>
      <c r="CJ41" s="11" t="n">
        <v>0.542372881355932</v>
      </c>
      <c r="CK41" s="11" t="n">
        <v>0.25</v>
      </c>
      <c r="CL41" s="11" t="n">
        <v>0.0961538461538462</v>
      </c>
      <c r="CM41" s="11" t="n">
        <v>0.0961538461538462</v>
      </c>
      <c r="CN41" s="11" t="n">
        <v>0.115384615384615</v>
      </c>
      <c r="CO41" s="11" t="n">
        <v>0</v>
      </c>
      <c r="CP41" s="11" t="n">
        <v>0</v>
      </c>
      <c r="CQ41" s="11" t="n">
        <v>0</v>
      </c>
      <c r="CR41" s="11" t="n">
        <v>0</v>
      </c>
      <c r="CS41" s="11" t="n">
        <v>0.28125</v>
      </c>
      <c r="CT41" s="11" t="n">
        <v>0.03125</v>
      </c>
      <c r="CU41" s="11" t="n">
        <v>0.03125</v>
      </c>
      <c r="CV41" s="11" t="n">
        <v>0.0625</v>
      </c>
      <c r="CW41" s="11" t="n">
        <v>0.2</v>
      </c>
      <c r="CX41" s="11" t="n">
        <v>0.0181818181818182</v>
      </c>
      <c r="CY41" s="11" t="n">
        <v>-0.0496577945801955</v>
      </c>
      <c r="CZ41" s="11" t="n">
        <v>-0.187063550806288</v>
      </c>
      <c r="DA41" s="11" t="n">
        <v>10.5658328403448</v>
      </c>
      <c r="DB41" s="11" t="n">
        <v>-0.121418901036291</v>
      </c>
      <c r="DC41" s="11" t="n">
        <v>21.0670138721685</v>
      </c>
      <c r="DD41" s="11" t="n">
        <v>0.389567268515894</v>
      </c>
      <c r="DE41" s="11" t="n">
        <v>0.429906542056075</v>
      </c>
      <c r="DF41" s="11" t="n">
        <v>-0.130817283300135</v>
      </c>
      <c r="DG41" s="11" t="n">
        <v>-0.114456875065997</v>
      </c>
      <c r="DH41" s="11" t="n">
        <v>-1.63604082341376</v>
      </c>
      <c r="DI41" s="11" t="n">
        <v>246.321653542605</v>
      </c>
      <c r="DJ41" s="11" t="n">
        <v>156.756580650819</v>
      </c>
      <c r="DK41" s="11" t="n">
        <v>14.4814714920497</v>
      </c>
      <c r="DL41" s="11" t="n">
        <v>49.05</v>
      </c>
      <c r="DM41" s="11" t="n">
        <v>0.439252336448598</v>
      </c>
      <c r="DN41" s="11" t="n">
        <v>0.130841121495327</v>
      </c>
      <c r="DO41" s="11" t="n">
        <v>-0.00580355565222151</v>
      </c>
      <c r="DP41" s="11" t="n">
        <v>0.0467289719626168</v>
      </c>
      <c r="DQ41" s="11" t="n">
        <v>0.0841121495327103</v>
      </c>
      <c r="DR41" s="11" t="n">
        <v>0.0654205607476635</v>
      </c>
      <c r="DS41" s="11" t="n">
        <v>0.0654205607476635</v>
      </c>
      <c r="DT41" s="11" t="n">
        <v>0.0560747663551402</v>
      </c>
      <c r="DU41" s="11" t="n">
        <v>0.0467289719626168</v>
      </c>
      <c r="DV41" s="11" t="n">
        <v>5</v>
      </c>
      <c r="DW41" s="11" t="s">
        <v>690</v>
      </c>
      <c r="DX41" s="11" t="n">
        <v>0.195506</v>
      </c>
      <c r="DY41" s="11" t="n">
        <v>0.171953805236568</v>
      </c>
      <c r="DZ41" s="11" t="n">
        <v>0.219058194763432</v>
      </c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 t="n">
        <v>11.4527926048445</v>
      </c>
      <c r="EP41" s="11" t="n">
        <v>105.006427778099</v>
      </c>
      <c r="EQ41" s="11" t="n">
        <v>2238.19054191593</v>
      </c>
      <c r="ER41" s="11" t="n">
        <v>5.0912471368768</v>
      </c>
      <c r="ES41" s="11" t="n">
        <v>3.20193925709905</v>
      </c>
      <c r="ET41" s="11" t="n">
        <v>5.0912471368768</v>
      </c>
      <c r="EU41" s="11" t="n">
        <v>62.4830106217172</v>
      </c>
      <c r="EV41" s="11" t="n">
        <v>62.4830106217172</v>
      </c>
      <c r="EW41" s="11" t="n">
        <v>813.439641043787</v>
      </c>
      <c r="EX41" s="11" t="n">
        <v>966.862058780733</v>
      </c>
      <c r="EY41" s="11" t="n">
        <v>1.75375449791368</v>
      </c>
      <c r="EZ41" s="11" t="n">
        <v>0.472583330205235</v>
      </c>
      <c r="FA41" s="11" t="n">
        <v>0.049563019816858</v>
      </c>
      <c r="FB41" s="11" t="n">
        <v>0.925233644859813</v>
      </c>
      <c r="FC41" s="11" t="n">
        <v>0</v>
      </c>
      <c r="FD41" s="11" t="n">
        <v>0</v>
      </c>
      <c r="FE41" s="11" t="s">
        <v>574</v>
      </c>
      <c r="FF41" s="11" t="s">
        <v>293</v>
      </c>
      <c r="FG41" s="11" t="n">
        <v>107</v>
      </c>
      <c r="FH41" s="11" t="s">
        <v>575</v>
      </c>
      <c r="FI41" s="11" t="s">
        <v>59</v>
      </c>
      <c r="FJ41" s="11" t="n">
        <v>0.2</v>
      </c>
      <c r="FK41" s="11" t="n">
        <v>0.411605499677223</v>
      </c>
      <c r="FL41" s="11" t="n">
        <v>0.176965800560233</v>
      </c>
      <c r="FM41" s="11" t="n">
        <v>0.0397196261682243</v>
      </c>
      <c r="FN41" s="11" t="n">
        <v>1</v>
      </c>
      <c r="FO41" s="11" t="n">
        <v>0.825687530359507</v>
      </c>
      <c r="FP41" s="11" t="n">
        <v>0.627714302009723</v>
      </c>
      <c r="FQ41" s="11" t="n">
        <v>0.299065420560748</v>
      </c>
      <c r="FR41" s="11" t="n">
        <v>0</v>
      </c>
      <c r="FS41" s="11" t="n">
        <v>0.823958469337843</v>
      </c>
      <c r="FT41" s="11" t="n">
        <v>0.627383764104909</v>
      </c>
      <c r="FU41" s="11" t="n">
        <v>1</v>
      </c>
      <c r="FV41" s="11" t="n">
        <v>13.6766774175794</v>
      </c>
      <c r="FW41" s="11" t="n">
        <v>421.160031632829</v>
      </c>
      <c r="FX41" s="11" t="n">
        <v>0.0826712636315422</v>
      </c>
      <c r="FY41" s="11" t="n">
        <v>1</v>
      </c>
      <c r="FZ41" s="11" t="n">
        <v>32</v>
      </c>
      <c r="GA41" s="11" t="n">
        <v>1</v>
      </c>
      <c r="GB41" s="11" t="s">
        <v>576</v>
      </c>
      <c r="GC41" s="11" t="n">
        <v>0.921862165504527</v>
      </c>
      <c r="GD41" s="11" t="n">
        <v>0.943149459696262</v>
      </c>
      <c r="GE41" s="11" t="n">
        <v>0.943607408292243</v>
      </c>
      <c r="GF41" s="11" t="n">
        <v>0.94392523364486</v>
      </c>
      <c r="GG41" s="11" t="n">
        <v>0</v>
      </c>
      <c r="GH41" s="11" t="n">
        <v>0</v>
      </c>
      <c r="GI41" s="11" t="n">
        <v>0.0723997094281122</v>
      </c>
      <c r="GJ41" s="11" t="n">
        <v>0.0992156495731846</v>
      </c>
      <c r="GK41" s="11" t="n">
        <v>0.0933330195037462</v>
      </c>
      <c r="GL41" s="11" t="n">
        <v>0.108294878916589</v>
      </c>
      <c r="GM41" s="11" t="n">
        <v>0.00250602446510318</v>
      </c>
      <c r="GN41" s="11" t="n">
        <v>2.28168815721172E-005</v>
      </c>
      <c r="GO41" s="11" t="n">
        <v>0.934579439252336</v>
      </c>
      <c r="GP41" s="11" t="n">
        <v>0.94392523364486</v>
      </c>
      <c r="GQ41" s="11" t="n">
        <v>-0.0506425648927689</v>
      </c>
      <c r="GR41" s="11" t="n">
        <v>1</v>
      </c>
      <c r="GS41" s="11" t="n">
        <v>1</v>
      </c>
      <c r="GT41" s="11" t="n">
        <v>0</v>
      </c>
      <c r="GU41" s="11" t="n">
        <v>0</v>
      </c>
      <c r="GV41" s="11" t="n">
        <v>1</v>
      </c>
      <c r="GW41" s="11" t="n">
        <v>1</v>
      </c>
      <c r="GX41" s="11" t="n">
        <v>1</v>
      </c>
      <c r="GY41" s="11" t="n">
        <v>1</v>
      </c>
      <c r="GZ41" s="11" t="n">
        <v>1</v>
      </c>
      <c r="HA41" s="11" t="n">
        <v>1</v>
      </c>
      <c r="HB41" s="11" t="n">
        <v>0</v>
      </c>
      <c r="HC41" s="11" t="n">
        <v>1</v>
      </c>
      <c r="HD41" s="11" t="n">
        <v>0</v>
      </c>
      <c r="HE41" s="11" t="n">
        <v>0</v>
      </c>
      <c r="HF41" s="11" t="n">
        <v>1</v>
      </c>
      <c r="HG41" s="11" t="n">
        <v>1</v>
      </c>
      <c r="HH41" s="11" t="n">
        <v>1</v>
      </c>
      <c r="HI41" s="11" t="n">
        <v>0</v>
      </c>
      <c r="HJ41" s="11" t="n">
        <v>0</v>
      </c>
      <c r="HK41" s="11" t="s">
        <v>721</v>
      </c>
      <c r="HL41" s="11" t="s">
        <v>577</v>
      </c>
      <c r="HM41" s="11" t="n">
        <v>1</v>
      </c>
      <c r="HN41" s="11" t="s">
        <v>10</v>
      </c>
      <c r="HO41" s="11" t="s">
        <v>578</v>
      </c>
      <c r="HP41" s="11" t="s">
        <v>578</v>
      </c>
      <c r="HQ41" s="11" t="n">
        <v>0</v>
      </c>
      <c r="HR41" s="11" t="s">
        <v>189</v>
      </c>
      <c r="HS41" s="11" t="s">
        <v>579</v>
      </c>
      <c r="HT41" s="11" t="s">
        <v>579</v>
      </c>
      <c r="HU41" s="11" t="s">
        <v>867</v>
      </c>
      <c r="HV41" s="11" t="s">
        <v>867</v>
      </c>
      <c r="HW41" s="11" t="s">
        <v>868</v>
      </c>
      <c r="HX41" s="11" t="s">
        <v>869</v>
      </c>
      <c r="HY41" s="11" t="s">
        <v>583</v>
      </c>
      <c r="HZ41" s="11" t="s">
        <v>870</v>
      </c>
      <c r="IA41" s="11" t="s">
        <v>865</v>
      </c>
      <c r="IB41" s="11" t="s">
        <v>871</v>
      </c>
      <c r="IC41" s="11" t="s">
        <v>293</v>
      </c>
      <c r="ID41" s="11" t="s">
        <v>872</v>
      </c>
      <c r="IE41" s="11"/>
      <c r="IF41" s="11"/>
      <c r="IG41" s="11"/>
      <c r="IH41" s="11"/>
    </row>
    <row r="42" customFormat="false" ht="15" hidden="false" customHeight="false" outlineLevel="0" collapsed="false">
      <c r="A42" s="11" t="s">
        <v>102</v>
      </c>
      <c r="B42" s="11" t="s">
        <v>873</v>
      </c>
      <c r="C42" s="11" t="s">
        <v>588</v>
      </c>
      <c r="D42" s="11" t="s">
        <v>570</v>
      </c>
      <c r="E42" s="11" t="s">
        <v>91</v>
      </c>
      <c r="F42" s="11"/>
      <c r="G42" s="11"/>
      <c r="H42" s="11" t="s">
        <v>874</v>
      </c>
      <c r="I42" s="11" t="s">
        <v>292</v>
      </c>
      <c r="J42" s="11" t="n">
        <v>107</v>
      </c>
      <c r="K42" s="11" t="n">
        <v>3.56666666666667</v>
      </c>
      <c r="L42" s="11" t="n">
        <v>0.685927331447601</v>
      </c>
      <c r="M42" s="11" t="n">
        <v>0.827134013175964</v>
      </c>
      <c r="N42" s="11" t="n">
        <v>0</v>
      </c>
      <c r="O42" s="11" t="n">
        <v>0.805095661525936</v>
      </c>
      <c r="P42" s="11" t="n">
        <v>0.952257782923418</v>
      </c>
      <c r="Q42" s="11" t="n">
        <v>0.45499451282343</v>
      </c>
      <c r="R42" s="11" t="n">
        <v>0.439252336448598</v>
      </c>
      <c r="S42" s="11" t="n">
        <v>0.411214953271028</v>
      </c>
      <c r="T42" s="11" t="n">
        <v>0.0373831775700935</v>
      </c>
      <c r="U42" s="11" t="n">
        <v>0.0186915887850467</v>
      </c>
      <c r="V42" s="11" t="n">
        <v>0</v>
      </c>
      <c r="W42" s="11" t="n">
        <v>0.495327102803738</v>
      </c>
      <c r="X42" s="11" t="n">
        <v>0.280373831775701</v>
      </c>
      <c r="Y42" s="11" t="n">
        <v>0.345794392523364</v>
      </c>
      <c r="Z42" s="11" t="n">
        <v>0.420560747663551</v>
      </c>
      <c r="AA42" s="11" t="n">
        <v>0.149532710280374</v>
      </c>
      <c r="AB42" s="11" t="n">
        <v>0.0747663551401869</v>
      </c>
      <c r="AC42" s="11" t="n">
        <v>-0.00286069353280451</v>
      </c>
      <c r="AD42" s="11" t="n">
        <v>-0.0203373601838562</v>
      </c>
      <c r="AE42" s="11" t="n">
        <v>0.410714285714286</v>
      </c>
      <c r="AF42" s="11" t="n">
        <v>0.285714285714286</v>
      </c>
      <c r="AG42" s="11" t="n">
        <v>0.142857142857143</v>
      </c>
      <c r="AH42" s="11" t="n">
        <v>0.214953271028037</v>
      </c>
      <c r="AI42" s="11" t="n">
        <v>0.149532710280374</v>
      </c>
      <c r="AJ42" s="11" t="n">
        <v>0.0747663551401869</v>
      </c>
      <c r="AK42" s="11" t="n">
        <v>0.202752404443116</v>
      </c>
      <c r="AL42" s="11" t="n">
        <v>0</v>
      </c>
      <c r="AM42" s="11" t="n">
        <v>0</v>
      </c>
      <c r="AN42" s="11" t="n">
        <v>0</v>
      </c>
      <c r="AO42" s="11"/>
      <c r="AP42" s="11"/>
      <c r="AQ42" s="11"/>
      <c r="AR42" s="11" t="n">
        <v>0</v>
      </c>
      <c r="AS42" s="11" t="n">
        <v>0</v>
      </c>
      <c r="AT42" s="11" t="n">
        <v>0</v>
      </c>
      <c r="AU42" s="11" t="n">
        <v>0</v>
      </c>
      <c r="AV42" s="11" t="n">
        <v>0</v>
      </c>
      <c r="AW42" s="11" t="n">
        <v>0</v>
      </c>
      <c r="AX42" s="11" t="n">
        <v>0</v>
      </c>
      <c r="AY42" s="11" t="n">
        <v>0.00810851945190728</v>
      </c>
      <c r="AZ42" s="11" t="n">
        <v>0.0230676687119481</v>
      </c>
      <c r="BA42" s="11"/>
      <c r="BB42" s="11" t="n">
        <v>0</v>
      </c>
      <c r="BC42" s="11" t="n">
        <v>0.532710280373832</v>
      </c>
      <c r="BD42" s="11" t="n">
        <v>0</v>
      </c>
      <c r="BE42" s="11" t="n">
        <v>0.542056074766355</v>
      </c>
      <c r="BF42" s="11" t="n">
        <v>0</v>
      </c>
      <c r="BG42" s="11" t="n">
        <v>0.551401869158878</v>
      </c>
      <c r="BH42" s="11" t="n">
        <v>0.186915887850467</v>
      </c>
      <c r="BI42" s="11" t="n">
        <v>0.560747663551402</v>
      </c>
      <c r="BJ42" s="11" t="n">
        <v>0.20943316912526</v>
      </c>
      <c r="BK42" s="11" t="n">
        <v>0.0581831257293561</v>
      </c>
      <c r="BL42" s="11" t="n">
        <v>0.201941298882559</v>
      </c>
      <c r="BM42" s="11" t="n">
        <v>0.0252354725186516</v>
      </c>
      <c r="BN42" s="11" t="n">
        <v>0.53738498745843</v>
      </c>
      <c r="BO42" s="11" t="n">
        <v>0.212497653564484</v>
      </c>
      <c r="BP42" s="11" t="n">
        <v>0.0155300098436342</v>
      </c>
      <c r="BQ42" s="11" t="n">
        <v>0.00463428895010355</v>
      </c>
      <c r="BR42" s="11" t="n">
        <v>4.0030202833344</v>
      </c>
      <c r="BS42" s="11" t="n">
        <v>18.7103788430771</v>
      </c>
      <c r="BT42" s="11" t="n">
        <v>19.4138319425342</v>
      </c>
      <c r="BU42" s="11" t="n">
        <v>20.943316912526</v>
      </c>
      <c r="BV42" s="11" t="n">
        <v>11.5703841178419</v>
      </c>
      <c r="BW42" s="11" t="n">
        <v>12.5143048050376</v>
      </c>
      <c r="BX42" s="11" t="n">
        <v>5.63008555071396</v>
      </c>
      <c r="BY42" s="11" t="n">
        <v>14.9703318421017</v>
      </c>
      <c r="BZ42" s="11" t="n">
        <v>0.514018691588785</v>
      </c>
      <c r="CA42" s="11" t="n">
        <v>0.854545454545455</v>
      </c>
      <c r="CB42" s="11" t="n">
        <v>0.436363636363636</v>
      </c>
      <c r="CC42" s="11" t="n">
        <v>0.563636363636364</v>
      </c>
      <c r="CD42" s="11" t="n">
        <v>0.709090909090909</v>
      </c>
      <c r="CE42" s="11" t="n">
        <v>0.551401869158878</v>
      </c>
      <c r="CF42" s="11" t="n">
        <v>5</v>
      </c>
      <c r="CG42" s="11" t="n">
        <v>4</v>
      </c>
      <c r="CH42" s="11" t="n">
        <v>0.864406779661017</v>
      </c>
      <c r="CI42" s="11" t="n">
        <v>0.593220338983051</v>
      </c>
      <c r="CJ42" s="11" t="n">
        <v>0.728813559322034</v>
      </c>
      <c r="CK42" s="11" t="n">
        <v>0.115384615384615</v>
      </c>
      <c r="CL42" s="11" t="n">
        <v>0.115384615384615</v>
      </c>
      <c r="CM42" s="11" t="n">
        <v>0.115384615384615</v>
      </c>
      <c r="CN42" s="11" t="n">
        <v>0.115384615384615</v>
      </c>
      <c r="CO42" s="11" t="n">
        <v>0</v>
      </c>
      <c r="CP42" s="11" t="n">
        <v>0</v>
      </c>
      <c r="CQ42" s="11" t="n">
        <v>0</v>
      </c>
      <c r="CR42" s="11" t="n">
        <v>0</v>
      </c>
      <c r="CS42" s="11" t="n">
        <v>0.0625</v>
      </c>
      <c r="CT42" s="11" t="n">
        <v>0.0625</v>
      </c>
      <c r="CU42" s="11" t="n">
        <v>0.0625</v>
      </c>
      <c r="CV42" s="11" t="n">
        <v>0.0625</v>
      </c>
      <c r="CW42" s="11" t="n">
        <v>0.0727272727272727</v>
      </c>
      <c r="CX42" s="11" t="n">
        <v>0.0363636363636364</v>
      </c>
      <c r="CY42" s="11" t="n">
        <v>0.000678113173075109</v>
      </c>
      <c r="CZ42" s="11" t="n">
        <v>-0.0979007724478313</v>
      </c>
      <c r="DA42" s="11" t="n">
        <v>9.67526798260516</v>
      </c>
      <c r="DB42" s="11" t="n">
        <v>-0.0405833799978958</v>
      </c>
      <c r="DC42" s="11" t="n">
        <v>19.1161276846759</v>
      </c>
      <c r="DD42" s="11" t="n">
        <v>0.313623089382068</v>
      </c>
      <c r="DE42" s="11" t="n">
        <v>0.429906542056075</v>
      </c>
      <c r="DF42" s="11" t="n">
        <v>-0.0380111223340943</v>
      </c>
      <c r="DG42" s="11" t="n">
        <v>-0.0529355695890414</v>
      </c>
      <c r="DH42" s="11" t="n">
        <v>1.49244472549471</v>
      </c>
      <c r="DI42" s="11" t="n">
        <v>172.972409605136</v>
      </c>
      <c r="DJ42" s="11" t="n">
        <v>120.278049274033</v>
      </c>
      <c r="DK42" s="11" t="n">
        <v>27.9115655494481</v>
      </c>
      <c r="DL42" s="11" t="n">
        <v>49.05</v>
      </c>
      <c r="DM42" s="11" t="n">
        <v>0.439252336448598</v>
      </c>
      <c r="DN42" s="11" t="n">
        <v>0.130841121495327</v>
      </c>
      <c r="DO42" s="11" t="n">
        <v>-0.00580355565222151</v>
      </c>
      <c r="DP42" s="11" t="n">
        <v>0.00934579439252336</v>
      </c>
      <c r="DQ42" s="11" t="n">
        <v>0.0280373831775701</v>
      </c>
      <c r="DR42" s="11" t="n">
        <v>0.0186915887850467</v>
      </c>
      <c r="DS42" s="11" t="n">
        <v>0.0186915887850467</v>
      </c>
      <c r="DT42" s="11" t="n">
        <v>0.0186915887850467</v>
      </c>
      <c r="DU42" s="11" t="n">
        <v>0.00934579439252336</v>
      </c>
      <c r="DV42" s="11" t="n">
        <v>5</v>
      </c>
      <c r="DW42" s="11" t="s">
        <v>690</v>
      </c>
      <c r="DX42" s="11" t="n">
        <v>0.195506</v>
      </c>
      <c r="DY42" s="11" t="n">
        <v>0.171953805236568</v>
      </c>
      <c r="DZ42" s="11" t="n">
        <v>0.219058194763432</v>
      </c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 t="n">
        <v>11.6659382193031</v>
      </c>
      <c r="EP42" s="11" t="n">
        <v>91.29996052879</v>
      </c>
      <c r="EQ42" s="11" t="n">
        <v>1832.14748963273</v>
      </c>
      <c r="ER42" s="11" t="n">
        <v>3.39078045893116</v>
      </c>
      <c r="ES42" s="11" t="n">
        <v>3.27405611659846</v>
      </c>
      <c r="ET42" s="11" t="n">
        <v>3.39078045893116</v>
      </c>
      <c r="EU42" s="11" t="n">
        <v>60.2778035269146</v>
      </c>
      <c r="EV42" s="11" t="n">
        <v>60.2778035269146</v>
      </c>
      <c r="EW42" s="11" t="n">
        <v>642.811174290526</v>
      </c>
      <c r="EX42" s="11" t="n">
        <v>771.76849033759</v>
      </c>
      <c r="EY42" s="11" t="n">
        <v>1.38668646345185</v>
      </c>
      <c r="EZ42" s="11" t="n">
        <v>0.930351427869575</v>
      </c>
      <c r="FA42" s="11" t="n">
        <v>0.0497710389533411</v>
      </c>
      <c r="FB42" s="11" t="n">
        <v>0.822429906542056</v>
      </c>
      <c r="FC42" s="11" t="n">
        <v>0</v>
      </c>
      <c r="FD42" s="11" t="n">
        <v>0</v>
      </c>
      <c r="FE42" s="11" t="s">
        <v>574</v>
      </c>
      <c r="FF42" s="11" t="s">
        <v>293</v>
      </c>
      <c r="FG42" s="11" t="n">
        <v>107</v>
      </c>
      <c r="FH42" s="11" t="s">
        <v>575</v>
      </c>
      <c r="FI42" s="11" t="s">
        <v>59</v>
      </c>
      <c r="FJ42" s="11" t="n">
        <v>0.2</v>
      </c>
      <c r="FK42" s="11" t="n">
        <v>0.215029202177326</v>
      </c>
      <c r="FL42" s="11" t="n">
        <v>0.130373446784215</v>
      </c>
      <c r="FM42" s="11" t="n">
        <v>0.0116822429906542</v>
      </c>
      <c r="FN42" s="11" t="n">
        <v>1</v>
      </c>
      <c r="FO42" s="11" t="n">
        <v>0.776338416137687</v>
      </c>
      <c r="FP42" s="11" t="n">
        <v>0.456202920311372</v>
      </c>
      <c r="FQ42" s="11" t="n">
        <v>0.200934579439252</v>
      </c>
      <c r="FR42" s="11" t="n">
        <v>0</v>
      </c>
      <c r="FS42" s="11" t="n">
        <v>0.774669756903534</v>
      </c>
      <c r="FT42" s="11" t="n">
        <v>0.45541339258663</v>
      </c>
      <c r="FU42" s="11" t="n">
        <v>1</v>
      </c>
      <c r="FV42" s="11" t="n">
        <v>12.1665172183663</v>
      </c>
      <c r="FW42" s="11" t="n">
        <v>330.342532325617</v>
      </c>
      <c r="FX42" s="11" t="n">
        <v>0.0341886953995886</v>
      </c>
      <c r="FY42" s="11" t="n">
        <v>1</v>
      </c>
      <c r="FZ42" s="11" t="n">
        <v>32</v>
      </c>
      <c r="GA42" s="11" t="n">
        <v>1</v>
      </c>
      <c r="GB42" s="11" t="s">
        <v>576</v>
      </c>
      <c r="GC42" s="11" t="n">
        <v>0.941346070476781</v>
      </c>
      <c r="GD42" s="11" t="n">
        <v>0.94392523364486</v>
      </c>
      <c r="GE42" s="11" t="n">
        <v>0.94392523364486</v>
      </c>
      <c r="GF42" s="11" t="n">
        <v>0.94392523364486</v>
      </c>
      <c r="GG42" s="11" t="n">
        <v>0</v>
      </c>
      <c r="GH42" s="11" t="n">
        <v>0</v>
      </c>
      <c r="GI42" s="11" t="n">
        <v>0.106203255147584</v>
      </c>
      <c r="GJ42" s="11" t="n">
        <v>0.122295310076709</v>
      </c>
      <c r="GK42" s="11" t="n">
        <v>0.118221967259751</v>
      </c>
      <c r="GL42" s="11" t="n">
        <v>0.125439748672821</v>
      </c>
      <c r="GM42" s="11" t="n">
        <v>0.000145647761218493</v>
      </c>
      <c r="GN42" s="11" t="n">
        <v>0</v>
      </c>
      <c r="GO42" s="11" t="n">
        <v>0.94392523364486</v>
      </c>
      <c r="GP42" s="11" t="n">
        <v>0.94392523364486</v>
      </c>
      <c r="GQ42" s="11" t="n">
        <v>-0.0371488891541958</v>
      </c>
      <c r="GR42" s="11" t="n">
        <v>1</v>
      </c>
      <c r="GS42" s="11" t="n">
        <v>1</v>
      </c>
      <c r="GT42" s="11" t="n">
        <v>0</v>
      </c>
      <c r="GU42" s="11" t="n">
        <v>0</v>
      </c>
      <c r="GV42" s="11" t="n">
        <v>1</v>
      </c>
      <c r="GW42" s="11" t="n">
        <v>1</v>
      </c>
      <c r="GX42" s="11" t="n">
        <v>1</v>
      </c>
      <c r="GY42" s="11" t="n">
        <v>1</v>
      </c>
      <c r="GZ42" s="11" t="n">
        <v>1</v>
      </c>
      <c r="HA42" s="11" t="n">
        <v>1</v>
      </c>
      <c r="HB42" s="11" t="n">
        <v>0</v>
      </c>
      <c r="HC42" s="11" t="n">
        <v>1</v>
      </c>
      <c r="HD42" s="11" t="n">
        <v>1</v>
      </c>
      <c r="HE42" s="11" t="n">
        <v>1</v>
      </c>
      <c r="HF42" s="11" t="n">
        <v>1</v>
      </c>
      <c r="HG42" s="11" t="n">
        <v>0</v>
      </c>
      <c r="HH42" s="11" t="n">
        <v>1</v>
      </c>
      <c r="HI42" s="11" t="n">
        <v>0</v>
      </c>
      <c r="HJ42" s="11" t="n">
        <v>0</v>
      </c>
      <c r="HK42" s="11" t="s">
        <v>875</v>
      </c>
      <c r="HL42" s="11" t="s">
        <v>577</v>
      </c>
      <c r="HM42" s="11" t="n">
        <v>1</v>
      </c>
      <c r="HN42" s="11" t="s">
        <v>591</v>
      </c>
      <c r="HO42" s="11" t="s">
        <v>578</v>
      </c>
      <c r="HP42" s="11" t="s">
        <v>578</v>
      </c>
      <c r="HQ42" s="11" t="n">
        <v>0</v>
      </c>
      <c r="HR42" s="11" t="s">
        <v>189</v>
      </c>
      <c r="HS42" s="11" t="s">
        <v>249</v>
      </c>
      <c r="HT42" s="11" t="s">
        <v>249</v>
      </c>
      <c r="HU42" s="11" t="s">
        <v>876</v>
      </c>
      <c r="HV42" s="11" t="s">
        <v>876</v>
      </c>
      <c r="HW42" s="11" t="s">
        <v>877</v>
      </c>
      <c r="HX42" s="11" t="s">
        <v>869</v>
      </c>
      <c r="HY42" s="11" t="s">
        <v>583</v>
      </c>
      <c r="HZ42" s="11" t="s">
        <v>878</v>
      </c>
      <c r="IA42" s="11" t="s">
        <v>874</v>
      </c>
      <c r="IB42" s="11" t="s">
        <v>879</v>
      </c>
      <c r="IC42" s="11" t="s">
        <v>293</v>
      </c>
      <c r="ID42" s="11" t="s">
        <v>872</v>
      </c>
      <c r="IE42" s="11"/>
      <c r="IF42" s="11"/>
      <c r="IG42" s="11"/>
      <c r="IH42" s="11"/>
    </row>
    <row r="43" customFormat="false" ht="15" hidden="false" customHeight="false" outlineLevel="0" collapsed="false">
      <c r="A43" s="11" t="s">
        <v>103</v>
      </c>
      <c r="B43" s="11" t="s">
        <v>880</v>
      </c>
      <c r="C43" s="11" t="s">
        <v>569</v>
      </c>
      <c r="D43" s="11" t="s">
        <v>570</v>
      </c>
      <c r="E43" s="11" t="s">
        <v>91</v>
      </c>
      <c r="F43" s="11"/>
      <c r="G43" s="11"/>
      <c r="H43" s="11" t="s">
        <v>881</v>
      </c>
      <c r="I43" s="11" t="s">
        <v>882</v>
      </c>
      <c r="J43" s="11" t="n">
        <v>107</v>
      </c>
      <c r="K43" s="11" t="n">
        <v>3.56666666666667</v>
      </c>
      <c r="L43" s="11" t="n">
        <v>0.621284484863281</v>
      </c>
      <c r="M43" s="11" t="n">
        <v>0.78429651260376</v>
      </c>
      <c r="N43" s="11" t="n">
        <v>0</v>
      </c>
      <c r="O43" s="11" t="n">
        <v>1.55525114191331</v>
      </c>
      <c r="P43" s="11" t="n">
        <v>1.70102840179665</v>
      </c>
      <c r="Q43" s="11" t="n">
        <v>0.417874998443365</v>
      </c>
      <c r="R43" s="11" t="n">
        <v>0.523364485981308</v>
      </c>
      <c r="S43" s="11" t="n">
        <v>0.439252336448598</v>
      </c>
      <c r="T43" s="11" t="n">
        <v>0.0747663551401869</v>
      </c>
      <c r="U43" s="11" t="n">
        <v>0.0467289719626168</v>
      </c>
      <c r="V43" s="11" t="n">
        <v>0.0467289719626168</v>
      </c>
      <c r="W43" s="11" t="n">
        <v>0.485981308411215</v>
      </c>
      <c r="X43" s="11" t="n">
        <v>0.261682242990654</v>
      </c>
      <c r="Y43" s="11" t="n">
        <v>0.355140186915888</v>
      </c>
      <c r="Z43" s="11" t="n">
        <v>0.429906542056075</v>
      </c>
      <c r="AA43" s="11" t="n">
        <v>0.130841121495327</v>
      </c>
      <c r="AB43" s="11" t="n">
        <v>0.0560747663551402</v>
      </c>
      <c r="AC43" s="11" t="n">
        <v>-0.00461926637757518</v>
      </c>
      <c r="AD43" s="11" t="n">
        <v>-0.0533475344385634</v>
      </c>
      <c r="AE43" s="11" t="n">
        <v>0.453125</v>
      </c>
      <c r="AF43" s="11" t="n">
        <v>0.265625</v>
      </c>
      <c r="AG43" s="11" t="n">
        <v>0.125</v>
      </c>
      <c r="AH43" s="11" t="n">
        <v>0.224299065420561</v>
      </c>
      <c r="AI43" s="11" t="n">
        <v>0.130841121495327</v>
      </c>
      <c r="AJ43" s="11" t="n">
        <v>0.0560747663551402</v>
      </c>
      <c r="AK43" s="11" t="n">
        <v>0.0837042849157156</v>
      </c>
      <c r="AL43" s="11" t="n">
        <v>0</v>
      </c>
      <c r="AM43" s="11" t="n">
        <v>0</v>
      </c>
      <c r="AN43" s="11" t="n">
        <v>0</v>
      </c>
      <c r="AO43" s="11"/>
      <c r="AP43" s="11"/>
      <c r="AQ43" s="11"/>
      <c r="AR43" s="11" t="n">
        <v>0</v>
      </c>
      <c r="AS43" s="11" t="n">
        <v>0.121495327102804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0.00984301423898895</v>
      </c>
      <c r="AZ43" s="11" t="n">
        <v>0.0326892882198994</v>
      </c>
      <c r="BA43" s="11"/>
      <c r="BB43" s="11" t="n">
        <v>0.0373831775700935</v>
      </c>
      <c r="BC43" s="11" t="n">
        <v>0.607476635514019</v>
      </c>
      <c r="BD43" s="11" t="n">
        <v>0.168224299065421</v>
      </c>
      <c r="BE43" s="11" t="n">
        <v>0.607476635514019</v>
      </c>
      <c r="BF43" s="11" t="n">
        <v>0.523364485981308</v>
      </c>
      <c r="BG43" s="11" t="n">
        <v>0.616822429906542</v>
      </c>
      <c r="BH43" s="11" t="n">
        <v>0.560747663551402</v>
      </c>
      <c r="BI43" s="11" t="n">
        <v>0.626168224299065</v>
      </c>
      <c r="BJ43" s="11" t="n">
        <v>0.130102035401021</v>
      </c>
      <c r="BK43" s="11" t="n">
        <v>0.0155774127012668</v>
      </c>
      <c r="BL43" s="11" t="n">
        <v>0.146013184780171</v>
      </c>
      <c r="BM43" s="11" t="n">
        <v>0.00980194871174997</v>
      </c>
      <c r="BN43" s="11" t="n">
        <v>0.542919161423192</v>
      </c>
      <c r="BO43" s="11" t="n">
        <v>0.101650010680975</v>
      </c>
      <c r="BP43" s="11" t="n">
        <v>0.0202984704900629</v>
      </c>
      <c r="BQ43" s="11" t="n">
        <v>0.00251527382629473</v>
      </c>
      <c r="BR43" s="11" t="n">
        <v>4.18644195381389</v>
      </c>
      <c r="BS43" s="11" t="n">
        <v>12.0321101645462</v>
      </c>
      <c r="BT43" s="11" t="n">
        <v>16.346692104201</v>
      </c>
      <c r="BU43" s="11" t="n">
        <v>13.0102035401021</v>
      </c>
      <c r="BV43" s="11" t="n">
        <v>8.3659392411666</v>
      </c>
      <c r="BW43" s="11" t="n">
        <v>12.8065097008219</v>
      </c>
      <c r="BX43" s="11" t="n">
        <v>5.46268039774598</v>
      </c>
      <c r="BY43" s="11" t="n">
        <v>5.3168553116776</v>
      </c>
      <c r="BZ43" s="11" t="n">
        <v>0.579439252336449</v>
      </c>
      <c r="CA43" s="11" t="n">
        <v>0.806451612903226</v>
      </c>
      <c r="CB43" s="11" t="n">
        <v>0.419354838709677</v>
      </c>
      <c r="CC43" s="11" t="n">
        <v>0.580645161290323</v>
      </c>
      <c r="CD43" s="11" t="n">
        <v>0.709677419354839</v>
      </c>
      <c r="CE43" s="11" t="n">
        <v>0.579439252336449</v>
      </c>
      <c r="CF43" s="11" t="n">
        <v>5</v>
      </c>
      <c r="CG43" s="11" t="n">
        <v>0</v>
      </c>
      <c r="CH43" s="11" t="n">
        <v>0.806451612903226</v>
      </c>
      <c r="CI43" s="11" t="n">
        <v>0.580645161290323</v>
      </c>
      <c r="CJ43" s="11" t="n">
        <v>0.709677419354839</v>
      </c>
      <c r="CK43" s="11" t="n">
        <v>0.0444444444444445</v>
      </c>
      <c r="CL43" s="11" t="n">
        <v>0.0444444444444445</v>
      </c>
      <c r="CM43" s="11" t="n">
        <v>0.0444444444444445</v>
      </c>
      <c r="CN43" s="11" t="n">
        <v>0.0444444444444445</v>
      </c>
      <c r="CO43" s="11" t="n">
        <v>0</v>
      </c>
      <c r="CP43" s="11" t="n">
        <v>0</v>
      </c>
      <c r="CQ43" s="11" t="n">
        <v>0</v>
      </c>
      <c r="CR43" s="11" t="n">
        <v>0</v>
      </c>
      <c r="CS43" s="11" t="n">
        <v>0.0689655172413793</v>
      </c>
      <c r="CT43" s="11" t="n">
        <v>0.0689655172413793</v>
      </c>
      <c r="CU43" s="11" t="n">
        <v>0.0689655172413793</v>
      </c>
      <c r="CV43" s="11" t="n">
        <v>0.0689655172413793</v>
      </c>
      <c r="CW43" s="11" t="n">
        <v>0.129032258064516</v>
      </c>
      <c r="CX43" s="11" t="n">
        <v>0.0806451612903226</v>
      </c>
      <c r="CY43" s="11" t="n">
        <v>-0.0376604195319052</v>
      </c>
      <c r="CZ43" s="11" t="n">
        <v>-0.180385198183521</v>
      </c>
      <c r="DA43" s="11" t="n">
        <v>10.11539260357</v>
      </c>
      <c r="DB43" s="11" t="n">
        <v>-0.093373985022924</v>
      </c>
      <c r="DC43" s="11" t="n">
        <v>18.1612827403573</v>
      </c>
      <c r="DD43" s="11" t="n">
        <v>0.371813766622698</v>
      </c>
      <c r="DE43" s="11" t="n">
        <v>0.457943925233645</v>
      </c>
      <c r="DF43" s="11" t="n">
        <v>-0.0803112561785127</v>
      </c>
      <c r="DG43" s="11" t="n">
        <v>-0.0991084904079787</v>
      </c>
      <c r="DH43" s="11" t="n">
        <v>1.8797234229466</v>
      </c>
      <c r="DI43" s="11" t="n">
        <v>180.676274063278</v>
      </c>
      <c r="DJ43" s="11" t="n">
        <v>143.841114042128</v>
      </c>
      <c r="DK43" s="11" t="n">
        <v>12.6302318897147</v>
      </c>
      <c r="DL43" s="11" t="n">
        <v>49.05</v>
      </c>
      <c r="DM43" s="11" t="n">
        <v>0.570093457943925</v>
      </c>
      <c r="DN43" s="11" t="n">
        <v>0.0654205607476635</v>
      </c>
      <c r="DO43" s="11" t="n">
        <v>-0.00818771195668625</v>
      </c>
      <c r="DP43" s="11" t="n">
        <v>0.0467289719626168</v>
      </c>
      <c r="DQ43" s="11" t="n">
        <v>0.0467289719626168</v>
      </c>
      <c r="DR43" s="11" t="n">
        <v>0.0467289719626168</v>
      </c>
      <c r="DS43" s="11" t="n">
        <v>0.0467289719626168</v>
      </c>
      <c r="DT43" s="11" t="n">
        <v>0.0467289719626168</v>
      </c>
      <c r="DU43" s="11" t="n">
        <v>0.0467289719626168</v>
      </c>
      <c r="DV43" s="11" t="n">
        <v>5</v>
      </c>
      <c r="DW43" s="11" t="s">
        <v>690</v>
      </c>
      <c r="DX43" s="11" t="n">
        <v>0.195506</v>
      </c>
      <c r="DY43" s="11" t="n">
        <v>0.118262918855107</v>
      </c>
      <c r="DZ43" s="11" t="n">
        <v>0.272749081144893</v>
      </c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 t="n">
        <v>11.6357468429523</v>
      </c>
      <c r="EP43" s="11" t="n">
        <v>103.985041442205</v>
      </c>
      <c r="EQ43" s="11" t="n">
        <v>2274.045632716</v>
      </c>
      <c r="ER43" s="11" t="n">
        <v>5.39458947763827</v>
      </c>
      <c r="ES43" s="11" t="n">
        <v>5.39458947763827</v>
      </c>
      <c r="ET43" s="11" t="n">
        <v>2.72327718848501</v>
      </c>
      <c r="EU43" s="11" t="n">
        <v>63.336360892184</v>
      </c>
      <c r="EV43" s="11" t="n">
        <v>63.336360892184</v>
      </c>
      <c r="EW43" s="11" t="n">
        <v>728.660634983907</v>
      </c>
      <c r="EX43" s="11" t="n">
        <v>820.222687914541</v>
      </c>
      <c r="EY43" s="11" t="n">
        <v>1.95404134879804</v>
      </c>
      <c r="EZ43" s="11" t="n">
        <v>0.687112810651834</v>
      </c>
      <c r="FA43" s="11" t="n">
        <v>0.0489740211609315</v>
      </c>
      <c r="FB43" s="11" t="n">
        <v>1</v>
      </c>
      <c r="FC43" s="11" t="n">
        <v>0</v>
      </c>
      <c r="FD43" s="11" t="n">
        <v>0</v>
      </c>
      <c r="FE43" s="11" t="s">
        <v>574</v>
      </c>
      <c r="FF43" s="11" t="s">
        <v>298</v>
      </c>
      <c r="FG43" s="11" t="n">
        <v>107</v>
      </c>
      <c r="FH43" s="11" t="s">
        <v>575</v>
      </c>
      <c r="FI43" s="11" t="s">
        <v>59</v>
      </c>
      <c r="FJ43" s="11" t="n">
        <v>0.2</v>
      </c>
      <c r="FK43" s="11" t="n">
        <v>0.233261652001753</v>
      </c>
      <c r="FL43" s="11" t="n">
        <v>0.118909787101683</v>
      </c>
      <c r="FM43" s="11" t="n">
        <v>0.00934579439252336</v>
      </c>
      <c r="FN43" s="11" t="n">
        <v>1</v>
      </c>
      <c r="FO43" s="11" t="n">
        <v>0.618806215510228</v>
      </c>
      <c r="FP43" s="11" t="n">
        <v>0.51200646011488</v>
      </c>
      <c r="FQ43" s="11" t="n">
        <v>0.158878504672897</v>
      </c>
      <c r="FR43" s="11" t="n">
        <v>0</v>
      </c>
      <c r="FS43" s="11" t="n">
        <v>0.618022837672189</v>
      </c>
      <c r="FT43" s="11" t="n">
        <v>0.510353545213181</v>
      </c>
      <c r="FU43" s="11" t="n">
        <v>1</v>
      </c>
      <c r="FV43" s="11" t="n">
        <v>14.8923577511972</v>
      </c>
      <c r="FW43" s="11" t="n">
        <v>397.054250878136</v>
      </c>
      <c r="FX43" s="11" t="n">
        <v>0.0413592582556833</v>
      </c>
      <c r="FY43" s="11" t="n">
        <v>1</v>
      </c>
      <c r="FZ43" s="11" t="n">
        <v>29</v>
      </c>
      <c r="GA43" s="11" t="n">
        <v>1</v>
      </c>
      <c r="GB43" s="11" t="s">
        <v>576</v>
      </c>
      <c r="GC43" s="11" t="n">
        <v>0.929056613244743</v>
      </c>
      <c r="GD43" s="11" t="n">
        <v>0.943916106892523</v>
      </c>
      <c r="GE43" s="11" t="n">
        <v>0.943392660890958</v>
      </c>
      <c r="GF43" s="11" t="n">
        <v>0.94392523364486</v>
      </c>
      <c r="GG43" s="11" t="n">
        <v>0</v>
      </c>
      <c r="GH43" s="11" t="n">
        <v>0</v>
      </c>
      <c r="GI43" s="11" t="n">
        <v>0.0404006999937864</v>
      </c>
      <c r="GJ43" s="11" t="n">
        <v>0.050848621135212</v>
      </c>
      <c r="GK43" s="11" t="n">
        <v>0.0478126172011595</v>
      </c>
      <c r="GL43" s="11" t="n">
        <v>0.0525703587107987</v>
      </c>
      <c r="GM43" s="11" t="n">
        <v>0.00163452058940457</v>
      </c>
      <c r="GN43" s="11" t="n">
        <v>3.80281365485253E-006</v>
      </c>
      <c r="GO43" s="11" t="n">
        <v>0.941588785046729</v>
      </c>
      <c r="GP43" s="11" t="n">
        <v>0.94392523364486</v>
      </c>
      <c r="GQ43" s="11" t="n">
        <v>-0.0502202026546001</v>
      </c>
      <c r="GR43" s="11" t="n">
        <v>1</v>
      </c>
      <c r="GS43" s="11" t="n">
        <v>1</v>
      </c>
      <c r="GT43" s="11" t="n">
        <v>0</v>
      </c>
      <c r="GU43" s="11" t="n">
        <v>0</v>
      </c>
      <c r="GV43" s="11" t="n">
        <v>1</v>
      </c>
      <c r="GW43" s="11" t="n">
        <v>1</v>
      </c>
      <c r="GX43" s="11" t="n">
        <v>1</v>
      </c>
      <c r="GY43" s="11" t="n">
        <v>1</v>
      </c>
      <c r="GZ43" s="11" t="n">
        <v>1</v>
      </c>
      <c r="HA43" s="11" t="n">
        <v>1</v>
      </c>
      <c r="HB43" s="11" t="n">
        <v>1</v>
      </c>
      <c r="HC43" s="11" t="n">
        <v>1</v>
      </c>
      <c r="HD43" s="11" t="n">
        <v>1</v>
      </c>
      <c r="HE43" s="11" t="n">
        <v>1</v>
      </c>
      <c r="HF43" s="11" t="n">
        <v>1</v>
      </c>
      <c r="HG43" s="11" t="n">
        <v>1</v>
      </c>
      <c r="HH43" s="11" t="n">
        <v>1</v>
      </c>
      <c r="HI43" s="11" t="n">
        <v>1</v>
      </c>
      <c r="HJ43" s="11" t="n">
        <v>1</v>
      </c>
      <c r="HK43" s="11"/>
      <c r="HL43" s="11" t="s">
        <v>577</v>
      </c>
      <c r="HM43" s="11" t="n">
        <v>1</v>
      </c>
      <c r="HN43" s="11" t="s">
        <v>10</v>
      </c>
      <c r="HO43" s="11" t="s">
        <v>578</v>
      </c>
      <c r="HP43" s="11" t="s">
        <v>578</v>
      </c>
      <c r="HQ43" s="11" t="n">
        <v>0</v>
      </c>
      <c r="HR43" s="11" t="s">
        <v>189</v>
      </c>
      <c r="HS43" s="11" t="s">
        <v>579</v>
      </c>
      <c r="HT43" s="11" t="s">
        <v>579</v>
      </c>
      <c r="HU43" s="11" t="s">
        <v>883</v>
      </c>
      <c r="HV43" s="11" t="s">
        <v>883</v>
      </c>
      <c r="HW43" s="11" t="s">
        <v>884</v>
      </c>
      <c r="HX43" s="11" t="s">
        <v>885</v>
      </c>
      <c r="HY43" s="11" t="s">
        <v>583</v>
      </c>
      <c r="HZ43" s="11" t="s">
        <v>886</v>
      </c>
      <c r="IA43" s="11" t="s">
        <v>881</v>
      </c>
      <c r="IB43" s="11" t="s">
        <v>887</v>
      </c>
      <c r="IC43" s="11" t="s">
        <v>298</v>
      </c>
      <c r="ID43" s="11" t="s">
        <v>888</v>
      </c>
      <c r="IE43" s="11"/>
      <c r="IF43" s="11"/>
      <c r="IG43" s="11"/>
      <c r="IH43" s="11"/>
    </row>
    <row r="44" customFormat="false" ht="15" hidden="false" customHeight="false" outlineLevel="0" collapsed="false">
      <c r="A44" s="11" t="s">
        <v>103</v>
      </c>
      <c r="B44" s="11" t="s">
        <v>889</v>
      </c>
      <c r="C44" s="11" t="s">
        <v>588</v>
      </c>
      <c r="D44" s="11" t="s">
        <v>570</v>
      </c>
      <c r="E44" s="11" t="s">
        <v>91</v>
      </c>
      <c r="F44" s="11"/>
      <c r="G44" s="11"/>
      <c r="H44" s="11" t="s">
        <v>890</v>
      </c>
      <c r="I44" s="11" t="s">
        <v>297</v>
      </c>
      <c r="J44" s="11" t="n">
        <v>107</v>
      </c>
      <c r="K44" s="11" t="n">
        <v>3.56666666666667</v>
      </c>
      <c r="L44" s="11" t="n">
        <v>0.619221687316895</v>
      </c>
      <c r="M44" s="11" t="n">
        <v>0.783470749855042</v>
      </c>
      <c r="N44" s="11" t="n">
        <v>0</v>
      </c>
      <c r="O44" s="11" t="n">
        <v>1.55700820305171</v>
      </c>
      <c r="P44" s="11" t="n">
        <v>1.65552785583862</v>
      </c>
      <c r="Q44" s="11" t="n">
        <v>0.46494589277487</v>
      </c>
      <c r="R44" s="11" t="n">
        <v>0.476635514018692</v>
      </c>
      <c r="S44" s="11" t="n">
        <v>0.299065420560748</v>
      </c>
      <c r="T44" s="11" t="n">
        <v>0.0841121495327103</v>
      </c>
      <c r="U44" s="11" t="n">
        <v>0.0467289719626168</v>
      </c>
      <c r="V44" s="11" t="n">
        <v>0.0280373831775701</v>
      </c>
      <c r="W44" s="11" t="n">
        <v>0.336448598130841</v>
      </c>
      <c r="X44" s="11" t="n">
        <v>0.196261682242991</v>
      </c>
      <c r="Y44" s="11" t="n">
        <v>0.242990654205607</v>
      </c>
      <c r="Z44" s="11" t="n">
        <v>0.280373831775701</v>
      </c>
      <c r="AA44" s="11" t="n">
        <v>0.0934579439252336</v>
      </c>
      <c r="AB44" s="11" t="n">
        <v>0.0560747663551402</v>
      </c>
      <c r="AC44" s="11" t="n">
        <v>-0.00555192174142312</v>
      </c>
      <c r="AD44" s="11" t="n">
        <v>-0.0453125088630248</v>
      </c>
      <c r="AE44" s="11" t="n">
        <v>0.447368421052632</v>
      </c>
      <c r="AF44" s="11" t="n">
        <v>0.31578947368421</v>
      </c>
      <c r="AG44" s="11" t="n">
        <v>0.210526315789474</v>
      </c>
      <c r="AH44" s="11" t="n">
        <v>0.140186915887851</v>
      </c>
      <c r="AI44" s="11" t="n">
        <v>0.0934579439252336</v>
      </c>
      <c r="AJ44" s="11" t="n">
        <v>0.0560747663551402</v>
      </c>
      <c r="AK44" s="11" t="n">
        <v>0.128537325815849</v>
      </c>
      <c r="AL44" s="11" t="n">
        <v>0</v>
      </c>
      <c r="AM44" s="11" t="n">
        <v>0</v>
      </c>
      <c r="AN44" s="11" t="n">
        <v>0</v>
      </c>
      <c r="AO44" s="11"/>
      <c r="AP44" s="11"/>
      <c r="AQ44" s="11"/>
      <c r="AR44" s="11" t="n">
        <v>0</v>
      </c>
      <c r="AS44" s="11" t="n">
        <v>0.0747663551401869</v>
      </c>
      <c r="AT44" s="11" t="n">
        <v>0</v>
      </c>
      <c r="AU44" s="11" t="n">
        <v>0</v>
      </c>
      <c r="AV44" s="11" t="n">
        <v>0</v>
      </c>
      <c r="AW44" s="11" t="n">
        <v>0</v>
      </c>
      <c r="AX44" s="11" t="n">
        <v>0</v>
      </c>
      <c r="AY44" s="11" t="n">
        <v>0.0102505252810844</v>
      </c>
      <c r="AZ44" s="11" t="n">
        <v>0.0302060806489778</v>
      </c>
      <c r="BA44" s="11"/>
      <c r="BB44" s="11" t="n">
        <v>0.0560747663551402</v>
      </c>
      <c r="BC44" s="11" t="n">
        <v>0.607476635514019</v>
      </c>
      <c r="BD44" s="11" t="n">
        <v>0.224299065420561</v>
      </c>
      <c r="BE44" s="11" t="n">
        <v>0.626168224299065</v>
      </c>
      <c r="BF44" s="11" t="n">
        <v>0.514018691588785</v>
      </c>
      <c r="BG44" s="11" t="n">
        <v>0.626168224299065</v>
      </c>
      <c r="BH44" s="11" t="n">
        <v>0.570093457943925</v>
      </c>
      <c r="BI44" s="11" t="n">
        <v>0.644859813084112</v>
      </c>
      <c r="BJ44" s="11" t="n">
        <v>0.146688008675345</v>
      </c>
      <c r="BK44" s="11" t="n">
        <v>0.0227835968606328</v>
      </c>
      <c r="BL44" s="11" t="n">
        <v>0.152065439771894</v>
      </c>
      <c r="BM44" s="11" t="n">
        <v>0.0145676617339807</v>
      </c>
      <c r="BN44" s="11" t="n">
        <v>0.585205142519467</v>
      </c>
      <c r="BO44" s="11" t="n">
        <v>0.205438751932601</v>
      </c>
      <c r="BP44" s="11" t="n">
        <v>0.0185515438720645</v>
      </c>
      <c r="BQ44" s="11" t="n">
        <v>0.0053067232538994</v>
      </c>
      <c r="BR44" s="11" t="n">
        <v>4.56943000060199</v>
      </c>
      <c r="BS44" s="11" t="n">
        <v>13.2051963839698</v>
      </c>
      <c r="BT44" s="11" t="n">
        <v>20.1769013884953</v>
      </c>
      <c r="BU44" s="11" t="n">
        <v>14.6688008675345</v>
      </c>
      <c r="BV44" s="11" t="n">
        <v>8.71270790872968</v>
      </c>
      <c r="BW44" s="11" t="n">
        <v>12.9187414275942</v>
      </c>
      <c r="BX44" s="11" t="n">
        <v>6.23986023647169</v>
      </c>
      <c r="BY44" s="11" t="n">
        <v>18.6739178990524</v>
      </c>
      <c r="BZ44" s="11" t="n">
        <v>0.579439252336449</v>
      </c>
      <c r="CA44" s="11" t="n">
        <v>0.580645161290323</v>
      </c>
      <c r="CB44" s="11" t="n">
        <v>0.338709677419355</v>
      </c>
      <c r="CC44" s="11" t="n">
        <v>0.419354838709677</v>
      </c>
      <c r="CD44" s="11" t="n">
        <v>0.483870967741936</v>
      </c>
      <c r="CE44" s="11" t="n">
        <v>0.579439252336449</v>
      </c>
      <c r="CF44" s="11" t="n">
        <v>5</v>
      </c>
      <c r="CG44" s="11" t="n">
        <v>0</v>
      </c>
      <c r="CH44" s="11" t="n">
        <v>0.580645161290323</v>
      </c>
      <c r="CI44" s="11" t="n">
        <v>0.419354838709677</v>
      </c>
      <c r="CJ44" s="11" t="n">
        <v>0.483870967741936</v>
      </c>
      <c r="CK44" s="11" t="n">
        <v>0</v>
      </c>
      <c r="CL44" s="11" t="n">
        <v>0</v>
      </c>
      <c r="CM44" s="11" t="n">
        <v>0</v>
      </c>
      <c r="CN44" s="11" t="n">
        <v>0</v>
      </c>
      <c r="CO44" s="11" t="n">
        <v>0</v>
      </c>
      <c r="CP44" s="11" t="n">
        <v>0</v>
      </c>
      <c r="CQ44" s="11" t="n">
        <v>0</v>
      </c>
      <c r="CR44" s="11" t="n">
        <v>0</v>
      </c>
      <c r="CS44" s="11" t="n">
        <v>0</v>
      </c>
      <c r="CT44" s="11" t="n">
        <v>0</v>
      </c>
      <c r="CU44" s="11" t="n">
        <v>0</v>
      </c>
      <c r="CV44" s="11" t="n">
        <v>0</v>
      </c>
      <c r="CW44" s="11" t="n">
        <v>0.145161290322581</v>
      </c>
      <c r="CX44" s="11" t="n">
        <v>0.0806451612903226</v>
      </c>
      <c r="CY44" s="11" t="n">
        <v>0.0123530687814645</v>
      </c>
      <c r="CZ44" s="11" t="n">
        <v>-0.112325781545103</v>
      </c>
      <c r="DA44" s="11" t="n">
        <v>8.71304829518333</v>
      </c>
      <c r="DB44" s="11" t="n">
        <v>-0.0212291094831221</v>
      </c>
      <c r="DC44" s="11" t="n">
        <v>18.334546445484</v>
      </c>
      <c r="DD44" s="11" t="n">
        <v>0.322349415279606</v>
      </c>
      <c r="DE44" s="11" t="n">
        <v>0.457943925233645</v>
      </c>
      <c r="DF44" s="11" t="n">
        <v>0.00712166654688104</v>
      </c>
      <c r="DG44" s="11" t="n">
        <v>-0.0411736824133436</v>
      </c>
      <c r="DH44" s="11" t="n">
        <v>4.82953489602246</v>
      </c>
      <c r="DI44" s="11" t="n">
        <v>178.749862403471</v>
      </c>
      <c r="DJ44" s="11" t="n">
        <v>117.300567077713</v>
      </c>
      <c r="DK44" s="11" t="n">
        <v>29.668827582985</v>
      </c>
      <c r="DL44" s="11" t="n">
        <v>49.05</v>
      </c>
      <c r="DM44" s="11" t="n">
        <v>0.570093457943925</v>
      </c>
      <c r="DN44" s="11" t="n">
        <v>0.0654205607476635</v>
      </c>
      <c r="DO44" s="11" t="n">
        <v>-0.00818771195668625</v>
      </c>
      <c r="DP44" s="11" t="n">
        <v>0.0373831775700935</v>
      </c>
      <c r="DQ44" s="11" t="n">
        <v>0.0467289719626168</v>
      </c>
      <c r="DR44" s="11" t="n">
        <v>0.0373831775700935</v>
      </c>
      <c r="DS44" s="11" t="n">
        <v>0.0373831775700935</v>
      </c>
      <c r="DT44" s="11" t="n">
        <v>0.0373831775700935</v>
      </c>
      <c r="DU44" s="11" t="n">
        <v>0.0373831775700935</v>
      </c>
      <c r="DV44" s="11" t="n">
        <v>5</v>
      </c>
      <c r="DW44" s="11" t="s">
        <v>690</v>
      </c>
      <c r="DX44" s="11" t="n">
        <v>0.195506</v>
      </c>
      <c r="DY44" s="11" t="n">
        <v>0.118262918855107</v>
      </c>
      <c r="DZ44" s="11" t="n">
        <v>0.272749081144893</v>
      </c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 t="n">
        <v>11.8264284581718</v>
      </c>
      <c r="EP44" s="11" t="n">
        <v>106.300956217867</v>
      </c>
      <c r="EQ44" s="11" t="n">
        <v>2564.51702772757</v>
      </c>
      <c r="ER44" s="11" t="n">
        <v>5.25202542805805</v>
      </c>
      <c r="ES44" s="11" t="n">
        <v>5.25202542805805</v>
      </c>
      <c r="ET44" s="11" t="n">
        <v>2.67492041102571</v>
      </c>
      <c r="EU44" s="11" t="n">
        <v>61.1907021397601</v>
      </c>
      <c r="EV44" s="11" t="n">
        <v>61.1907021397601</v>
      </c>
      <c r="EW44" s="11" t="n">
        <v>719.329158316266</v>
      </c>
      <c r="EX44" s="11" t="n">
        <v>1112.35448316028</v>
      </c>
      <c r="EY44" s="11" t="n">
        <v>1.80539896603224</v>
      </c>
      <c r="EZ44" s="11" t="n">
        <v>1.1145281327183</v>
      </c>
      <c r="FA44" s="11" t="n">
        <v>0.0496493520206633</v>
      </c>
      <c r="FB44" s="11" t="n">
        <v>1</v>
      </c>
      <c r="FC44" s="11" t="n">
        <v>0</v>
      </c>
      <c r="FD44" s="11" t="n">
        <v>0</v>
      </c>
      <c r="FE44" s="11" t="s">
        <v>574</v>
      </c>
      <c r="FF44" s="11" t="s">
        <v>298</v>
      </c>
      <c r="FG44" s="11" t="n">
        <v>107</v>
      </c>
      <c r="FH44" s="11" t="s">
        <v>575</v>
      </c>
      <c r="FI44" s="11" t="s">
        <v>59</v>
      </c>
      <c r="FJ44" s="11" t="n">
        <v>0.2</v>
      </c>
      <c r="FK44" s="11" t="n">
        <v>0.17475316270054</v>
      </c>
      <c r="FL44" s="11" t="n">
        <v>0.108980321446395</v>
      </c>
      <c r="FM44" s="11" t="n">
        <v>0</v>
      </c>
      <c r="FN44" s="11" t="n">
        <v>1</v>
      </c>
      <c r="FO44" s="11" t="n">
        <v>0.907871157046689</v>
      </c>
      <c r="FP44" s="11" t="n">
        <v>0.580452045580677</v>
      </c>
      <c r="FQ44" s="11" t="n">
        <v>0.19392523364486</v>
      </c>
      <c r="FR44" s="11" t="n">
        <v>0</v>
      </c>
      <c r="FS44" s="11" t="n">
        <v>0.906551631201091</v>
      </c>
      <c r="FT44" s="11" t="n">
        <v>0.580451392568786</v>
      </c>
      <c r="FU44" s="11" t="n">
        <v>1</v>
      </c>
      <c r="FV44" s="11" t="n">
        <v>13.9147289931373</v>
      </c>
      <c r="FW44" s="11" t="n">
        <v>432.031303702431</v>
      </c>
      <c r="FX44" s="11" t="n">
        <v>0.039438845614149</v>
      </c>
      <c r="FY44" s="11" t="n">
        <v>1</v>
      </c>
      <c r="FZ44" s="11" t="n">
        <v>29</v>
      </c>
      <c r="GA44" s="11" t="n">
        <v>1</v>
      </c>
      <c r="GB44" s="11" t="s">
        <v>576</v>
      </c>
      <c r="GC44" s="11" t="n">
        <v>0.916323938102366</v>
      </c>
      <c r="GD44" s="11" t="n">
        <v>0.943551036799065</v>
      </c>
      <c r="GE44" s="11" t="n">
        <v>0.940555135998548</v>
      </c>
      <c r="GF44" s="11" t="n">
        <v>0.94392523364486</v>
      </c>
      <c r="GG44" s="11" t="n">
        <v>0.00058411214953271</v>
      </c>
      <c r="GH44" s="11" t="n">
        <v>0</v>
      </c>
      <c r="GI44" s="11" t="n">
        <v>0.0271971033579805</v>
      </c>
      <c r="GJ44" s="11" t="n">
        <v>0.0368908886040483</v>
      </c>
      <c r="GK44" s="11" t="n">
        <v>0.035694698083759</v>
      </c>
      <c r="GL44" s="11" t="n">
        <v>0.0403703076495119</v>
      </c>
      <c r="GM44" s="11" t="n">
        <v>0.00232434503847573</v>
      </c>
      <c r="GN44" s="11" t="n">
        <v>9.1267523704484E-006</v>
      </c>
      <c r="GO44" s="11" t="n">
        <v>0.929322429906542</v>
      </c>
      <c r="GP44" s="11" t="n">
        <v>0.94392523364486</v>
      </c>
      <c r="GQ44" s="11" t="n">
        <v>-0.0689246952533722</v>
      </c>
      <c r="GR44" s="11" t="n">
        <v>1</v>
      </c>
      <c r="GS44" s="11" t="n">
        <v>1</v>
      </c>
      <c r="GT44" s="11" t="n">
        <v>0</v>
      </c>
      <c r="GU44" s="11" t="n">
        <v>0</v>
      </c>
      <c r="GV44" s="11" t="n">
        <v>1</v>
      </c>
      <c r="GW44" s="11" t="n">
        <v>1</v>
      </c>
      <c r="GX44" s="11" t="n">
        <v>1</v>
      </c>
      <c r="GY44" s="11" t="n">
        <v>1</v>
      </c>
      <c r="GZ44" s="11" t="n">
        <v>1</v>
      </c>
      <c r="HA44" s="11" t="n">
        <v>1</v>
      </c>
      <c r="HB44" s="11" t="n">
        <v>1</v>
      </c>
      <c r="HC44" s="11" t="n">
        <v>1</v>
      </c>
      <c r="HD44" s="11" t="n">
        <v>1</v>
      </c>
      <c r="HE44" s="11" t="n">
        <v>0</v>
      </c>
      <c r="HF44" s="11" t="n">
        <v>1</v>
      </c>
      <c r="HG44" s="11" t="n">
        <v>0</v>
      </c>
      <c r="HH44" s="11" t="n">
        <v>1</v>
      </c>
      <c r="HI44" s="11" t="n">
        <v>0</v>
      </c>
      <c r="HJ44" s="11" t="n">
        <v>0</v>
      </c>
      <c r="HK44" s="11" t="s">
        <v>590</v>
      </c>
      <c r="HL44" s="11" t="s">
        <v>577</v>
      </c>
      <c r="HM44" s="11" t="n">
        <v>1</v>
      </c>
      <c r="HN44" s="11" t="s">
        <v>591</v>
      </c>
      <c r="HO44" s="11" t="s">
        <v>578</v>
      </c>
      <c r="HP44" s="11" t="s">
        <v>578</v>
      </c>
      <c r="HQ44" s="11" t="n">
        <v>0</v>
      </c>
      <c r="HR44" s="11" t="s">
        <v>189</v>
      </c>
      <c r="HS44" s="11" t="s">
        <v>300</v>
      </c>
      <c r="HT44" s="11" t="s">
        <v>300</v>
      </c>
      <c r="HU44" s="11" t="s">
        <v>891</v>
      </c>
      <c r="HV44" s="11" t="s">
        <v>891</v>
      </c>
      <c r="HW44" s="11" t="s">
        <v>892</v>
      </c>
      <c r="HX44" s="11" t="s">
        <v>885</v>
      </c>
      <c r="HY44" s="11" t="s">
        <v>583</v>
      </c>
      <c r="HZ44" s="11" t="s">
        <v>893</v>
      </c>
      <c r="IA44" s="11" t="s">
        <v>890</v>
      </c>
      <c r="IB44" s="11" t="s">
        <v>894</v>
      </c>
      <c r="IC44" s="11" t="s">
        <v>298</v>
      </c>
      <c r="ID44" s="11" t="s">
        <v>888</v>
      </c>
      <c r="IE44" s="11"/>
      <c r="IF44" s="11"/>
      <c r="IG44" s="11"/>
      <c r="IH44" s="11"/>
    </row>
    <row r="45" customFormat="false" ht="15" hidden="false" customHeight="false" outlineLevel="0" collapsed="false">
      <c r="A45" s="11" t="s">
        <v>104</v>
      </c>
      <c r="B45" s="11" t="s">
        <v>895</v>
      </c>
      <c r="C45" s="11" t="s">
        <v>569</v>
      </c>
      <c r="D45" s="11" t="s">
        <v>570</v>
      </c>
      <c r="E45" s="11" t="s">
        <v>51</v>
      </c>
      <c r="F45" s="11"/>
      <c r="G45" s="11"/>
      <c r="H45" s="11" t="s">
        <v>896</v>
      </c>
      <c r="I45" s="11" t="s">
        <v>897</v>
      </c>
      <c r="J45" s="11" t="n">
        <v>117</v>
      </c>
      <c r="K45" s="11" t="n">
        <v>3.9</v>
      </c>
      <c r="L45" s="11" t="n">
        <v>0.738193273544312</v>
      </c>
      <c r="M45" s="11" t="n">
        <v>0.783191502094269</v>
      </c>
      <c r="N45" s="11" t="n">
        <v>0</v>
      </c>
      <c r="O45" s="11" t="n">
        <v>1.10037251092338</v>
      </c>
      <c r="P45" s="11" t="n">
        <v>1.25522847610547</v>
      </c>
      <c r="Q45" s="11" t="n">
        <v>0.101132284134194</v>
      </c>
      <c r="R45" s="11" t="n">
        <v>0.632478632478632</v>
      </c>
      <c r="S45" s="11" t="n">
        <v>0.444444444444444</v>
      </c>
      <c r="T45" s="11" t="n">
        <v>0.0170940170940171</v>
      </c>
      <c r="U45" s="11" t="n">
        <v>0</v>
      </c>
      <c r="V45" s="11" t="n">
        <v>0</v>
      </c>
      <c r="W45" s="11" t="n">
        <v>0.538461538461538</v>
      </c>
      <c r="X45" s="11" t="n">
        <v>0.461538461538462</v>
      </c>
      <c r="Y45" s="11" t="n">
        <v>0.512820512820513</v>
      </c>
      <c r="Z45" s="11" t="n">
        <v>0.538461538461538</v>
      </c>
      <c r="AA45" s="11" t="n">
        <v>0.0256410256410256</v>
      </c>
      <c r="AB45" s="11" t="n">
        <v>0</v>
      </c>
      <c r="AC45" s="11" t="n">
        <v>-0.00112538720968058</v>
      </c>
      <c r="AD45" s="11" t="n">
        <v>-0.0037542613482781</v>
      </c>
      <c r="AE45" s="11" t="n">
        <v>0.138461538461538</v>
      </c>
      <c r="AF45" s="11" t="n">
        <v>0.0461538461538462</v>
      </c>
      <c r="AG45" s="11" t="n">
        <v>0</v>
      </c>
      <c r="AH45" s="11" t="n">
        <v>0.0769230769230769</v>
      </c>
      <c r="AI45" s="11" t="n">
        <v>0.0256410256410256</v>
      </c>
      <c r="AJ45" s="11" t="n">
        <v>0</v>
      </c>
      <c r="AK45" s="11" t="n">
        <v>0.404469816896028</v>
      </c>
      <c r="AL45" s="11" t="n">
        <v>0</v>
      </c>
      <c r="AM45" s="11" t="n">
        <v>0</v>
      </c>
      <c r="AN45" s="11" t="n">
        <v>0</v>
      </c>
      <c r="AO45" s="11"/>
      <c r="AP45" s="11"/>
      <c r="AQ45" s="11"/>
      <c r="AR45" s="11" t="n">
        <v>0</v>
      </c>
      <c r="AS45" s="11" t="n">
        <v>0.35042735042735</v>
      </c>
      <c r="AT45" s="11" t="n">
        <v>0.153846153846154</v>
      </c>
      <c r="AU45" s="11" t="n">
        <v>0.153846153846154</v>
      </c>
      <c r="AV45" s="11" t="n">
        <v>0</v>
      </c>
      <c r="AW45" s="11" t="n">
        <v>0</v>
      </c>
      <c r="AX45" s="11" t="n">
        <v>0</v>
      </c>
      <c r="AY45" s="11" t="n">
        <v>0.00584608395231251</v>
      </c>
      <c r="AZ45" s="11" t="n">
        <v>0.0196772467167699</v>
      </c>
      <c r="BA45" s="11"/>
      <c r="BB45" s="11" t="n">
        <v>0.162393162393162</v>
      </c>
      <c r="BC45" s="11" t="n">
        <v>0.863247863247863</v>
      </c>
      <c r="BD45" s="11" t="n">
        <v>0.452991452991453</v>
      </c>
      <c r="BE45" s="11" t="n">
        <v>0.88034188034188</v>
      </c>
      <c r="BF45" s="11" t="n">
        <v>0.683760683760684</v>
      </c>
      <c r="BG45" s="11" t="n">
        <v>1</v>
      </c>
      <c r="BH45" s="11" t="n">
        <v>0.803418803418803</v>
      </c>
      <c r="BI45" s="11" t="n">
        <v>1</v>
      </c>
      <c r="BJ45" s="11" t="n">
        <v>0.121401561054665</v>
      </c>
      <c r="BK45" s="11" t="n">
        <v>0.0824897292258122</v>
      </c>
      <c r="BL45" s="11" t="n">
        <v>0.0860357780426942</v>
      </c>
      <c r="BM45" s="11" t="n">
        <v>0.0194730737865552</v>
      </c>
      <c r="BN45" s="11" t="n">
        <v>0.414583776635291</v>
      </c>
      <c r="BO45" s="11" t="n">
        <v>0.355044547767475</v>
      </c>
      <c r="BP45" s="11" t="n">
        <v>0.00943211013652318</v>
      </c>
      <c r="BQ45" s="11" t="n">
        <v>0.00619578685678238</v>
      </c>
      <c r="BR45" s="11" t="n">
        <v>3.35118250621908</v>
      </c>
      <c r="BS45" s="11" t="n">
        <v>12.764208216427</v>
      </c>
      <c r="BT45" s="11" t="n">
        <v>13.4762712569266</v>
      </c>
      <c r="BU45" s="11" t="n">
        <v>12.1401561054665</v>
      </c>
      <c r="BV45" s="11" t="n">
        <v>4.92948696897005</v>
      </c>
      <c r="BW45" s="11" t="n">
        <v>8.1051216236168</v>
      </c>
      <c r="BX45" s="11" t="n">
        <v>3.09333093954172</v>
      </c>
      <c r="BY45" s="11" t="n">
        <v>6.29926977451711</v>
      </c>
      <c r="BZ45" s="11" t="n">
        <v>0.683760683760684</v>
      </c>
      <c r="CA45" s="11" t="n">
        <v>0.725</v>
      </c>
      <c r="CB45" s="11" t="n">
        <v>0.6125</v>
      </c>
      <c r="CC45" s="11" t="n">
        <v>0.6875</v>
      </c>
      <c r="CD45" s="11" t="n">
        <v>0.725</v>
      </c>
      <c r="CE45" s="11" t="n">
        <v>0.683760683760684</v>
      </c>
      <c r="CF45" s="11" t="n">
        <v>5</v>
      </c>
      <c r="CG45" s="11" t="n">
        <v>0</v>
      </c>
      <c r="CH45" s="11" t="n">
        <v>0.725</v>
      </c>
      <c r="CI45" s="11" t="n">
        <v>0.6875</v>
      </c>
      <c r="CJ45" s="11" t="n">
        <v>0.725</v>
      </c>
      <c r="CK45" s="11" t="n">
        <v>0.135135135135135</v>
      </c>
      <c r="CL45" s="11" t="n">
        <v>0.135135135135135</v>
      </c>
      <c r="CM45" s="11" t="n">
        <v>0.135135135135135</v>
      </c>
      <c r="CN45" s="11" t="n">
        <v>0.135135135135135</v>
      </c>
      <c r="CO45" s="11" t="n">
        <v>0</v>
      </c>
      <c r="CP45" s="11" t="n">
        <v>0</v>
      </c>
      <c r="CQ45" s="11" t="n">
        <v>0</v>
      </c>
      <c r="CR45" s="11" t="n">
        <v>0</v>
      </c>
      <c r="CS45" s="11" t="n">
        <v>0.238095238095238</v>
      </c>
      <c r="CT45" s="11" t="n">
        <v>0.238095238095238</v>
      </c>
      <c r="CU45" s="11" t="n">
        <v>0.238095238095238</v>
      </c>
      <c r="CV45" s="11" t="n">
        <v>0.238095238095238</v>
      </c>
      <c r="CW45" s="11" t="n">
        <v>0.025</v>
      </c>
      <c r="CX45" s="11" t="n">
        <v>0</v>
      </c>
      <c r="CY45" s="11" t="n">
        <v>-0.0232066077180366</v>
      </c>
      <c r="CZ45" s="11" t="n">
        <v>-0.091235396426947</v>
      </c>
      <c r="DA45" s="11" t="n">
        <v>7.25945394491551</v>
      </c>
      <c r="DB45" s="11" t="n">
        <v>-0.0764626617196257</v>
      </c>
      <c r="DC45" s="11" t="n">
        <v>17.3491983916252</v>
      </c>
      <c r="DD45" s="11" t="n">
        <v>0.305906143592998</v>
      </c>
      <c r="DE45" s="11" t="n">
        <v>0.341880341880342</v>
      </c>
      <c r="DF45" s="11" t="n">
        <v>-0.0532712823955197</v>
      </c>
      <c r="DG45" s="11" t="n">
        <v>-0.0946113154612702</v>
      </c>
      <c r="DH45" s="11" t="n">
        <v>4.13400330657505</v>
      </c>
      <c r="DI45" s="11" t="n">
        <v>122.418941622075</v>
      </c>
      <c r="DJ45" s="11" t="n">
        <v>50.7002442025224</v>
      </c>
      <c r="DK45" s="11" t="n">
        <v>12.4594921055381</v>
      </c>
      <c r="DL45" s="11" t="n">
        <v>49.05</v>
      </c>
      <c r="DM45" s="11" t="n">
        <v>0.829059829059829</v>
      </c>
      <c r="DN45" s="11" t="n">
        <v>0.786324786324786</v>
      </c>
      <c r="DO45" s="11" t="n">
        <v>-0.00823697346285324</v>
      </c>
      <c r="DP45" s="11" t="n">
        <v>0</v>
      </c>
      <c r="DQ45" s="11" t="n">
        <v>0</v>
      </c>
      <c r="DR45" s="11" t="n">
        <v>0</v>
      </c>
      <c r="DS45" s="11" t="n">
        <v>0</v>
      </c>
      <c r="DT45" s="11" t="n">
        <v>0</v>
      </c>
      <c r="DU45" s="11" t="n">
        <v>0</v>
      </c>
      <c r="DV45" s="11" t="n">
        <v>5</v>
      </c>
      <c r="DW45" s="11" t="s">
        <v>573</v>
      </c>
      <c r="DX45" s="11" t="n">
        <v>0.406307</v>
      </c>
      <c r="DY45" s="11" t="n">
        <v>-0.0227795719432999</v>
      </c>
      <c r="DZ45" s="11" t="n">
        <v>0.8353935719433</v>
      </c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 t="n">
        <v>6.4608648007116</v>
      </c>
      <c r="EP45" s="11" t="n">
        <v>67.1578170468959</v>
      </c>
      <c r="EQ45" s="11" t="n">
        <v>1569.62054032508</v>
      </c>
      <c r="ER45" s="11" t="n">
        <v>3.84519708821711</v>
      </c>
      <c r="ES45" s="11" t="n">
        <v>3.84519708821711</v>
      </c>
      <c r="ET45" s="11" t="n">
        <v>1.55559416829011</v>
      </c>
      <c r="EU45" s="11" t="n">
        <v>41.1062625954123</v>
      </c>
      <c r="EV45" s="11" t="n">
        <v>41.1062625954123</v>
      </c>
      <c r="EW45" s="11" t="n">
        <v>362.765509584682</v>
      </c>
      <c r="EX45" s="11" t="n">
        <v>495.985561782294</v>
      </c>
      <c r="EY45" s="11" t="n">
        <v>1.17598577531291</v>
      </c>
      <c r="EZ45" s="11" t="n">
        <v>0.938850459381255</v>
      </c>
      <c r="FA45" s="11" t="n">
        <v>0.0449928838917286</v>
      </c>
      <c r="FB45" s="11" t="n">
        <v>1</v>
      </c>
      <c r="FC45" s="11" t="n">
        <v>0</v>
      </c>
      <c r="FD45" s="11" t="n">
        <v>0</v>
      </c>
      <c r="FE45" s="11" t="s">
        <v>574</v>
      </c>
      <c r="FF45" s="11" t="s">
        <v>304</v>
      </c>
      <c r="FG45" s="11" t="n">
        <v>117</v>
      </c>
      <c r="FH45" s="11" t="s">
        <v>575</v>
      </c>
      <c r="FI45" s="11" t="s">
        <v>59</v>
      </c>
      <c r="FJ45" s="11" t="n">
        <v>0.2</v>
      </c>
      <c r="FK45" s="11" t="n">
        <v>0.109616584479194</v>
      </c>
      <c r="FL45" s="11" t="n">
        <v>0.0593891969013539</v>
      </c>
      <c r="FM45" s="11" t="n">
        <v>0</v>
      </c>
      <c r="FN45" s="11" t="n">
        <v>1</v>
      </c>
      <c r="FO45" s="11" t="n">
        <v>0.638093627630645</v>
      </c>
      <c r="FP45" s="11" t="n">
        <v>0.412114239757106</v>
      </c>
      <c r="FQ45" s="11" t="n">
        <v>0.151709401709402</v>
      </c>
      <c r="FR45" s="11" t="n">
        <v>0</v>
      </c>
      <c r="FS45" s="11" t="n">
        <v>0.635232010580306</v>
      </c>
      <c r="FT45" s="11" t="n">
        <v>0.411706799545238</v>
      </c>
      <c r="FU45" s="11" t="n">
        <v>1</v>
      </c>
      <c r="FV45" s="11" t="n">
        <v>7.18094181621029</v>
      </c>
      <c r="FW45" s="11" t="n">
        <v>240.559283279647</v>
      </c>
      <c r="FX45" s="11" t="n">
        <v>0.0148447683737806</v>
      </c>
      <c r="FY45" s="11" t="n">
        <v>1</v>
      </c>
      <c r="FZ45" s="11" t="n">
        <v>21</v>
      </c>
      <c r="GA45" s="11" t="n">
        <v>1</v>
      </c>
      <c r="GB45" s="11" t="s">
        <v>576</v>
      </c>
      <c r="GC45" s="11" t="n">
        <v>0.695266593215812</v>
      </c>
      <c r="GD45" s="11" t="n">
        <v>0.717297676282051</v>
      </c>
      <c r="GE45" s="11" t="n">
        <v>0.717686861053479</v>
      </c>
      <c r="GF45" s="11" t="n">
        <v>0.717948717948718</v>
      </c>
      <c r="GG45" s="11" t="n">
        <v>0.230769230769231</v>
      </c>
      <c r="GH45" s="11" t="n">
        <v>0.230769230769231</v>
      </c>
      <c r="GI45" s="11" t="n">
        <v>0.00920604067405837</v>
      </c>
      <c r="GJ45" s="11" t="n">
        <v>0.017967065044034</v>
      </c>
      <c r="GK45" s="11" t="n">
        <v>0.0159046122647361</v>
      </c>
      <c r="GL45" s="11" t="n">
        <v>0.0199111844427908</v>
      </c>
      <c r="GM45" s="11" t="n">
        <v>0.112788984544827</v>
      </c>
      <c r="GN45" s="11" t="n">
        <v>0.108236550140879</v>
      </c>
      <c r="GO45" s="11" t="n">
        <v>0.71741452991453</v>
      </c>
      <c r="GP45" s="11" t="n">
        <v>0.717948717948718</v>
      </c>
      <c r="GQ45" s="11" t="n">
        <v>-0.0280489511787891</v>
      </c>
      <c r="GR45" s="11" t="n">
        <v>0</v>
      </c>
      <c r="GS45" s="11" t="n">
        <v>1</v>
      </c>
      <c r="GT45" s="11" t="n">
        <v>0</v>
      </c>
      <c r="GU45" s="11" t="n">
        <v>0</v>
      </c>
      <c r="GV45" s="11" t="n">
        <v>1</v>
      </c>
      <c r="GW45" s="11" t="n">
        <v>1</v>
      </c>
      <c r="GX45" s="11" t="n">
        <v>1</v>
      </c>
      <c r="GY45" s="11" t="n">
        <v>1</v>
      </c>
      <c r="GZ45" s="11" t="n">
        <v>1</v>
      </c>
      <c r="HA45" s="11" t="n">
        <v>0</v>
      </c>
      <c r="HB45" s="11" t="n">
        <v>1</v>
      </c>
      <c r="HC45" s="11" t="n">
        <v>1</v>
      </c>
      <c r="HD45" s="11" t="n">
        <v>1</v>
      </c>
      <c r="HE45" s="11" t="n">
        <v>1</v>
      </c>
      <c r="HF45" s="11" t="n">
        <v>1</v>
      </c>
      <c r="HG45" s="11" t="n">
        <v>1</v>
      </c>
      <c r="HH45" s="11" t="n">
        <v>0</v>
      </c>
      <c r="HI45" s="11" t="n">
        <v>0</v>
      </c>
      <c r="HJ45" s="11" t="n">
        <v>0</v>
      </c>
      <c r="HK45" s="11" t="s">
        <v>139</v>
      </c>
      <c r="HL45" s="11" t="s">
        <v>577</v>
      </c>
      <c r="HM45" s="11" t="n">
        <v>1</v>
      </c>
      <c r="HN45" s="11" t="s">
        <v>10</v>
      </c>
      <c r="HO45" s="11" t="s">
        <v>578</v>
      </c>
      <c r="HP45" s="11" t="s">
        <v>578</v>
      </c>
      <c r="HQ45" s="11" t="n">
        <v>0</v>
      </c>
      <c r="HR45" s="11" t="s">
        <v>204</v>
      </c>
      <c r="HS45" s="11" t="s">
        <v>579</v>
      </c>
      <c r="HT45" s="11" t="s">
        <v>579</v>
      </c>
      <c r="HU45" s="11" t="s">
        <v>898</v>
      </c>
      <c r="HV45" s="11" t="s">
        <v>898</v>
      </c>
      <c r="HW45" s="11" t="s">
        <v>899</v>
      </c>
      <c r="HX45" s="11" t="s">
        <v>900</v>
      </c>
      <c r="HY45" s="11" t="s">
        <v>583</v>
      </c>
      <c r="HZ45" s="11" t="s">
        <v>901</v>
      </c>
      <c r="IA45" s="11" t="s">
        <v>896</v>
      </c>
      <c r="IB45" s="11" t="s">
        <v>902</v>
      </c>
      <c r="IC45" s="11" t="s">
        <v>304</v>
      </c>
      <c r="ID45" s="11" t="s">
        <v>903</v>
      </c>
      <c r="IE45" s="11"/>
      <c r="IF45" s="11"/>
      <c r="IG45" s="11"/>
      <c r="IH45" s="11"/>
    </row>
    <row r="46" customFormat="false" ht="15" hidden="false" customHeight="false" outlineLevel="0" collapsed="false">
      <c r="A46" s="11" t="s">
        <v>104</v>
      </c>
      <c r="B46" s="11" t="s">
        <v>904</v>
      </c>
      <c r="C46" s="11" t="s">
        <v>588</v>
      </c>
      <c r="D46" s="11" t="s">
        <v>570</v>
      </c>
      <c r="E46" s="11" t="s">
        <v>51</v>
      </c>
      <c r="F46" s="11"/>
      <c r="G46" s="11"/>
      <c r="H46" s="11" t="s">
        <v>905</v>
      </c>
      <c r="I46" s="11" t="s">
        <v>303</v>
      </c>
      <c r="J46" s="11" t="n">
        <v>117</v>
      </c>
      <c r="K46" s="11" t="n">
        <v>3.9</v>
      </c>
      <c r="L46" s="11" t="n">
        <v>0.751679003238678</v>
      </c>
      <c r="M46" s="11" t="n">
        <v>0.786673069000244</v>
      </c>
      <c r="N46" s="11" t="n">
        <v>0</v>
      </c>
      <c r="O46" s="11" t="n">
        <v>1.06378334313863</v>
      </c>
      <c r="P46" s="11" t="n">
        <v>1.23261454324318</v>
      </c>
      <c r="Q46" s="11" t="n">
        <v>0.194889861471413</v>
      </c>
      <c r="R46" s="11" t="n">
        <v>0.478632478632479</v>
      </c>
      <c r="S46" s="11" t="n">
        <v>0.401709401709402</v>
      </c>
      <c r="T46" s="11" t="n">
        <v>0.0341880341880342</v>
      </c>
      <c r="U46" s="11" t="n">
        <v>0</v>
      </c>
      <c r="V46" s="11" t="n">
        <v>0</v>
      </c>
      <c r="W46" s="11" t="n">
        <v>0.333333333333333</v>
      </c>
      <c r="X46" s="11" t="n">
        <v>0.282051282051282</v>
      </c>
      <c r="Y46" s="11" t="n">
        <v>0.316239316239316</v>
      </c>
      <c r="Z46" s="11" t="n">
        <v>0.324786324786325</v>
      </c>
      <c r="AA46" s="11" t="n">
        <v>0.0170940170940171</v>
      </c>
      <c r="AB46" s="11" t="n">
        <v>0.00854700854700855</v>
      </c>
      <c r="AC46" s="11" t="n">
        <v>-0.000997979957828425</v>
      </c>
      <c r="AD46" s="11" t="n">
        <v>-0.00706596002856589</v>
      </c>
      <c r="AE46" s="11" t="n">
        <v>0.15</v>
      </c>
      <c r="AF46" s="11" t="n">
        <v>0.05</v>
      </c>
      <c r="AG46" s="11" t="n">
        <v>0.025</v>
      </c>
      <c r="AH46" s="11" t="n">
        <v>0.0512820512820513</v>
      </c>
      <c r="AI46" s="11" t="n">
        <v>0.0170940170940171</v>
      </c>
      <c r="AJ46" s="11" t="n">
        <v>0.00854700854700855</v>
      </c>
      <c r="AK46" s="11" t="n">
        <v>0.427844659083957</v>
      </c>
      <c r="AL46" s="11" t="n">
        <v>0</v>
      </c>
      <c r="AM46" s="11" t="n">
        <v>0</v>
      </c>
      <c r="AN46" s="11" t="n">
        <v>0</v>
      </c>
      <c r="AO46" s="11"/>
      <c r="AP46" s="11"/>
      <c r="AQ46" s="11"/>
      <c r="AR46" s="11" t="n">
        <v>0</v>
      </c>
      <c r="AS46" s="11" t="n">
        <v>0.521367521367521</v>
      </c>
      <c r="AT46" s="11" t="n">
        <v>0.094017094017094</v>
      </c>
      <c r="AU46" s="11" t="n">
        <v>0.094017094017094</v>
      </c>
      <c r="AV46" s="11" t="n">
        <v>0</v>
      </c>
      <c r="AW46" s="11" t="n">
        <v>0</v>
      </c>
      <c r="AX46" s="11" t="n">
        <v>0</v>
      </c>
      <c r="AY46" s="11" t="n">
        <v>0.00613712839645772</v>
      </c>
      <c r="AZ46" s="11" t="n">
        <v>0.019478172206027</v>
      </c>
      <c r="BA46" s="11"/>
      <c r="BB46" s="11" t="n">
        <v>0</v>
      </c>
      <c r="BC46" s="11" t="n">
        <v>0.871794871794872</v>
      </c>
      <c r="BD46" s="11" t="n">
        <v>0.11965811965812</v>
      </c>
      <c r="BE46" s="11" t="n">
        <v>0.888888888888889</v>
      </c>
      <c r="BF46" s="11" t="n">
        <v>0.547008547008547</v>
      </c>
      <c r="BG46" s="11" t="n">
        <v>1</v>
      </c>
      <c r="BH46" s="11" t="n">
        <v>0.726495726495726</v>
      </c>
      <c r="BI46" s="11" t="n">
        <v>1</v>
      </c>
      <c r="BJ46" s="11" t="n">
        <v>0.146451073108329</v>
      </c>
      <c r="BK46" s="11" t="n">
        <v>0.112726256485985</v>
      </c>
      <c r="BL46" s="11" t="n">
        <v>0.10392024260933</v>
      </c>
      <c r="BM46" s="11" t="n">
        <v>0.0533153411846032</v>
      </c>
      <c r="BN46" s="11" t="n">
        <v>0.529813213642436</v>
      </c>
      <c r="BO46" s="11" t="n">
        <v>0.450688269075487</v>
      </c>
      <c r="BP46" s="11" t="n">
        <v>0.014714413121383</v>
      </c>
      <c r="BQ46" s="11" t="n">
        <v>0.0112818223086772</v>
      </c>
      <c r="BR46" s="11" t="n">
        <v>4.24668271979806</v>
      </c>
      <c r="BS46" s="11" t="n">
        <v>12.8438341333475</v>
      </c>
      <c r="BT46" s="11" t="n">
        <v>25.5133629558968</v>
      </c>
      <c r="BU46" s="11" t="n">
        <v>14.6451073108329</v>
      </c>
      <c r="BV46" s="11" t="n">
        <v>5.95419130748935</v>
      </c>
      <c r="BW46" s="11" t="n">
        <v>9.9834744344542</v>
      </c>
      <c r="BX46" s="11" t="n">
        <v>4.95913508646595</v>
      </c>
      <c r="BY46" s="11" t="n">
        <v>25.3973238289444</v>
      </c>
      <c r="BZ46" s="11" t="n">
        <v>0.683760683760684</v>
      </c>
      <c r="CA46" s="11" t="n">
        <v>0.4125</v>
      </c>
      <c r="CB46" s="11" t="n">
        <v>0.3375</v>
      </c>
      <c r="CC46" s="11" t="n">
        <v>0.3875</v>
      </c>
      <c r="CD46" s="11" t="n">
        <v>0.4</v>
      </c>
      <c r="CE46" s="11" t="n">
        <v>0.683760683760684</v>
      </c>
      <c r="CF46" s="11" t="n">
        <v>5</v>
      </c>
      <c r="CG46" s="11" t="n">
        <v>0</v>
      </c>
      <c r="CH46" s="11" t="n">
        <v>0.4125</v>
      </c>
      <c r="CI46" s="11" t="n">
        <v>0.3875</v>
      </c>
      <c r="CJ46" s="11" t="n">
        <v>0.4</v>
      </c>
      <c r="CK46" s="11" t="n">
        <v>0.162162162162162</v>
      </c>
      <c r="CL46" s="11" t="n">
        <v>0.162162162162162</v>
      </c>
      <c r="CM46" s="11" t="n">
        <v>0.162162162162162</v>
      </c>
      <c r="CN46" s="11" t="n">
        <v>0.162162162162162</v>
      </c>
      <c r="CO46" s="11" t="n">
        <v>0</v>
      </c>
      <c r="CP46" s="11" t="n">
        <v>0</v>
      </c>
      <c r="CQ46" s="11" t="n">
        <v>0</v>
      </c>
      <c r="CR46" s="11" t="n">
        <v>0</v>
      </c>
      <c r="CS46" s="11" t="n">
        <v>0.285714285714286</v>
      </c>
      <c r="CT46" s="11" t="n">
        <v>0.285714285714286</v>
      </c>
      <c r="CU46" s="11" t="n">
        <v>0.285714285714286</v>
      </c>
      <c r="CV46" s="11" t="n">
        <v>0.285714285714286</v>
      </c>
      <c r="CW46" s="11" t="n">
        <v>0.05</v>
      </c>
      <c r="CX46" s="11" t="n">
        <v>0</v>
      </c>
      <c r="CY46" s="11" t="n">
        <v>0.0341586913033416</v>
      </c>
      <c r="CZ46" s="11" t="n">
        <v>-0.0304211431422896</v>
      </c>
      <c r="DA46" s="11" t="n">
        <v>7.46540197219</v>
      </c>
      <c r="DB46" s="11" t="n">
        <v>-0.00322900758169817</v>
      </c>
      <c r="DC46" s="11" t="n">
        <v>15.6656456018539</v>
      </c>
      <c r="DD46" s="11" t="n">
        <v>0.200777008928183</v>
      </c>
      <c r="DE46" s="11" t="n">
        <v>0.341880341880342</v>
      </c>
      <c r="DF46" s="11" t="n">
        <v>-0.0149969056775649</v>
      </c>
      <c r="DG46" s="11" t="n">
        <v>-0.0388464794672769</v>
      </c>
      <c r="DH46" s="11" t="n">
        <v>2.3849573789712</v>
      </c>
      <c r="DI46" s="11" t="n">
        <v>104.136654284275</v>
      </c>
      <c r="DJ46" s="11" t="n">
        <v>45.851850519924</v>
      </c>
      <c r="DK46" s="11" t="n">
        <v>35.4788009027148</v>
      </c>
      <c r="DL46" s="11" t="n">
        <v>49.05</v>
      </c>
      <c r="DM46" s="11" t="n">
        <v>0.829059829059829</v>
      </c>
      <c r="DN46" s="11" t="n">
        <v>0.786324786324786</v>
      </c>
      <c r="DO46" s="11" t="n">
        <v>-0.00823697346285324</v>
      </c>
      <c r="DP46" s="11" t="n">
        <v>0</v>
      </c>
      <c r="DQ46" s="11" t="n">
        <v>0</v>
      </c>
      <c r="DR46" s="11" t="n">
        <v>0</v>
      </c>
      <c r="DS46" s="11" t="n">
        <v>0</v>
      </c>
      <c r="DT46" s="11" t="n">
        <v>0</v>
      </c>
      <c r="DU46" s="11" t="n">
        <v>0</v>
      </c>
      <c r="DV46" s="11" t="n">
        <v>5</v>
      </c>
      <c r="DW46" s="11" t="s">
        <v>573</v>
      </c>
      <c r="DX46" s="11" t="n">
        <v>0.406307</v>
      </c>
      <c r="DY46" s="11" t="n">
        <v>-0.0227795719432999</v>
      </c>
      <c r="DZ46" s="11" t="n">
        <v>0.8353935719433</v>
      </c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 t="n">
        <v>6.71656405395909</v>
      </c>
      <c r="EP46" s="11" t="n">
        <v>74.9404738847619</v>
      </c>
      <c r="EQ46" s="11" t="n">
        <v>1814.72209220109</v>
      </c>
      <c r="ER46" s="11" t="n">
        <v>4.81538850678774</v>
      </c>
      <c r="ES46" s="11" t="n">
        <v>4.81538850678774</v>
      </c>
      <c r="ET46" s="11" t="n">
        <v>2.13831775784268</v>
      </c>
      <c r="EU46" s="11" t="n">
        <v>48.1873802355778</v>
      </c>
      <c r="EV46" s="11" t="n">
        <v>48.1873802355778</v>
      </c>
      <c r="EW46" s="11" t="n">
        <v>498.833489756442</v>
      </c>
      <c r="EX46" s="11" t="n">
        <v>637.570447386845</v>
      </c>
      <c r="EY46" s="11" t="n">
        <v>1.16814330339641</v>
      </c>
      <c r="EZ46" s="11" t="n">
        <v>0.592483420582367</v>
      </c>
      <c r="FA46" s="11" t="n">
        <v>0.0496949272908436</v>
      </c>
      <c r="FB46" s="11" t="n">
        <v>1</v>
      </c>
      <c r="FC46" s="11" t="n">
        <v>0</v>
      </c>
      <c r="FD46" s="11" t="n">
        <v>0</v>
      </c>
      <c r="FE46" s="11" t="s">
        <v>574</v>
      </c>
      <c r="FF46" s="11" t="s">
        <v>304</v>
      </c>
      <c r="FG46" s="11" t="n">
        <v>117</v>
      </c>
      <c r="FH46" s="11" t="s">
        <v>575</v>
      </c>
      <c r="FI46" s="11" t="s">
        <v>59</v>
      </c>
      <c r="FJ46" s="11" t="n">
        <v>0.2</v>
      </c>
      <c r="FK46" s="11" t="n">
        <v>0.149282977201593</v>
      </c>
      <c r="FL46" s="11" t="n">
        <v>0.110056849519669</v>
      </c>
      <c r="FM46" s="11" t="n">
        <v>0</v>
      </c>
      <c r="FN46" s="11" t="n">
        <v>1</v>
      </c>
      <c r="FO46" s="11" t="n">
        <v>0.674334925270707</v>
      </c>
      <c r="FP46" s="11" t="n">
        <v>0.557982137677925</v>
      </c>
      <c r="FQ46" s="11" t="n">
        <v>0.113247863247863</v>
      </c>
      <c r="FR46" s="11" t="n">
        <v>0</v>
      </c>
      <c r="FS46" s="11" t="n">
        <v>0.672296024810019</v>
      </c>
      <c r="FT46" s="11" t="n">
        <v>0.555912114918243</v>
      </c>
      <c r="FU46" s="11" t="n">
        <v>1</v>
      </c>
      <c r="FV46" s="11" t="n">
        <v>8.1243936271313</v>
      </c>
      <c r="FW46" s="11" t="n">
        <v>245.484128328927</v>
      </c>
      <c r="FX46" s="11" t="n">
        <v>0.0170730334620383</v>
      </c>
      <c r="FY46" s="11" t="n">
        <v>1</v>
      </c>
      <c r="FZ46" s="11" t="n">
        <v>21</v>
      </c>
      <c r="GA46" s="11" t="n">
        <v>1</v>
      </c>
      <c r="GB46" s="11" t="s">
        <v>576</v>
      </c>
      <c r="GC46" s="11" t="n">
        <v>0.816591963808761</v>
      </c>
      <c r="GD46" s="11" t="n">
        <v>0.852238581730769</v>
      </c>
      <c r="GE46" s="11" t="n">
        <v>0.85444685352795</v>
      </c>
      <c r="GF46" s="11" t="n">
        <v>0.854700854700855</v>
      </c>
      <c r="GG46" s="11" t="n">
        <v>0.094017094017094</v>
      </c>
      <c r="GH46" s="11" t="n">
        <v>0.094017094017094</v>
      </c>
      <c r="GI46" s="11" t="n">
        <v>0.00640545284194458</v>
      </c>
      <c r="GJ46" s="11" t="n">
        <v>0.01285889885651</v>
      </c>
      <c r="GK46" s="11" t="n">
        <v>0.0118045051439446</v>
      </c>
      <c r="GL46" s="11" t="n">
        <v>0.0146524935976192</v>
      </c>
      <c r="GM46" s="11" t="n">
        <v>0.0520654680531983</v>
      </c>
      <c r="GN46" s="11" t="n">
        <v>0.0451227185617932</v>
      </c>
      <c r="GO46" s="11" t="n">
        <v>0.854433760683761</v>
      </c>
      <c r="GP46" s="11" t="n">
        <v>0.854700854700855</v>
      </c>
      <c r="GQ46" s="11" t="n">
        <v>-0.0409073494374752</v>
      </c>
      <c r="GR46" s="11" t="n">
        <v>1</v>
      </c>
      <c r="GS46" s="11" t="n">
        <v>1</v>
      </c>
      <c r="GT46" s="11" t="n">
        <v>0</v>
      </c>
      <c r="GU46" s="11" t="n">
        <v>0</v>
      </c>
      <c r="GV46" s="11" t="n">
        <v>1</v>
      </c>
      <c r="GW46" s="11" t="n">
        <v>1</v>
      </c>
      <c r="GX46" s="11" t="n">
        <v>0</v>
      </c>
      <c r="GY46" s="11" t="n">
        <v>1</v>
      </c>
      <c r="GZ46" s="11" t="n">
        <v>1</v>
      </c>
      <c r="HA46" s="11" t="n">
        <v>1</v>
      </c>
      <c r="HB46" s="11" t="n">
        <v>1</v>
      </c>
      <c r="HC46" s="11" t="n">
        <v>1</v>
      </c>
      <c r="HD46" s="11" t="n">
        <v>1</v>
      </c>
      <c r="HE46" s="11" t="n">
        <v>0</v>
      </c>
      <c r="HF46" s="11" t="n">
        <v>1</v>
      </c>
      <c r="HG46" s="11" t="n">
        <v>0</v>
      </c>
      <c r="HH46" s="11" t="n">
        <v>0</v>
      </c>
      <c r="HI46" s="11" t="n">
        <v>0</v>
      </c>
      <c r="HJ46" s="11" t="n">
        <v>0</v>
      </c>
      <c r="HK46" s="11" t="s">
        <v>747</v>
      </c>
      <c r="HL46" s="11" t="s">
        <v>577</v>
      </c>
      <c r="HM46" s="11" t="n">
        <v>1</v>
      </c>
      <c r="HN46" s="11" t="s">
        <v>591</v>
      </c>
      <c r="HO46" s="11" t="s">
        <v>578</v>
      </c>
      <c r="HP46" s="11" t="s">
        <v>578</v>
      </c>
      <c r="HQ46" s="11" t="n">
        <v>0</v>
      </c>
      <c r="HR46" s="11" t="s">
        <v>204</v>
      </c>
      <c r="HS46" s="11" t="s">
        <v>300</v>
      </c>
      <c r="HT46" s="11" t="s">
        <v>300</v>
      </c>
      <c r="HU46" s="11" t="s">
        <v>906</v>
      </c>
      <c r="HV46" s="11" t="s">
        <v>906</v>
      </c>
      <c r="HW46" s="11" t="s">
        <v>907</v>
      </c>
      <c r="HX46" s="11" t="s">
        <v>900</v>
      </c>
      <c r="HY46" s="11" t="s">
        <v>583</v>
      </c>
      <c r="HZ46" s="11" t="s">
        <v>908</v>
      </c>
      <c r="IA46" s="11" t="s">
        <v>905</v>
      </c>
      <c r="IB46" s="11" t="s">
        <v>909</v>
      </c>
      <c r="IC46" s="11" t="s">
        <v>304</v>
      </c>
      <c r="ID46" s="11" t="s">
        <v>903</v>
      </c>
      <c r="IE46" s="11"/>
      <c r="IF46" s="11"/>
      <c r="IG46" s="11"/>
      <c r="IH46" s="11"/>
    </row>
    <row r="47" customFormat="false" ht="15" hidden="false" customHeight="false" outlineLevel="0" collapsed="false">
      <c r="A47" s="11" t="s">
        <v>105</v>
      </c>
      <c r="B47" s="11" t="s">
        <v>910</v>
      </c>
      <c r="C47" s="11" t="s">
        <v>569</v>
      </c>
      <c r="D47" s="11" t="s">
        <v>570</v>
      </c>
      <c r="E47" s="11" t="s">
        <v>51</v>
      </c>
      <c r="F47" s="11"/>
      <c r="G47" s="11"/>
      <c r="H47" s="11" t="s">
        <v>911</v>
      </c>
      <c r="I47" s="11" t="s">
        <v>912</v>
      </c>
      <c r="J47" s="11" t="n">
        <v>128</v>
      </c>
      <c r="K47" s="11" t="n">
        <v>4.26666666666667</v>
      </c>
      <c r="L47" s="11" t="n">
        <v>0.755897164344788</v>
      </c>
      <c r="M47" s="11" t="n">
        <v>0.810589969158173</v>
      </c>
      <c r="N47" s="11" t="n">
        <v>0</v>
      </c>
      <c r="O47" s="11" t="n">
        <v>1.74545497338423</v>
      </c>
      <c r="P47" s="11" t="n">
        <v>1.83597158400105</v>
      </c>
      <c r="Q47" s="11" t="n">
        <v>0.272666318016627</v>
      </c>
      <c r="R47" s="11" t="n">
        <v>0.5625</v>
      </c>
      <c r="S47" s="11" t="n">
        <v>0.4140625</v>
      </c>
      <c r="T47" s="11" t="n">
        <v>0.0703125</v>
      </c>
      <c r="U47" s="11" t="n">
        <v>0</v>
      </c>
      <c r="V47" s="11" t="n">
        <v>0</v>
      </c>
      <c r="W47" s="11" t="n">
        <v>0.640625</v>
      </c>
      <c r="X47" s="11" t="n">
        <v>0.1796875</v>
      </c>
      <c r="Y47" s="11" t="n">
        <v>0.2265625</v>
      </c>
      <c r="Z47" s="11" t="n">
        <v>0.3359375</v>
      </c>
      <c r="AA47" s="11" t="n">
        <v>0.4140625</v>
      </c>
      <c r="AB47" s="11" t="n">
        <v>0.3046875</v>
      </c>
      <c r="AC47" s="11" t="n">
        <v>-0.00569600325453568</v>
      </c>
      <c r="AD47" s="11" t="n">
        <v>-0.014010618847199</v>
      </c>
      <c r="AE47" s="11" t="n">
        <v>0.795275590551181</v>
      </c>
      <c r="AF47" s="11" t="n">
        <v>0.740157480314961</v>
      </c>
      <c r="AG47" s="11" t="n">
        <v>0.559055118110236</v>
      </c>
      <c r="AH47" s="11" t="n">
        <v>0.4609375</v>
      </c>
      <c r="AI47" s="11" t="n">
        <v>0.4140625</v>
      </c>
      <c r="AJ47" s="11" t="n">
        <v>0.3046875</v>
      </c>
      <c r="AK47" s="11" t="n">
        <v>0.424298639215844</v>
      </c>
      <c r="AL47" s="11" t="n">
        <v>0</v>
      </c>
      <c r="AM47" s="11" t="n">
        <v>0</v>
      </c>
      <c r="AN47" s="11" t="n">
        <v>0</v>
      </c>
      <c r="AO47" s="11"/>
      <c r="AP47" s="11"/>
      <c r="AQ47" s="11"/>
      <c r="AR47" s="11" t="n">
        <v>0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0.0081533312008434</v>
      </c>
      <c r="AZ47" s="11" t="n">
        <v>0.0317303894507529</v>
      </c>
      <c r="BA47" s="11"/>
      <c r="BB47" s="11" t="n">
        <v>0.0703125</v>
      </c>
      <c r="BC47" s="11" t="n">
        <v>0.71875</v>
      </c>
      <c r="BD47" s="11" t="n">
        <v>0.40625</v>
      </c>
      <c r="BE47" s="11" t="n">
        <v>0.7265625</v>
      </c>
      <c r="BF47" s="11" t="n">
        <v>0.59375</v>
      </c>
      <c r="BG47" s="11" t="n">
        <v>0.734375</v>
      </c>
      <c r="BH47" s="11" t="n">
        <v>0.65625</v>
      </c>
      <c r="BI47" s="11" t="n">
        <v>0.765625</v>
      </c>
      <c r="BJ47" s="11" t="n">
        <v>0.136188036546702</v>
      </c>
      <c r="BK47" s="11" t="n">
        <v>0.0440005732392848</v>
      </c>
      <c r="BL47" s="11" t="n">
        <v>0.161074487215874</v>
      </c>
      <c r="BM47" s="11" t="n">
        <v>0.0230466237766901</v>
      </c>
      <c r="BN47" s="11" t="n">
        <v>0.438700058781327</v>
      </c>
      <c r="BO47" s="11" t="n">
        <v>0.160975110726118</v>
      </c>
      <c r="BP47" s="11" t="n">
        <v>0.0140382199892669</v>
      </c>
      <c r="BQ47" s="11" t="n">
        <v>0.00351702401321552</v>
      </c>
      <c r="BR47" s="11" t="n">
        <v>3.40174222907323</v>
      </c>
      <c r="BS47" s="11" t="n">
        <v>14.7380017160449</v>
      </c>
      <c r="BT47" s="11" t="n">
        <v>19.9764541447085</v>
      </c>
      <c r="BU47" s="11" t="n">
        <v>13.6188036546702</v>
      </c>
      <c r="BV47" s="11" t="n">
        <v>9.22888830315173</v>
      </c>
      <c r="BW47" s="11" t="n">
        <v>12.3204522239071</v>
      </c>
      <c r="BX47" s="11" t="n">
        <v>4.59208774620019</v>
      </c>
      <c r="BY47" s="11" t="n">
        <v>5.44136159478232</v>
      </c>
      <c r="BZ47" s="11" t="n">
        <v>0.5703125</v>
      </c>
      <c r="CA47" s="11" t="n">
        <v>0.917808219178082</v>
      </c>
      <c r="CB47" s="11" t="n">
        <v>0.191780821917808</v>
      </c>
      <c r="CC47" s="11" t="n">
        <v>0.219178082191781</v>
      </c>
      <c r="CD47" s="11" t="n">
        <v>0.383561643835616</v>
      </c>
      <c r="CE47" s="11" t="n">
        <v>0.5703125</v>
      </c>
      <c r="CF47" s="11" t="n">
        <v>5</v>
      </c>
      <c r="CG47" s="11" t="n">
        <v>0</v>
      </c>
      <c r="CH47" s="11" t="n">
        <v>0.917808219178082</v>
      </c>
      <c r="CI47" s="11" t="n">
        <v>0.219178082191781</v>
      </c>
      <c r="CJ47" s="11" t="n">
        <v>0.383561643835616</v>
      </c>
      <c r="CK47" s="11" t="n">
        <v>0.272727272727273</v>
      </c>
      <c r="CL47" s="11" t="n">
        <v>0.163636363636364</v>
      </c>
      <c r="CM47" s="11" t="n">
        <v>0.236363636363636</v>
      </c>
      <c r="CN47" s="11" t="n">
        <v>0.272727272727273</v>
      </c>
      <c r="CO47" s="11" t="n">
        <v>0</v>
      </c>
      <c r="CP47" s="11" t="n">
        <v>0</v>
      </c>
      <c r="CQ47" s="11" t="n">
        <v>0</v>
      </c>
      <c r="CR47" s="11" t="n">
        <v>0</v>
      </c>
      <c r="CS47" s="11" t="n">
        <v>0.384615384615385</v>
      </c>
      <c r="CT47" s="11" t="n">
        <v>0.230769230769231</v>
      </c>
      <c r="CU47" s="11" t="n">
        <v>0.333333333333333</v>
      </c>
      <c r="CV47" s="11" t="n">
        <v>0.384615384615385</v>
      </c>
      <c r="CW47" s="11" t="n">
        <v>0.0958904109589041</v>
      </c>
      <c r="CX47" s="11" t="n">
        <v>0</v>
      </c>
      <c r="CY47" s="11" t="n">
        <v>-0.01877796089466</v>
      </c>
      <c r="CZ47" s="11" t="n">
        <v>-0.121324125566828</v>
      </c>
      <c r="DA47" s="11" t="n">
        <v>10.2186433159239</v>
      </c>
      <c r="DB47" s="11" t="n">
        <v>-0.0754811148554182</v>
      </c>
      <c r="DC47" s="11" t="n">
        <v>20.7798629346351</v>
      </c>
      <c r="DD47" s="11" t="n">
        <v>0.271694770328553</v>
      </c>
      <c r="DE47" s="11" t="n">
        <v>0.421875</v>
      </c>
      <c r="DF47" s="11" t="n">
        <v>-0.0714228627875326</v>
      </c>
      <c r="DG47" s="11" t="n">
        <v>-0.0712017559704376</v>
      </c>
      <c r="DH47" s="11" t="n">
        <v>-0.0221106817094988</v>
      </c>
      <c r="DI47" s="11" t="n">
        <v>169.72275762418</v>
      </c>
      <c r="DJ47" s="11" t="n">
        <v>105.274699326955</v>
      </c>
      <c r="DK47" s="11" t="n">
        <v>9.38404150994064</v>
      </c>
      <c r="DL47" s="11" t="n">
        <v>49.05</v>
      </c>
      <c r="DM47" s="11" t="n">
        <v>0.3125</v>
      </c>
      <c r="DN47" s="11" t="n">
        <v>0.140625</v>
      </c>
      <c r="DO47" s="11" t="n">
        <v>-0.00937908089137146</v>
      </c>
      <c r="DP47" s="11" t="n">
        <v>0</v>
      </c>
      <c r="DQ47" s="11" t="n">
        <v>0.1796875</v>
      </c>
      <c r="DR47" s="11" t="n">
        <v>0.0859375</v>
      </c>
      <c r="DS47" s="11" t="n">
        <v>0.0390625</v>
      </c>
      <c r="DT47" s="11" t="n">
        <v>0</v>
      </c>
      <c r="DU47" s="11" t="n">
        <v>0</v>
      </c>
      <c r="DV47" s="11" t="n">
        <v>5</v>
      </c>
      <c r="DW47" s="11" t="s">
        <v>573</v>
      </c>
      <c r="DX47" s="11" t="n">
        <v>0.406307</v>
      </c>
      <c r="DY47" s="11" t="n">
        <v>0.00751748371684058</v>
      </c>
      <c r="DZ47" s="11" t="n">
        <v>0.805096516283159</v>
      </c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 t="n">
        <v>6.80981967003358</v>
      </c>
      <c r="EP47" s="11" t="n">
        <v>73.3704176035702</v>
      </c>
      <c r="EQ47" s="11" t="n">
        <v>1724.55492142726</v>
      </c>
      <c r="ER47" s="11" t="n">
        <v>4.35382795590175</v>
      </c>
      <c r="ES47" s="11" t="n">
        <v>4.35382795590175</v>
      </c>
      <c r="ET47" s="11" t="n">
        <v>2.38118851587942</v>
      </c>
      <c r="EU47" s="11" t="n">
        <v>44.0299346043058</v>
      </c>
      <c r="EV47" s="11" t="n">
        <v>44.0299346043058</v>
      </c>
      <c r="EW47" s="11" t="n">
        <v>482.589686040784</v>
      </c>
      <c r="EX47" s="11" t="n">
        <v>656.09801071063</v>
      </c>
      <c r="EY47" s="11" t="n">
        <v>1.84902869181133</v>
      </c>
      <c r="EZ47" s="11" t="n">
        <v>0.582103954738962</v>
      </c>
      <c r="FA47" s="11" t="n">
        <v>0.0493476809814938</v>
      </c>
      <c r="FB47" s="11" t="n">
        <v>0.9453125</v>
      </c>
      <c r="FC47" s="11" t="n">
        <v>0</v>
      </c>
      <c r="FD47" s="11" t="n">
        <v>0</v>
      </c>
      <c r="FE47" s="11" t="s">
        <v>574</v>
      </c>
      <c r="FF47" s="11" t="s">
        <v>309</v>
      </c>
      <c r="FG47" s="11" t="n">
        <v>128</v>
      </c>
      <c r="FH47" s="11" t="s">
        <v>575</v>
      </c>
      <c r="FI47" s="11" t="s">
        <v>59</v>
      </c>
      <c r="FJ47" s="11" t="n">
        <v>0.2</v>
      </c>
      <c r="FK47" s="11" t="n">
        <v>0.187507794289824</v>
      </c>
      <c r="FL47" s="11" t="n">
        <v>0.103072843535672</v>
      </c>
      <c r="FM47" s="11" t="n">
        <v>0</v>
      </c>
      <c r="FN47" s="11" t="n">
        <v>1</v>
      </c>
      <c r="FO47" s="11" t="n">
        <v>0.786798369302915</v>
      </c>
      <c r="FP47" s="11" t="n">
        <v>0.532392167283289</v>
      </c>
      <c r="FQ47" s="11" t="n">
        <v>0.216796875</v>
      </c>
      <c r="FR47" s="11" t="n">
        <v>0</v>
      </c>
      <c r="FS47" s="11" t="n">
        <v>0.783826595634385</v>
      </c>
      <c r="FT47" s="11" t="n">
        <v>0.530915533666157</v>
      </c>
      <c r="FU47" s="11" t="n">
        <v>1</v>
      </c>
      <c r="FV47" s="11" t="n">
        <v>11.6431957434595</v>
      </c>
      <c r="FW47" s="11" t="n">
        <v>317.912713739849</v>
      </c>
      <c r="FX47" s="11" t="n">
        <v>0.0370949085308541</v>
      </c>
      <c r="FY47" s="11" t="n">
        <v>1</v>
      </c>
      <c r="FZ47" s="11" t="n">
        <v>39</v>
      </c>
      <c r="GA47" s="11" t="n">
        <v>1</v>
      </c>
      <c r="GB47" s="11" t="s">
        <v>576</v>
      </c>
      <c r="GC47" s="11" t="n">
        <v>0.952566623687744</v>
      </c>
      <c r="GD47" s="11" t="n">
        <v>0.953125</v>
      </c>
      <c r="GE47" s="11" t="n">
        <v>0.953125</v>
      </c>
      <c r="GF47" s="11" t="n">
        <v>0.953125</v>
      </c>
      <c r="GG47" s="11" t="n">
        <v>0</v>
      </c>
      <c r="GH47" s="11" t="n">
        <v>0</v>
      </c>
      <c r="GI47" s="11" t="n">
        <v>0.0974047776526277</v>
      </c>
      <c r="GJ47" s="11" t="n">
        <v>0.10638576868223</v>
      </c>
      <c r="GK47" s="11" t="n">
        <v>0.10479143515289</v>
      </c>
      <c r="GL47" s="11" t="n">
        <v>0.107418498431798</v>
      </c>
      <c r="GM47" s="11" t="n">
        <v>5.13692714956271E-005</v>
      </c>
      <c r="GN47" s="11" t="n">
        <v>0</v>
      </c>
      <c r="GO47" s="11" t="n">
        <v>0.953125</v>
      </c>
      <c r="GP47" s="11" t="n">
        <v>0.953125</v>
      </c>
      <c r="GQ47" s="11" t="n">
        <v>-0.0452286265790463</v>
      </c>
      <c r="GR47" s="11" t="n">
        <v>1</v>
      </c>
      <c r="GS47" s="11" t="n">
        <v>1</v>
      </c>
      <c r="GT47" s="11" t="n">
        <v>0</v>
      </c>
      <c r="GU47" s="11" t="n">
        <v>0</v>
      </c>
      <c r="GV47" s="11" t="n">
        <v>1</v>
      </c>
      <c r="GW47" s="11" t="n">
        <v>1</v>
      </c>
      <c r="GX47" s="11" t="n">
        <v>1</v>
      </c>
      <c r="GY47" s="11" t="n">
        <v>0</v>
      </c>
      <c r="GZ47" s="11" t="n">
        <v>0</v>
      </c>
      <c r="HA47" s="11" t="n">
        <v>1</v>
      </c>
      <c r="HB47" s="11" t="n">
        <v>1</v>
      </c>
      <c r="HC47" s="11" t="n">
        <v>1</v>
      </c>
      <c r="HD47" s="11" t="n">
        <v>1</v>
      </c>
      <c r="HE47" s="11" t="n">
        <v>1</v>
      </c>
      <c r="HF47" s="11" t="n">
        <v>1</v>
      </c>
      <c r="HG47" s="11" t="n">
        <v>1</v>
      </c>
      <c r="HH47" s="11" t="n">
        <v>0</v>
      </c>
      <c r="HI47" s="11" t="n">
        <v>0</v>
      </c>
      <c r="HJ47" s="11" t="n">
        <v>0</v>
      </c>
      <c r="HK47" s="11" t="s">
        <v>913</v>
      </c>
      <c r="HL47" s="11" t="s">
        <v>577</v>
      </c>
      <c r="HM47" s="11" t="n">
        <v>1</v>
      </c>
      <c r="HN47" s="11" t="s">
        <v>10</v>
      </c>
      <c r="HO47" s="11" t="s">
        <v>578</v>
      </c>
      <c r="HP47" s="11" t="s">
        <v>578</v>
      </c>
      <c r="HQ47" s="11" t="n">
        <v>0</v>
      </c>
      <c r="HR47" s="11" t="s">
        <v>204</v>
      </c>
      <c r="HS47" s="11" t="s">
        <v>579</v>
      </c>
      <c r="HT47" s="11" t="s">
        <v>579</v>
      </c>
      <c r="HU47" s="11" t="s">
        <v>914</v>
      </c>
      <c r="HV47" s="11" t="s">
        <v>914</v>
      </c>
      <c r="HW47" s="11" t="s">
        <v>915</v>
      </c>
      <c r="HX47" s="11" t="s">
        <v>916</v>
      </c>
      <c r="HY47" s="11" t="s">
        <v>583</v>
      </c>
      <c r="HZ47" s="11" t="s">
        <v>917</v>
      </c>
      <c r="IA47" s="11" t="s">
        <v>911</v>
      </c>
      <c r="IB47" s="11" t="s">
        <v>918</v>
      </c>
      <c r="IC47" s="11" t="s">
        <v>309</v>
      </c>
      <c r="ID47" s="11" t="s">
        <v>919</v>
      </c>
      <c r="IE47" s="11"/>
      <c r="IF47" s="11"/>
      <c r="IG47" s="11"/>
      <c r="IH47" s="11"/>
    </row>
    <row r="48" customFormat="false" ht="15" hidden="false" customHeight="false" outlineLevel="0" collapsed="false">
      <c r="A48" s="11" t="s">
        <v>105</v>
      </c>
      <c r="B48" s="11" t="s">
        <v>920</v>
      </c>
      <c r="C48" s="11" t="s">
        <v>588</v>
      </c>
      <c r="D48" s="11" t="s">
        <v>570</v>
      </c>
      <c r="E48" s="11" t="s">
        <v>51</v>
      </c>
      <c r="F48" s="11"/>
      <c r="G48" s="11"/>
      <c r="H48" s="11" t="s">
        <v>921</v>
      </c>
      <c r="I48" s="11" t="s">
        <v>308</v>
      </c>
      <c r="J48" s="11" t="n">
        <v>128</v>
      </c>
      <c r="K48" s="11" t="n">
        <v>4.26666666666667</v>
      </c>
      <c r="L48" s="11" t="n">
        <v>0.756172120571137</v>
      </c>
      <c r="M48" s="11" t="n">
        <v>0.808770716190338</v>
      </c>
      <c r="N48" s="11" t="n">
        <v>0</v>
      </c>
      <c r="O48" s="11" t="n">
        <v>1.83848394050914</v>
      </c>
      <c r="P48" s="11" t="n">
        <v>1.83225531021447</v>
      </c>
      <c r="Q48" s="11" t="n">
        <v>0.340826868649023</v>
      </c>
      <c r="R48" s="11" t="n">
        <v>0.4765625</v>
      </c>
      <c r="S48" s="11" t="n">
        <v>0.328125</v>
      </c>
      <c r="T48" s="11" t="n">
        <v>0.0625</v>
      </c>
      <c r="U48" s="11" t="n">
        <v>0.015625</v>
      </c>
      <c r="V48" s="11" t="n">
        <v>0</v>
      </c>
      <c r="W48" s="11" t="n">
        <v>0.484375</v>
      </c>
      <c r="X48" s="11" t="n">
        <v>0.2734375</v>
      </c>
      <c r="Y48" s="11" t="n">
        <v>0.328125</v>
      </c>
      <c r="Z48" s="11" t="n">
        <v>0.390625</v>
      </c>
      <c r="AA48" s="11" t="n">
        <v>0.15625</v>
      </c>
      <c r="AB48" s="11" t="n">
        <v>0.09375</v>
      </c>
      <c r="AC48" s="11" t="n">
        <v>-0.00272335027110221</v>
      </c>
      <c r="AD48" s="11" t="n">
        <v>-0.00904587566892233</v>
      </c>
      <c r="AE48" s="11" t="n">
        <v>0.48</v>
      </c>
      <c r="AF48" s="11" t="n">
        <v>0.386666666666667</v>
      </c>
      <c r="AG48" s="11" t="n">
        <v>0.226666666666667</v>
      </c>
      <c r="AH48" s="11" t="n">
        <v>0.2109375</v>
      </c>
      <c r="AI48" s="11" t="n">
        <v>0.15625</v>
      </c>
      <c r="AJ48" s="11" t="n">
        <v>0.09375</v>
      </c>
      <c r="AK48" s="11" t="n">
        <v>0.429169311942593</v>
      </c>
      <c r="AL48" s="11" t="n">
        <v>0</v>
      </c>
      <c r="AM48" s="11" t="n">
        <v>0</v>
      </c>
      <c r="AN48" s="11" t="n">
        <v>0</v>
      </c>
      <c r="AO48" s="11"/>
      <c r="AP48" s="11"/>
      <c r="AQ48" s="11"/>
      <c r="AR48" s="11" t="n">
        <v>0</v>
      </c>
      <c r="AS48" s="11" t="n">
        <v>0</v>
      </c>
      <c r="AT48" s="11" t="n">
        <v>0</v>
      </c>
      <c r="AU48" s="11" t="n">
        <v>0</v>
      </c>
      <c r="AV48" s="11" t="n">
        <v>0</v>
      </c>
      <c r="AW48" s="11" t="n">
        <v>0</v>
      </c>
      <c r="AX48" s="11" t="n">
        <v>0</v>
      </c>
      <c r="AY48" s="11" t="n">
        <v>0.00890013625900744</v>
      </c>
      <c r="AZ48" s="11" t="n">
        <v>0.0254158440290803</v>
      </c>
      <c r="BA48" s="11"/>
      <c r="BB48" s="11" t="n">
        <v>0.078125</v>
      </c>
      <c r="BC48" s="11" t="n">
        <v>0.6171875</v>
      </c>
      <c r="BD48" s="11" t="n">
        <v>0.1640625</v>
      </c>
      <c r="BE48" s="11" t="n">
        <v>0.625</v>
      </c>
      <c r="BF48" s="11" t="n">
        <v>0.3515625</v>
      </c>
      <c r="BG48" s="11" t="n">
        <v>0.65625</v>
      </c>
      <c r="BH48" s="11" t="n">
        <v>0.5625</v>
      </c>
      <c r="BI48" s="11" t="n">
        <v>0.84375</v>
      </c>
      <c r="BJ48" s="11" t="n">
        <v>0.141224932825457</v>
      </c>
      <c r="BK48" s="11" t="n">
        <v>0.0592479084817987</v>
      </c>
      <c r="BL48" s="11" t="n">
        <v>0.125361990111528</v>
      </c>
      <c r="BM48" s="11" t="n">
        <v>0.0349730515259474</v>
      </c>
      <c r="BN48" s="11" t="n">
        <v>0.489153371484497</v>
      </c>
      <c r="BO48" s="11" t="n">
        <v>0.155777560461692</v>
      </c>
      <c r="BP48" s="11" t="n">
        <v>0.0145594452822074</v>
      </c>
      <c r="BQ48" s="11" t="n">
        <v>0.00404505931272364</v>
      </c>
      <c r="BR48" s="11" t="n">
        <v>3.77852955648552</v>
      </c>
      <c r="BS48" s="11" t="n">
        <v>15.1309370909212</v>
      </c>
      <c r="BT48" s="11" t="n">
        <v>17.5061503257773</v>
      </c>
      <c r="BU48" s="11" t="n">
        <v>14.1224932825457</v>
      </c>
      <c r="BV48" s="11" t="n">
        <v>7.18271294319959</v>
      </c>
      <c r="BW48" s="11" t="n">
        <v>11.4216628924731</v>
      </c>
      <c r="BX48" s="11" t="n">
        <v>3.95745603356473</v>
      </c>
      <c r="BY48" s="11" t="n">
        <v>5.17857624980683</v>
      </c>
      <c r="BZ48" s="11" t="n">
        <v>0.5703125</v>
      </c>
      <c r="CA48" s="11" t="n">
        <v>0.794520547945205</v>
      </c>
      <c r="CB48" s="11" t="n">
        <v>0.479452054794521</v>
      </c>
      <c r="CC48" s="11" t="n">
        <v>0.547945205479452</v>
      </c>
      <c r="CD48" s="11" t="n">
        <v>0.63013698630137</v>
      </c>
      <c r="CE48" s="11" t="n">
        <v>0.5703125</v>
      </c>
      <c r="CF48" s="11" t="n">
        <v>5</v>
      </c>
      <c r="CG48" s="11" t="n">
        <v>0</v>
      </c>
      <c r="CH48" s="11" t="n">
        <v>0.794520547945205</v>
      </c>
      <c r="CI48" s="11" t="n">
        <v>0.547945205479452</v>
      </c>
      <c r="CJ48" s="11" t="n">
        <v>0.63013698630137</v>
      </c>
      <c r="CK48" s="11" t="n">
        <v>0.0727272727272727</v>
      </c>
      <c r="CL48" s="11" t="n">
        <v>0</v>
      </c>
      <c r="CM48" s="11" t="n">
        <v>0.0363636363636364</v>
      </c>
      <c r="CN48" s="11" t="n">
        <v>0.0727272727272727</v>
      </c>
      <c r="CO48" s="11" t="n">
        <v>0</v>
      </c>
      <c r="CP48" s="11" t="n">
        <v>0</v>
      </c>
      <c r="CQ48" s="11" t="n">
        <v>0</v>
      </c>
      <c r="CR48" s="11" t="n">
        <v>0</v>
      </c>
      <c r="CS48" s="11" t="n">
        <v>0.102564102564103</v>
      </c>
      <c r="CT48" s="11" t="n">
        <v>0</v>
      </c>
      <c r="CU48" s="11" t="n">
        <v>0.0512820512820513</v>
      </c>
      <c r="CV48" s="11" t="n">
        <v>0.102564102564103</v>
      </c>
      <c r="CW48" s="11" t="n">
        <v>0.10958904109589</v>
      </c>
      <c r="CX48" s="11" t="n">
        <v>0.0273972602739726</v>
      </c>
      <c r="CY48" s="11" t="n">
        <v>0.0135139166887121</v>
      </c>
      <c r="CZ48" s="11" t="n">
        <v>-0.0490672232387472</v>
      </c>
      <c r="DA48" s="11" t="n">
        <v>9.86711390764411</v>
      </c>
      <c r="DB48" s="11" t="n">
        <v>-0.00484384406173931</v>
      </c>
      <c r="DC48" s="11" t="n">
        <v>18.2196255498864</v>
      </c>
      <c r="DD48" s="11" t="n">
        <v>0.237365883040482</v>
      </c>
      <c r="DE48" s="11" t="n">
        <v>0.421875</v>
      </c>
      <c r="DF48" s="11" t="n">
        <v>-0.00375739392949031</v>
      </c>
      <c r="DG48" s="11" t="n">
        <v>-0.00914870569987559</v>
      </c>
      <c r="DH48" s="11" t="n">
        <v>0.539131177038528</v>
      </c>
      <c r="DI48" s="11" t="n">
        <v>143.025130953224</v>
      </c>
      <c r="DJ48" s="11" t="n">
        <v>73.5234797821531</v>
      </c>
      <c r="DK48" s="11" t="n">
        <v>9.02711659550025</v>
      </c>
      <c r="DL48" s="11" t="n">
        <v>49.05</v>
      </c>
      <c r="DM48" s="11" t="n">
        <v>0.3125</v>
      </c>
      <c r="DN48" s="11" t="n">
        <v>0.140625</v>
      </c>
      <c r="DO48" s="11" t="n">
        <v>-0.00937908089137146</v>
      </c>
      <c r="DP48" s="11" t="n">
        <v>0</v>
      </c>
      <c r="DQ48" s="11" t="n">
        <v>0.0234375</v>
      </c>
      <c r="DR48" s="11" t="n">
        <v>0</v>
      </c>
      <c r="DS48" s="11" t="n">
        <v>0</v>
      </c>
      <c r="DT48" s="11" t="n">
        <v>0</v>
      </c>
      <c r="DU48" s="11" t="n">
        <v>0</v>
      </c>
      <c r="DV48" s="11" t="n">
        <v>5</v>
      </c>
      <c r="DW48" s="11" t="s">
        <v>573</v>
      </c>
      <c r="DX48" s="11" t="n">
        <v>0.406307</v>
      </c>
      <c r="DY48" s="11" t="n">
        <v>0.00751748371684058</v>
      </c>
      <c r="DZ48" s="11" t="n">
        <v>0.805096516283159</v>
      </c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 t="n">
        <v>7.38701265537481</v>
      </c>
      <c r="EP48" s="11" t="n">
        <v>85.4787271197958</v>
      </c>
      <c r="EQ48" s="11" t="n">
        <v>1859.03421673788</v>
      </c>
      <c r="ER48" s="11" t="n">
        <v>4.26605980322911</v>
      </c>
      <c r="ES48" s="11" t="n">
        <v>4.26605980322911</v>
      </c>
      <c r="ET48" s="11" t="n">
        <v>2.23420380219566</v>
      </c>
      <c r="EU48" s="11" t="n">
        <v>63.1607820177401</v>
      </c>
      <c r="EV48" s="11" t="n">
        <v>63.1607820177401</v>
      </c>
      <c r="EW48" s="11" t="n">
        <v>536.962329418326</v>
      </c>
      <c r="EX48" s="11" t="n">
        <v>608.290617019405</v>
      </c>
      <c r="EY48" s="11" t="n">
        <v>1.52447213169895</v>
      </c>
      <c r="EZ48" s="11" t="n">
        <v>0.326326974080101</v>
      </c>
      <c r="FA48" s="11" t="n">
        <v>0.0497264659112358</v>
      </c>
      <c r="FB48" s="11" t="n">
        <v>0.8984375</v>
      </c>
      <c r="FC48" s="11" t="n">
        <v>0</v>
      </c>
      <c r="FD48" s="11" t="n">
        <v>0</v>
      </c>
      <c r="FE48" s="11" t="s">
        <v>574</v>
      </c>
      <c r="FF48" s="11" t="s">
        <v>309</v>
      </c>
      <c r="FG48" s="11" t="n">
        <v>128</v>
      </c>
      <c r="FH48" s="11" t="s">
        <v>575</v>
      </c>
      <c r="FI48" s="11" t="s">
        <v>59</v>
      </c>
      <c r="FJ48" s="11" t="n">
        <v>0.2</v>
      </c>
      <c r="FK48" s="11" t="n">
        <v>0.148118991445715</v>
      </c>
      <c r="FL48" s="11" t="n">
        <v>0.106432636522414</v>
      </c>
      <c r="FM48" s="11" t="n">
        <v>0</v>
      </c>
      <c r="FN48" s="11" t="n">
        <v>1</v>
      </c>
      <c r="FO48" s="11" t="n">
        <v>0.856212947101087</v>
      </c>
      <c r="FP48" s="11" t="n">
        <v>0.618625760768207</v>
      </c>
      <c r="FQ48" s="11" t="n">
        <v>0.208984375</v>
      </c>
      <c r="FR48" s="11" t="n">
        <v>0</v>
      </c>
      <c r="FS48" s="11" t="n">
        <v>0.853720089055718</v>
      </c>
      <c r="FT48" s="11" t="n">
        <v>0.617284197233634</v>
      </c>
      <c r="FU48" s="11" t="n">
        <v>1</v>
      </c>
      <c r="FV48" s="11" t="n">
        <v>10.0232708990548</v>
      </c>
      <c r="FW48" s="11" t="n">
        <v>281.477650316889</v>
      </c>
      <c r="FX48" s="11" t="n">
        <v>0.0341860074129487</v>
      </c>
      <c r="FY48" s="11" t="n">
        <v>1</v>
      </c>
      <c r="FZ48" s="11" t="n">
        <v>39</v>
      </c>
      <c r="GA48" s="11" t="n">
        <v>1</v>
      </c>
      <c r="GB48" s="11" t="s">
        <v>576</v>
      </c>
      <c r="GC48" s="11" t="n">
        <v>0.944445610046387</v>
      </c>
      <c r="GD48" s="11" t="n">
        <v>0.952377319335938</v>
      </c>
      <c r="GE48" s="11" t="n">
        <v>0.953124999985448</v>
      </c>
      <c r="GF48" s="11" t="n">
        <v>0.953125</v>
      </c>
      <c r="GG48" s="11" t="n">
        <v>0</v>
      </c>
      <c r="GH48" s="11" t="n">
        <v>0</v>
      </c>
      <c r="GI48" s="11" t="n">
        <v>0.0912933261117814</v>
      </c>
      <c r="GJ48" s="11" t="n">
        <v>0.105491227412131</v>
      </c>
      <c r="GK48" s="11" t="n">
        <v>0.102610626112089</v>
      </c>
      <c r="GL48" s="11" t="n">
        <v>0.108272647453305</v>
      </c>
      <c r="GM48" s="11" t="n">
        <v>0.00156204408089833</v>
      </c>
      <c r="GN48" s="11" t="n">
        <v>0.000101884206515024</v>
      </c>
      <c r="GO48" s="11" t="n">
        <v>0.952880859375</v>
      </c>
      <c r="GP48" s="11" t="n">
        <v>0.953125</v>
      </c>
      <c r="GQ48" s="11" t="n">
        <v>-0.0443254970014095</v>
      </c>
      <c r="GR48" s="11" t="n">
        <v>1</v>
      </c>
      <c r="GS48" s="11" t="n">
        <v>1</v>
      </c>
      <c r="GT48" s="11" t="n">
        <v>0</v>
      </c>
      <c r="GU48" s="11" t="n">
        <v>0</v>
      </c>
      <c r="GV48" s="11" t="n">
        <v>1</v>
      </c>
      <c r="GW48" s="11" t="n">
        <v>1</v>
      </c>
      <c r="GX48" s="11" t="n">
        <v>1</v>
      </c>
      <c r="GY48" s="11" t="n">
        <v>1</v>
      </c>
      <c r="GZ48" s="11" t="n">
        <v>1</v>
      </c>
      <c r="HA48" s="11" t="n">
        <v>1</v>
      </c>
      <c r="HB48" s="11" t="n">
        <v>1</v>
      </c>
      <c r="HC48" s="11" t="n">
        <v>1</v>
      </c>
      <c r="HD48" s="11" t="n">
        <v>1</v>
      </c>
      <c r="HE48" s="11" t="n">
        <v>1</v>
      </c>
      <c r="HF48" s="11" t="n">
        <v>1</v>
      </c>
      <c r="HG48" s="11" t="n">
        <v>1</v>
      </c>
      <c r="HH48" s="11" t="n">
        <v>1</v>
      </c>
      <c r="HI48" s="11" t="n">
        <v>1</v>
      </c>
      <c r="HJ48" s="11" t="n">
        <v>1</v>
      </c>
      <c r="HK48" s="11"/>
      <c r="HL48" s="11" t="s">
        <v>577</v>
      </c>
      <c r="HM48" s="11" t="n">
        <v>1</v>
      </c>
      <c r="HN48" s="11" t="s">
        <v>591</v>
      </c>
      <c r="HO48" s="11" t="s">
        <v>578</v>
      </c>
      <c r="HP48" s="11" t="s">
        <v>578</v>
      </c>
      <c r="HQ48" s="11" t="n">
        <v>0</v>
      </c>
      <c r="HR48" s="11" t="s">
        <v>204</v>
      </c>
      <c r="HS48" s="11" t="s">
        <v>300</v>
      </c>
      <c r="HT48" s="11" t="s">
        <v>300</v>
      </c>
      <c r="HU48" s="11" t="s">
        <v>922</v>
      </c>
      <c r="HV48" s="11" t="s">
        <v>922</v>
      </c>
      <c r="HW48" s="11" t="s">
        <v>923</v>
      </c>
      <c r="HX48" s="11" t="s">
        <v>916</v>
      </c>
      <c r="HY48" s="11" t="s">
        <v>583</v>
      </c>
      <c r="HZ48" s="11" t="s">
        <v>924</v>
      </c>
      <c r="IA48" s="11" t="s">
        <v>921</v>
      </c>
      <c r="IB48" s="11" t="s">
        <v>925</v>
      </c>
      <c r="IC48" s="11" t="s">
        <v>309</v>
      </c>
      <c r="ID48" s="11" t="s">
        <v>919</v>
      </c>
      <c r="IE48" s="11"/>
      <c r="IF48" s="11"/>
      <c r="IG48" s="11"/>
      <c r="IH48" s="11"/>
    </row>
    <row r="49" customFormat="false" ht="15" hidden="false" customHeight="false" outlineLevel="0" collapsed="false">
      <c r="A49" s="11" t="s">
        <v>106</v>
      </c>
      <c r="B49" s="11" t="s">
        <v>926</v>
      </c>
      <c r="C49" s="11" t="s">
        <v>569</v>
      </c>
      <c r="D49" s="11" t="s">
        <v>570</v>
      </c>
      <c r="E49" s="11" t="s">
        <v>51</v>
      </c>
      <c r="F49" s="11"/>
      <c r="G49" s="11"/>
      <c r="H49" s="11" t="s">
        <v>927</v>
      </c>
      <c r="I49" s="11" t="s">
        <v>928</v>
      </c>
      <c r="J49" s="11" t="n">
        <v>122</v>
      </c>
      <c r="K49" s="11" t="n">
        <v>4.06666666666667</v>
      </c>
      <c r="L49" s="11" t="n">
        <v>0.730612516403198</v>
      </c>
      <c r="M49" s="11" t="n">
        <v>0.81600296497345</v>
      </c>
      <c r="N49" s="11" t="n">
        <v>0</v>
      </c>
      <c r="O49" s="11" t="n">
        <v>0.792790203384886</v>
      </c>
      <c r="P49" s="11" t="n">
        <v>0.744502177748063</v>
      </c>
      <c r="Q49" s="11" t="n">
        <v>0.119146778789488</v>
      </c>
      <c r="R49" s="11" t="n">
        <v>0.663934426229508</v>
      </c>
      <c r="S49" s="11" t="n">
        <v>0.336065573770492</v>
      </c>
      <c r="T49" s="11" t="n">
        <v>0.0409836065573771</v>
      </c>
      <c r="U49" s="11" t="n">
        <v>0</v>
      </c>
      <c r="V49" s="11" t="n">
        <v>0</v>
      </c>
      <c r="W49" s="11" t="n">
        <v>0.336065573770492</v>
      </c>
      <c r="X49" s="11" t="n">
        <v>0.131147540983607</v>
      </c>
      <c r="Y49" s="11" t="n">
        <v>0.131147540983607</v>
      </c>
      <c r="Z49" s="11" t="n">
        <v>0.131147540983607</v>
      </c>
      <c r="AA49" s="11" t="n">
        <v>0.204918032786885</v>
      </c>
      <c r="AB49" s="11" t="n">
        <v>0.204918032786885</v>
      </c>
      <c r="AC49" s="11" t="n">
        <v>-0.00559773997853486</v>
      </c>
      <c r="AD49" s="11" t="n">
        <v>-0.0119767039212532</v>
      </c>
      <c r="AE49" s="11" t="n">
        <v>0.69811320754717</v>
      </c>
      <c r="AF49" s="11" t="n">
        <v>0.679245283018868</v>
      </c>
      <c r="AG49" s="11" t="n">
        <v>0.622641509433962</v>
      </c>
      <c r="AH49" s="11" t="n">
        <v>0.204918032786885</v>
      </c>
      <c r="AI49" s="11" t="n">
        <v>0.204918032786885</v>
      </c>
      <c r="AJ49" s="11" t="n">
        <v>0.204918032786885</v>
      </c>
      <c r="AK49" s="11" t="n">
        <v>0.383834127795977</v>
      </c>
      <c r="AL49" s="11" t="n">
        <v>0</v>
      </c>
      <c r="AM49" s="11" t="n">
        <v>0</v>
      </c>
      <c r="AN49" s="11" t="n">
        <v>0</v>
      </c>
      <c r="AO49" s="11"/>
      <c r="AP49" s="11"/>
      <c r="AQ49" s="11"/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0.00356822268895984</v>
      </c>
      <c r="AZ49" s="11" t="n">
        <v>0.017848481099854</v>
      </c>
      <c r="BA49" s="11"/>
      <c r="BB49" s="11" t="n">
        <v>0.213114754098361</v>
      </c>
      <c r="BC49" s="11" t="n">
        <v>0.508196721311475</v>
      </c>
      <c r="BD49" s="11" t="n">
        <v>0.229508196721311</v>
      </c>
      <c r="BE49" s="11" t="n">
        <v>0.524590163934426</v>
      </c>
      <c r="BF49" s="11" t="n">
        <v>0.426229508196721</v>
      </c>
      <c r="BG49" s="11" t="n">
        <v>0.532786885245902</v>
      </c>
      <c r="BH49" s="11" t="n">
        <v>0.491803278688525</v>
      </c>
      <c r="BI49" s="11" t="n">
        <v>0.532786885245902</v>
      </c>
      <c r="BJ49" s="11" t="n">
        <v>0.130813984538942</v>
      </c>
      <c r="BK49" s="11" t="n">
        <v>0.0725485433784437</v>
      </c>
      <c r="BL49" s="11" t="n">
        <v>0.152835138746541</v>
      </c>
      <c r="BM49" s="11" t="n">
        <v>0.0294729582371917</v>
      </c>
      <c r="BN49" s="11" t="n">
        <v>0.535612699881276</v>
      </c>
      <c r="BO49" s="11" t="n">
        <v>0.222184006488358</v>
      </c>
      <c r="BP49" s="11" t="n">
        <v>0.0149116046839974</v>
      </c>
      <c r="BQ49" s="11" t="n">
        <v>0.00524217295289333</v>
      </c>
      <c r="BR49" s="11" t="n">
        <v>4.08507364592877</v>
      </c>
      <c r="BS49" s="11" t="n">
        <v>13.2711510512566</v>
      </c>
      <c r="BT49" s="11" t="n">
        <v>20.7861803200823</v>
      </c>
      <c r="BU49" s="11" t="n">
        <v>13.0813984538942</v>
      </c>
      <c r="BV49" s="11" t="n">
        <v>8.75680841147241</v>
      </c>
      <c r="BW49" s="11" t="n">
        <v>9.49931793752653</v>
      </c>
      <c r="BX49" s="11" t="n">
        <v>5.00529277662524</v>
      </c>
      <c r="BY49" s="11" t="n">
        <v>5.88017859534121</v>
      </c>
      <c r="BZ49" s="11" t="n">
        <v>0.516393442622951</v>
      </c>
      <c r="CA49" s="11" t="n">
        <v>0.571428571428571</v>
      </c>
      <c r="CB49" s="11" t="n">
        <v>0.174603174603175</v>
      </c>
      <c r="CC49" s="11" t="n">
        <v>0.174603174603175</v>
      </c>
      <c r="CD49" s="11" t="n">
        <v>0.174603174603175</v>
      </c>
      <c r="CE49" s="11" t="n">
        <v>0.540983606557377</v>
      </c>
      <c r="CF49" s="11" t="n">
        <v>5</v>
      </c>
      <c r="CG49" s="11" t="n">
        <v>3</v>
      </c>
      <c r="CH49" s="11" t="n">
        <v>0.560606060606061</v>
      </c>
      <c r="CI49" s="11" t="n">
        <v>0.181818181818182</v>
      </c>
      <c r="CJ49" s="11" t="n">
        <v>0.181818181818182</v>
      </c>
      <c r="CK49" s="11" t="n">
        <v>0.0847457627118644</v>
      </c>
      <c r="CL49" s="11" t="n">
        <v>0.0847457627118644</v>
      </c>
      <c r="CM49" s="11" t="n">
        <v>0.0847457627118644</v>
      </c>
      <c r="CN49" s="11" t="n">
        <v>0.0847457627118644</v>
      </c>
      <c r="CO49" s="11" t="n">
        <v>0</v>
      </c>
      <c r="CP49" s="11" t="n">
        <v>0</v>
      </c>
      <c r="CQ49" s="11" t="n">
        <v>0</v>
      </c>
      <c r="CR49" s="11" t="n">
        <v>0</v>
      </c>
      <c r="CS49" s="11" t="n">
        <v>0.102564102564103</v>
      </c>
      <c r="CT49" s="11" t="n">
        <v>0.102564102564103</v>
      </c>
      <c r="CU49" s="11" t="n">
        <v>0.102564102564103</v>
      </c>
      <c r="CV49" s="11" t="n">
        <v>0.102564102564103</v>
      </c>
      <c r="CW49" s="11" t="n">
        <v>0.0793650793650794</v>
      </c>
      <c r="CX49" s="11" t="n">
        <v>0</v>
      </c>
      <c r="CY49" s="11" t="n">
        <v>-0.0350183227264739</v>
      </c>
      <c r="CZ49" s="11" t="n">
        <v>-0.140693433798993</v>
      </c>
      <c r="DA49" s="11" t="n">
        <v>6.85874956832674</v>
      </c>
      <c r="DB49" s="11" t="n">
        <v>-0.119684441215671</v>
      </c>
      <c r="DC49" s="11" t="n">
        <v>7.69843396165075</v>
      </c>
      <c r="DD49" s="11" t="n">
        <v>0.60855841333455</v>
      </c>
      <c r="DE49" s="11" t="n">
        <v>0.352459016393443</v>
      </c>
      <c r="DF49" s="11" t="n">
        <v>-0.103911710680139</v>
      </c>
      <c r="DG49" s="11" t="n">
        <v>-0.135178729966498</v>
      </c>
      <c r="DH49" s="11" t="n">
        <v>3.12670192863588</v>
      </c>
      <c r="DI49" s="11" t="n">
        <v>113.100731483086</v>
      </c>
      <c r="DJ49" s="11" t="n">
        <v>90.806227679761</v>
      </c>
      <c r="DK49" s="11" t="n">
        <v>11.3152108406252</v>
      </c>
      <c r="DL49" s="11" t="n">
        <v>49.05</v>
      </c>
      <c r="DM49" s="11" t="n">
        <v>0.565573770491803</v>
      </c>
      <c r="DN49" s="11" t="n">
        <v>0.549180327868853</v>
      </c>
      <c r="DO49" s="11" t="n">
        <v>-0.0138159530695061</v>
      </c>
      <c r="DP49" s="11" t="n">
        <v>0</v>
      </c>
      <c r="DQ49" s="11" t="n">
        <v>0.131147540983607</v>
      </c>
      <c r="DR49" s="11" t="n">
        <v>0.0163934426229508</v>
      </c>
      <c r="DS49" s="11" t="n">
        <v>0</v>
      </c>
      <c r="DT49" s="11" t="n">
        <v>0</v>
      </c>
      <c r="DU49" s="11" t="n">
        <v>0</v>
      </c>
      <c r="DV49" s="11" t="n">
        <v>5</v>
      </c>
      <c r="DW49" s="11" t="s">
        <v>573</v>
      </c>
      <c r="DX49" s="11" t="n">
        <v>0.406307</v>
      </c>
      <c r="DY49" s="11" t="n">
        <v>0.356497826208221</v>
      </c>
      <c r="DZ49" s="11" t="n">
        <v>0.456116173791779</v>
      </c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 t="n">
        <v>8.62283512317101</v>
      </c>
      <c r="EP49" s="11" t="n">
        <v>92.7333501124203</v>
      </c>
      <c r="EQ49" s="11" t="n">
        <v>2226.26161148368</v>
      </c>
      <c r="ER49" s="11" t="n">
        <v>3.70823600571152</v>
      </c>
      <c r="ES49" s="11" t="n">
        <v>3.70823600571152</v>
      </c>
      <c r="ET49" s="11" t="n">
        <v>2.86778692657499</v>
      </c>
      <c r="EU49" s="11" t="n">
        <v>60.4979748209881</v>
      </c>
      <c r="EV49" s="11" t="n">
        <v>60.4979748209881</v>
      </c>
      <c r="EW49" s="11" t="n">
        <v>638.983059267672</v>
      </c>
      <c r="EX49" s="11" t="n">
        <v>673.683093059819</v>
      </c>
      <c r="EY49" s="11" t="n">
        <v>1.06412610481599</v>
      </c>
      <c r="EZ49" s="11" t="n">
        <v>0.703132888298817</v>
      </c>
      <c r="FA49" s="11" t="n">
        <v>0.0498605019390095</v>
      </c>
      <c r="FB49" s="11" t="n">
        <v>0.918032786885246</v>
      </c>
      <c r="FC49" s="11" t="n">
        <v>0</v>
      </c>
      <c r="FD49" s="11" t="n">
        <v>0</v>
      </c>
      <c r="FE49" s="11" t="s">
        <v>574</v>
      </c>
      <c r="FF49" s="11" t="s">
        <v>314</v>
      </c>
      <c r="FG49" s="11" t="n">
        <v>122</v>
      </c>
      <c r="FH49" s="11" t="s">
        <v>575</v>
      </c>
      <c r="FI49" s="11" t="s">
        <v>59</v>
      </c>
      <c r="FJ49" s="11" t="n">
        <v>0.2</v>
      </c>
      <c r="FK49" s="11" t="n">
        <v>0.198048540333504</v>
      </c>
      <c r="FL49" s="11" t="n">
        <v>0.112887799446228</v>
      </c>
      <c r="FM49" s="11" t="n">
        <v>0</v>
      </c>
      <c r="FN49" s="11" t="n">
        <v>1</v>
      </c>
      <c r="FO49" s="11" t="n">
        <v>0.535958541982569</v>
      </c>
      <c r="FP49" s="11" t="n">
        <v>0.450651199957832</v>
      </c>
      <c r="FQ49" s="11" t="n">
        <v>0.120901639344262</v>
      </c>
      <c r="FR49" s="11" t="n">
        <v>0</v>
      </c>
      <c r="FS49" s="11" t="n">
        <v>0.53549409778745</v>
      </c>
      <c r="FT49" s="11" t="n">
        <v>0.449366494514465</v>
      </c>
      <c r="FU49" s="11" t="n">
        <v>1</v>
      </c>
      <c r="FV49" s="11" t="n">
        <v>12.371634282298</v>
      </c>
      <c r="FW49" s="11" t="n">
        <v>327.255752721664</v>
      </c>
      <c r="FX49" s="11" t="n">
        <v>0.0460620886136899</v>
      </c>
      <c r="FY49" s="11" t="n">
        <v>1</v>
      </c>
      <c r="FZ49" s="11" t="n">
        <v>39</v>
      </c>
      <c r="GA49" s="11" t="n">
        <v>1</v>
      </c>
      <c r="GB49" s="11" t="s">
        <v>576</v>
      </c>
      <c r="GC49" s="11" t="n">
        <v>0.940636806800717</v>
      </c>
      <c r="GD49" s="11" t="n">
        <v>0.950819672131147</v>
      </c>
      <c r="GE49" s="11" t="n">
        <v>0.950819672131147</v>
      </c>
      <c r="GF49" s="11" t="n">
        <v>0.950819672131147</v>
      </c>
      <c r="GG49" s="11" t="n">
        <v>0</v>
      </c>
      <c r="GH49" s="11" t="n">
        <v>0</v>
      </c>
      <c r="GI49" s="11" t="n">
        <v>0.0493696785773953</v>
      </c>
      <c r="GJ49" s="11" t="n">
        <v>0.0705469542595207</v>
      </c>
      <c r="GK49" s="11" t="n">
        <v>0.0651143793497767</v>
      </c>
      <c r="GL49" s="11" t="n">
        <v>0.0757230011990569</v>
      </c>
      <c r="GM49" s="11" t="n">
        <v>0.00087794843457474</v>
      </c>
      <c r="GN49" s="11" t="n">
        <v>0</v>
      </c>
      <c r="GO49" s="11" t="n">
        <v>0.950819672131147</v>
      </c>
      <c r="GP49" s="11" t="n">
        <v>0.950819672131147</v>
      </c>
      <c r="GQ49" s="11" t="n">
        <v>-0.0294229052960873</v>
      </c>
      <c r="GR49" s="11" t="n">
        <v>1</v>
      </c>
      <c r="GS49" s="11" t="n">
        <v>1</v>
      </c>
      <c r="GT49" s="11" t="n">
        <v>0</v>
      </c>
      <c r="GU49" s="11" t="n">
        <v>0</v>
      </c>
      <c r="GV49" s="11" t="n">
        <v>1</v>
      </c>
      <c r="GW49" s="11" t="n">
        <v>1</v>
      </c>
      <c r="GX49" s="11" t="n">
        <v>1</v>
      </c>
      <c r="GY49" s="11" t="n">
        <v>1</v>
      </c>
      <c r="GZ49" s="11" t="n">
        <v>1</v>
      </c>
      <c r="HA49" s="11" t="n">
        <v>1</v>
      </c>
      <c r="HB49" s="11" t="n">
        <v>1</v>
      </c>
      <c r="HC49" s="11" t="n">
        <v>1</v>
      </c>
      <c r="HD49" s="11" t="n">
        <v>1</v>
      </c>
      <c r="HE49" s="11" t="n">
        <v>0</v>
      </c>
      <c r="HF49" s="11" t="n">
        <v>1</v>
      </c>
      <c r="HG49" s="11" t="n">
        <v>1</v>
      </c>
      <c r="HH49" s="11" t="n">
        <v>1</v>
      </c>
      <c r="HI49" s="11" t="n">
        <v>0</v>
      </c>
      <c r="HJ49" s="11" t="n">
        <v>0</v>
      </c>
      <c r="HK49" s="11" t="s">
        <v>143</v>
      </c>
      <c r="HL49" s="11" t="s">
        <v>577</v>
      </c>
      <c r="HM49" s="11" t="n">
        <v>1</v>
      </c>
      <c r="HN49" s="11" t="s">
        <v>10</v>
      </c>
      <c r="HO49" s="11" t="s">
        <v>578</v>
      </c>
      <c r="HP49" s="11" t="s">
        <v>578</v>
      </c>
      <c r="HQ49" s="11" t="n">
        <v>0</v>
      </c>
      <c r="HR49" s="11" t="s">
        <v>189</v>
      </c>
      <c r="HS49" s="11" t="s">
        <v>579</v>
      </c>
      <c r="HT49" s="11" t="s">
        <v>579</v>
      </c>
      <c r="HU49" s="11" t="s">
        <v>929</v>
      </c>
      <c r="HV49" s="11" t="s">
        <v>929</v>
      </c>
      <c r="HW49" s="11" t="s">
        <v>930</v>
      </c>
      <c r="HX49" s="11" t="s">
        <v>931</v>
      </c>
      <c r="HY49" s="11" t="s">
        <v>583</v>
      </c>
      <c r="HZ49" s="11" t="s">
        <v>932</v>
      </c>
      <c r="IA49" s="11" t="s">
        <v>927</v>
      </c>
      <c r="IB49" s="11" t="s">
        <v>933</v>
      </c>
      <c r="IC49" s="11" t="s">
        <v>314</v>
      </c>
      <c r="ID49" s="11" t="s">
        <v>934</v>
      </c>
      <c r="IE49" s="11"/>
      <c r="IF49" s="11"/>
      <c r="IG49" s="11"/>
      <c r="IH49" s="11"/>
    </row>
    <row r="50" customFormat="false" ht="15" hidden="false" customHeight="false" outlineLevel="0" collapsed="false">
      <c r="A50" s="11" t="s">
        <v>106</v>
      </c>
      <c r="B50" s="11" t="s">
        <v>935</v>
      </c>
      <c r="C50" s="11" t="s">
        <v>588</v>
      </c>
      <c r="D50" s="11" t="s">
        <v>570</v>
      </c>
      <c r="E50" s="11" t="s">
        <v>51</v>
      </c>
      <c r="F50" s="11"/>
      <c r="G50" s="11"/>
      <c r="H50" s="11" t="s">
        <v>936</v>
      </c>
      <c r="I50" s="11" t="s">
        <v>313</v>
      </c>
      <c r="J50" s="11" t="n">
        <v>122</v>
      </c>
      <c r="K50" s="11" t="n">
        <v>4.06666666666667</v>
      </c>
      <c r="L50" s="11" t="n">
        <v>0.734769940376282</v>
      </c>
      <c r="M50" s="11" t="n">
        <v>0.817673206329346</v>
      </c>
      <c r="N50" s="11" t="n">
        <v>0</v>
      </c>
      <c r="O50" s="11" t="n">
        <v>0.776062801664142</v>
      </c>
      <c r="P50" s="11" t="n">
        <v>0.790938326943481</v>
      </c>
      <c r="Q50" s="11" t="n">
        <v>0.211500877771322</v>
      </c>
      <c r="R50" s="11" t="n">
        <v>0.581967213114754</v>
      </c>
      <c r="S50" s="11" t="n">
        <v>0.270491803278688</v>
      </c>
      <c r="T50" s="11" t="n">
        <v>0.0901639344262295</v>
      </c>
      <c r="U50" s="11" t="n">
        <v>0.0163934426229508</v>
      </c>
      <c r="V50" s="11" t="n">
        <v>0</v>
      </c>
      <c r="W50" s="11" t="n">
        <v>0.327868852459016</v>
      </c>
      <c r="X50" s="11" t="n">
        <v>0.163934426229508</v>
      </c>
      <c r="Y50" s="11" t="n">
        <v>0.19672131147541</v>
      </c>
      <c r="Z50" s="11" t="n">
        <v>0.245901639344262</v>
      </c>
      <c r="AA50" s="11" t="n">
        <v>0.131147540983607</v>
      </c>
      <c r="AB50" s="11" t="n">
        <v>0.0819672131147541</v>
      </c>
      <c r="AC50" s="11" t="n">
        <v>-0.00368964308834017</v>
      </c>
      <c r="AD50" s="11" t="n">
        <v>-0.0152625806618679</v>
      </c>
      <c r="AE50" s="11" t="n">
        <v>0.511627906976744</v>
      </c>
      <c r="AF50" s="11" t="n">
        <v>0.418604651162791</v>
      </c>
      <c r="AG50" s="11" t="n">
        <v>0.279069767441861</v>
      </c>
      <c r="AH50" s="11" t="n">
        <v>0.163934426229508</v>
      </c>
      <c r="AI50" s="11" t="n">
        <v>0.131147540983607</v>
      </c>
      <c r="AJ50" s="11" t="n">
        <v>0.0819672131147541</v>
      </c>
      <c r="AK50" s="11" t="n">
        <v>0.405765349425859</v>
      </c>
      <c r="AL50" s="11" t="n">
        <v>0</v>
      </c>
      <c r="AM50" s="11" t="n">
        <v>0</v>
      </c>
      <c r="AN50" s="11" t="n">
        <v>0</v>
      </c>
      <c r="AO50" s="11"/>
      <c r="AP50" s="11"/>
      <c r="AQ50" s="11"/>
      <c r="AR50" s="11" t="n">
        <v>0</v>
      </c>
      <c r="AS50" s="11" t="n">
        <v>0.0409836065573771</v>
      </c>
      <c r="AT50" s="11" t="n">
        <v>0</v>
      </c>
      <c r="AU50" s="11" t="n">
        <v>0</v>
      </c>
      <c r="AV50" s="11" t="n">
        <v>0</v>
      </c>
      <c r="AW50" s="11" t="n">
        <v>0</v>
      </c>
      <c r="AX50" s="11" t="n">
        <v>0</v>
      </c>
      <c r="AY50" s="11" t="n">
        <v>0.00433110324228461</v>
      </c>
      <c r="AZ50" s="11" t="n">
        <v>0.0169710626170223</v>
      </c>
      <c r="BA50" s="11"/>
      <c r="BB50" s="11" t="n">
        <v>0.0409836065573771</v>
      </c>
      <c r="BC50" s="11" t="n">
        <v>0.508196721311475</v>
      </c>
      <c r="BD50" s="11" t="n">
        <v>0.0737704918032787</v>
      </c>
      <c r="BE50" s="11" t="n">
        <v>0.524590163934426</v>
      </c>
      <c r="BF50" s="11" t="n">
        <v>0.319672131147541</v>
      </c>
      <c r="BG50" s="11" t="n">
        <v>0.540983606557377</v>
      </c>
      <c r="BH50" s="11" t="n">
        <v>0.401639344262295</v>
      </c>
      <c r="BI50" s="11" t="n">
        <v>0.549180327868853</v>
      </c>
      <c r="BJ50" s="11" t="n">
        <v>0.126338985035086</v>
      </c>
      <c r="BK50" s="11" t="n">
        <v>0.0551091842722216</v>
      </c>
      <c r="BL50" s="11" t="n">
        <v>0.115073475687336</v>
      </c>
      <c r="BM50" s="11" t="n">
        <v>0.0497470970547185</v>
      </c>
      <c r="BN50" s="11" t="n">
        <v>0.4950358670211</v>
      </c>
      <c r="BO50" s="11" t="n">
        <v>0.186504409195399</v>
      </c>
      <c r="BP50" s="11" t="n">
        <v>0.0110866261584281</v>
      </c>
      <c r="BQ50" s="11" t="n">
        <v>0.00611626575289605</v>
      </c>
      <c r="BR50" s="11" t="n">
        <v>3.75261679961101</v>
      </c>
      <c r="BS50" s="11" t="n">
        <v>11.798909170312</v>
      </c>
      <c r="BT50" s="11" t="n">
        <v>20.8305127320607</v>
      </c>
      <c r="BU50" s="11" t="n">
        <v>12.6338985035086</v>
      </c>
      <c r="BV50" s="11" t="n">
        <v>6.59322449078494</v>
      </c>
      <c r="BW50" s="11" t="n">
        <v>7.05793677211179</v>
      </c>
      <c r="BX50" s="11" t="n">
        <v>3.69531689806278</v>
      </c>
      <c r="BY50" s="11" t="n">
        <v>10.4241075730782</v>
      </c>
      <c r="BZ50" s="11" t="n">
        <v>0.516393442622951</v>
      </c>
      <c r="CA50" s="11" t="n">
        <v>0.555555555555556</v>
      </c>
      <c r="CB50" s="11" t="n">
        <v>0.26984126984127</v>
      </c>
      <c r="CC50" s="11" t="n">
        <v>0.317460317460317</v>
      </c>
      <c r="CD50" s="11" t="n">
        <v>0.412698412698413</v>
      </c>
      <c r="CE50" s="11" t="n">
        <v>0.540983606557377</v>
      </c>
      <c r="CF50" s="11" t="n">
        <v>5</v>
      </c>
      <c r="CG50" s="11" t="n">
        <v>3</v>
      </c>
      <c r="CH50" s="11" t="n">
        <v>0.545454545454545</v>
      </c>
      <c r="CI50" s="11" t="n">
        <v>0.318181818181818</v>
      </c>
      <c r="CJ50" s="11" t="n">
        <v>0.409090909090909</v>
      </c>
      <c r="CK50" s="11" t="n">
        <v>0.0847457627118644</v>
      </c>
      <c r="CL50" s="11" t="n">
        <v>0.0508474576271187</v>
      </c>
      <c r="CM50" s="11" t="n">
        <v>0.0677966101694915</v>
      </c>
      <c r="CN50" s="11" t="n">
        <v>0.0677966101694915</v>
      </c>
      <c r="CO50" s="11" t="n">
        <v>0</v>
      </c>
      <c r="CP50" s="11" t="n">
        <v>0</v>
      </c>
      <c r="CQ50" s="11" t="n">
        <v>0</v>
      </c>
      <c r="CR50" s="11" t="n">
        <v>0</v>
      </c>
      <c r="CS50" s="11" t="n">
        <v>0.102564102564103</v>
      </c>
      <c r="CT50" s="11" t="n">
        <v>0.0512820512820513</v>
      </c>
      <c r="CU50" s="11" t="n">
        <v>0.0769230769230769</v>
      </c>
      <c r="CV50" s="11" t="n">
        <v>0.0769230769230769</v>
      </c>
      <c r="CW50" s="11" t="n">
        <v>0.142857142857143</v>
      </c>
      <c r="CX50" s="11" t="n">
        <v>0.0158730158730159</v>
      </c>
      <c r="CY50" s="11" t="n">
        <v>0.0106959846967949</v>
      </c>
      <c r="CZ50" s="11" t="n">
        <v>-0.0631163420481232</v>
      </c>
      <c r="DA50" s="11" t="n">
        <v>5.59833391156343</v>
      </c>
      <c r="DB50" s="11" t="n">
        <v>-0.0328030748287749</v>
      </c>
      <c r="DC50" s="11" t="n">
        <v>8.63293620048256</v>
      </c>
      <c r="DD50" s="11" t="n">
        <v>0.314953957005472</v>
      </c>
      <c r="DE50" s="11" t="n">
        <v>0.352459016393443</v>
      </c>
      <c r="DF50" s="11" t="n">
        <v>-0.0526265052041404</v>
      </c>
      <c r="DG50" s="11" t="n">
        <v>0.000262835667468571</v>
      </c>
      <c r="DH50" s="11" t="n">
        <v>-5.2889340871609</v>
      </c>
      <c r="DI50" s="11" t="n">
        <v>85.5959307442088</v>
      </c>
      <c r="DJ50" s="11" t="n">
        <v>49.6207225602155</v>
      </c>
      <c r="DK50" s="11" t="n">
        <v>14.7198567670062</v>
      </c>
      <c r="DL50" s="11" t="n">
        <v>49.05</v>
      </c>
      <c r="DM50" s="11" t="n">
        <v>0.565573770491803</v>
      </c>
      <c r="DN50" s="11" t="n">
        <v>0.549180327868853</v>
      </c>
      <c r="DO50" s="11" t="n">
        <v>-0.0138159530695061</v>
      </c>
      <c r="DP50" s="11" t="n">
        <v>0</v>
      </c>
      <c r="DQ50" s="11" t="n">
        <v>0.0491803278688525</v>
      </c>
      <c r="DR50" s="11" t="n">
        <v>0.0327868852459016</v>
      </c>
      <c r="DS50" s="11" t="n">
        <v>0.0245901639344262</v>
      </c>
      <c r="DT50" s="11" t="n">
        <v>0.00819672131147541</v>
      </c>
      <c r="DU50" s="11" t="n">
        <v>0</v>
      </c>
      <c r="DV50" s="11" t="n">
        <v>5</v>
      </c>
      <c r="DW50" s="11" t="s">
        <v>573</v>
      </c>
      <c r="DX50" s="11" t="n">
        <v>0.406307</v>
      </c>
      <c r="DY50" s="11" t="n">
        <v>0.356497826208221</v>
      </c>
      <c r="DZ50" s="11" t="n">
        <v>0.456116173791779</v>
      </c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 t="n">
        <v>8.48553772115662</v>
      </c>
      <c r="EP50" s="11" t="n">
        <v>102.650061320637</v>
      </c>
      <c r="EQ50" s="11" t="n">
        <v>2174.22593308782</v>
      </c>
      <c r="ER50" s="11" t="n">
        <v>2.86265125026972</v>
      </c>
      <c r="ES50" s="11" t="n">
        <v>2.86265125026972</v>
      </c>
      <c r="ET50" s="11" t="n">
        <v>2.69326169414809</v>
      </c>
      <c r="EU50" s="11" t="n">
        <v>66.2217464958855</v>
      </c>
      <c r="EV50" s="11" t="n">
        <v>66.2217464958855</v>
      </c>
      <c r="EW50" s="11" t="n">
        <v>621.643922328885</v>
      </c>
      <c r="EX50" s="11" t="n">
        <v>610.695595310617</v>
      </c>
      <c r="EY50" s="11" t="n">
        <v>1.01195010591887</v>
      </c>
      <c r="EZ50" s="11" t="n">
        <v>0.569874898632497</v>
      </c>
      <c r="FA50" s="11" t="n">
        <v>0.0498602955027249</v>
      </c>
      <c r="FB50" s="11" t="n">
        <v>0.918032786885246</v>
      </c>
      <c r="FC50" s="11" t="n">
        <v>0</v>
      </c>
      <c r="FD50" s="11" t="n">
        <v>0</v>
      </c>
      <c r="FE50" s="11" t="s">
        <v>574</v>
      </c>
      <c r="FF50" s="11" t="s">
        <v>314</v>
      </c>
      <c r="FG50" s="11" t="n">
        <v>122</v>
      </c>
      <c r="FH50" s="11" t="s">
        <v>575</v>
      </c>
      <c r="FI50" s="11" t="s">
        <v>59</v>
      </c>
      <c r="FJ50" s="11" t="n">
        <v>0.2</v>
      </c>
      <c r="FK50" s="11" t="n">
        <v>0.155532631678792</v>
      </c>
      <c r="FL50" s="11" t="n">
        <v>0.0795771957873668</v>
      </c>
      <c r="FM50" s="11" t="n">
        <v>0</v>
      </c>
      <c r="FN50" s="11" t="n">
        <v>1</v>
      </c>
      <c r="FO50" s="11" t="n">
        <v>0.50545392578403</v>
      </c>
      <c r="FP50" s="11" t="n">
        <v>0.377345986084391</v>
      </c>
      <c r="FQ50" s="11" t="n">
        <v>0.125</v>
      </c>
      <c r="FR50" s="11" t="n">
        <v>0</v>
      </c>
      <c r="FS50" s="11" t="n">
        <v>0.5049767500158</v>
      </c>
      <c r="FT50" s="11" t="n">
        <v>0.370939049796652</v>
      </c>
      <c r="FU50" s="11" t="n">
        <v>1</v>
      </c>
      <c r="FV50" s="11" t="n">
        <v>12.6318317930557</v>
      </c>
      <c r="FW50" s="11" t="n">
        <v>376.821617778235</v>
      </c>
      <c r="FX50" s="11" t="n">
        <v>0.0436235740715836</v>
      </c>
      <c r="FY50" s="11" t="n">
        <v>1</v>
      </c>
      <c r="FZ50" s="11" t="n">
        <v>39</v>
      </c>
      <c r="GA50" s="11" t="n">
        <v>1</v>
      </c>
      <c r="GB50" s="11" t="s">
        <v>576</v>
      </c>
      <c r="GC50" s="11" t="n">
        <v>0.922268476642546</v>
      </c>
      <c r="GD50" s="11" t="n">
        <v>0.94444800204918</v>
      </c>
      <c r="GE50" s="11" t="n">
        <v>0.94953391194481</v>
      </c>
      <c r="GF50" s="11" t="n">
        <v>0.950819672131147</v>
      </c>
      <c r="GG50" s="11" t="n">
        <v>0</v>
      </c>
      <c r="GH50" s="11" t="n">
        <v>0</v>
      </c>
      <c r="GI50" s="11" t="n">
        <v>0.0551207505229032</v>
      </c>
      <c r="GJ50" s="11" t="n">
        <v>0.0673313369272185</v>
      </c>
      <c r="GK50" s="11" t="n">
        <v>0.0659756501433044</v>
      </c>
      <c r="GL50" s="11" t="n">
        <v>0.0721322132425276</v>
      </c>
      <c r="GM50" s="11" t="n">
        <v>0.00353895524493616</v>
      </c>
      <c r="GN50" s="11" t="n">
        <v>0.000409402499931051</v>
      </c>
      <c r="GO50" s="11" t="n">
        <v>0.948258196721311</v>
      </c>
      <c r="GP50" s="11" t="n">
        <v>0.950819672131147</v>
      </c>
      <c r="GQ50" s="11" t="n">
        <v>-0.0330443419516087</v>
      </c>
      <c r="GR50" s="11" t="n">
        <v>1</v>
      </c>
      <c r="GS50" s="11" t="n">
        <v>1</v>
      </c>
      <c r="GT50" s="11" t="n">
        <v>0</v>
      </c>
      <c r="GU50" s="11" t="n">
        <v>0</v>
      </c>
      <c r="GV50" s="11" t="n">
        <v>1</v>
      </c>
      <c r="GW50" s="11" t="n">
        <v>1</v>
      </c>
      <c r="GX50" s="11" t="n">
        <v>1</v>
      </c>
      <c r="GY50" s="11" t="n">
        <v>1</v>
      </c>
      <c r="GZ50" s="11" t="n">
        <v>1</v>
      </c>
      <c r="HA50" s="11" t="n">
        <v>1</v>
      </c>
      <c r="HB50" s="11" t="n">
        <v>1</v>
      </c>
      <c r="HC50" s="11" t="n">
        <v>1</v>
      </c>
      <c r="HD50" s="11" t="n">
        <v>1</v>
      </c>
      <c r="HE50" s="11" t="n">
        <v>0</v>
      </c>
      <c r="HF50" s="11" t="n">
        <v>1</v>
      </c>
      <c r="HG50" s="11" t="n">
        <v>0</v>
      </c>
      <c r="HH50" s="11" t="n">
        <v>1</v>
      </c>
      <c r="HI50" s="11" t="n">
        <v>0</v>
      </c>
      <c r="HJ50" s="11" t="n">
        <v>0</v>
      </c>
      <c r="HK50" s="11" t="s">
        <v>590</v>
      </c>
      <c r="HL50" s="11" t="s">
        <v>577</v>
      </c>
      <c r="HM50" s="11" t="n">
        <v>1</v>
      </c>
      <c r="HN50" s="11" t="s">
        <v>591</v>
      </c>
      <c r="HO50" s="11" t="s">
        <v>578</v>
      </c>
      <c r="HP50" s="11" t="s">
        <v>578</v>
      </c>
      <c r="HQ50" s="11" t="n">
        <v>0</v>
      </c>
      <c r="HR50" s="11" t="s">
        <v>189</v>
      </c>
      <c r="HS50" s="11" t="s">
        <v>300</v>
      </c>
      <c r="HT50" s="11" t="s">
        <v>300</v>
      </c>
      <c r="HU50" s="11" t="s">
        <v>937</v>
      </c>
      <c r="HV50" s="11" t="s">
        <v>937</v>
      </c>
      <c r="HW50" s="11" t="s">
        <v>938</v>
      </c>
      <c r="HX50" s="11" t="s">
        <v>931</v>
      </c>
      <c r="HY50" s="11" t="s">
        <v>583</v>
      </c>
      <c r="HZ50" s="11" t="s">
        <v>939</v>
      </c>
      <c r="IA50" s="11" t="s">
        <v>936</v>
      </c>
      <c r="IB50" s="11" t="s">
        <v>940</v>
      </c>
      <c r="IC50" s="11" t="s">
        <v>314</v>
      </c>
      <c r="ID50" s="11" t="s">
        <v>934</v>
      </c>
      <c r="IE50" s="11"/>
      <c r="IF50" s="11"/>
      <c r="IG50" s="11"/>
      <c r="IH50" s="11"/>
    </row>
    <row r="51" customFormat="false" ht="15" hidden="false" customHeight="false" outlineLevel="0" collapsed="false">
      <c r="A51" s="11" t="s">
        <v>107</v>
      </c>
      <c r="B51" s="11" t="s">
        <v>941</v>
      </c>
      <c r="C51" s="11" t="s">
        <v>569</v>
      </c>
      <c r="D51" s="11" t="s">
        <v>570</v>
      </c>
      <c r="E51" s="11" t="s">
        <v>51</v>
      </c>
      <c r="F51" s="11"/>
      <c r="G51" s="11"/>
      <c r="H51" s="11" t="s">
        <v>942</v>
      </c>
      <c r="I51" s="11" t="s">
        <v>943</v>
      </c>
      <c r="J51" s="11" t="n">
        <v>109</v>
      </c>
      <c r="K51" s="11" t="n">
        <v>3.63333333333333</v>
      </c>
      <c r="L51" s="11" t="n">
        <v>0.767145693302155</v>
      </c>
      <c r="M51" s="11" t="n">
        <v>0.818084895610809</v>
      </c>
      <c r="N51" s="11" t="n">
        <v>0</v>
      </c>
      <c r="O51" s="11" t="n">
        <v>0.673171544094134</v>
      </c>
      <c r="P51" s="11" t="n">
        <v>0.692569468836294</v>
      </c>
      <c r="Q51" s="11" t="n">
        <v>0.0866093209570601</v>
      </c>
      <c r="R51" s="11" t="n">
        <v>0.743119266055046</v>
      </c>
      <c r="S51" s="11" t="n">
        <v>0.201834862385321</v>
      </c>
      <c r="T51" s="11" t="n">
        <v>0.0458715596330275</v>
      </c>
      <c r="U51" s="11" t="n">
        <v>0</v>
      </c>
      <c r="V51" s="11" t="n">
        <v>0</v>
      </c>
      <c r="W51" s="11" t="n">
        <v>0.495412844036697</v>
      </c>
      <c r="X51" s="11" t="n">
        <v>0.238532110091743</v>
      </c>
      <c r="Y51" s="11" t="n">
        <v>0.376146788990826</v>
      </c>
      <c r="Z51" s="11" t="n">
        <v>0.477064220183486</v>
      </c>
      <c r="AA51" s="11" t="n">
        <v>0.119266055045872</v>
      </c>
      <c r="AB51" s="11" t="n">
        <v>0.018348623853211</v>
      </c>
      <c r="AC51" s="11" t="n">
        <v>-0.00220019040769532</v>
      </c>
      <c r="AD51" s="11" t="n">
        <v>-0.00661237805405453</v>
      </c>
      <c r="AE51" s="11" t="n">
        <v>0.559322033898305</v>
      </c>
      <c r="AF51" s="11" t="n">
        <v>0.254237288135593</v>
      </c>
      <c r="AG51" s="11" t="n">
        <v>0.0338983050847458</v>
      </c>
      <c r="AH51" s="11" t="n">
        <v>0.256880733944954</v>
      </c>
      <c r="AI51" s="11" t="n">
        <v>0.119266055045872</v>
      </c>
      <c r="AJ51" s="11" t="n">
        <v>0.018348623853211</v>
      </c>
      <c r="AK51" s="11" t="n">
        <v>0.424421305495418</v>
      </c>
      <c r="AL51" s="11" t="n">
        <v>0</v>
      </c>
      <c r="AM51" s="11" t="n">
        <v>0</v>
      </c>
      <c r="AN51" s="11" t="n">
        <v>0</v>
      </c>
      <c r="AO51" s="11"/>
      <c r="AP51" s="11"/>
      <c r="AQ51" s="11"/>
      <c r="AR51" s="11" t="n">
        <v>0</v>
      </c>
      <c r="AS51" s="11" t="n">
        <v>0.036697247706422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0.00376832941989784</v>
      </c>
      <c r="AZ51" s="11" t="n">
        <v>0.0150691175888133</v>
      </c>
      <c r="BA51" s="11"/>
      <c r="BB51" s="11" t="n">
        <v>0.44954128440367</v>
      </c>
      <c r="BC51" s="11" t="n">
        <v>0.678899082568807</v>
      </c>
      <c r="BD51" s="11" t="n">
        <v>0.495412844036697</v>
      </c>
      <c r="BE51" s="11" t="n">
        <v>0.697247706422018</v>
      </c>
      <c r="BF51" s="11" t="n">
        <v>0.568807339449541</v>
      </c>
      <c r="BG51" s="11" t="n">
        <v>0.743119266055046</v>
      </c>
      <c r="BH51" s="11" t="n">
        <v>0.596330275229358</v>
      </c>
      <c r="BI51" s="11" t="n">
        <v>0.788990825688073</v>
      </c>
      <c r="BJ51" s="11" t="n">
        <v>0.118090460970523</v>
      </c>
      <c r="BK51" s="11" t="n">
        <v>0.141660051599202</v>
      </c>
      <c r="BL51" s="11" t="n">
        <v>0.126126890274776</v>
      </c>
      <c r="BM51" s="11" t="n">
        <v>0.0223344267593828</v>
      </c>
      <c r="BN51" s="11" t="n">
        <v>0.434142258481817</v>
      </c>
      <c r="BO51" s="11" t="n">
        <v>0.223785405667156</v>
      </c>
      <c r="BP51" s="11" t="n">
        <v>0.0129820982092523</v>
      </c>
      <c r="BQ51" s="11" t="n">
        <v>0.0059155225559383</v>
      </c>
      <c r="BR51" s="11" t="n">
        <v>3.38448806847591</v>
      </c>
      <c r="BS51" s="11" t="n">
        <v>10.7433714755092</v>
      </c>
      <c r="BT51" s="11" t="n">
        <v>15.559178850238</v>
      </c>
      <c r="BU51" s="11" t="n">
        <v>11.8090460970523</v>
      </c>
      <c r="BV51" s="11" t="n">
        <v>7.22653849037132</v>
      </c>
      <c r="BW51" s="11" t="n">
        <v>6.78153719731961</v>
      </c>
      <c r="BX51" s="11" t="n">
        <v>4.40843975063471</v>
      </c>
      <c r="BY51" s="11" t="n">
        <v>3.74206596279424</v>
      </c>
      <c r="BZ51" s="11" t="n">
        <v>0.559633027522936</v>
      </c>
      <c r="CA51" s="11" t="n">
        <v>0.754098360655738</v>
      </c>
      <c r="CB51" s="11" t="n">
        <v>0.360655737704918</v>
      </c>
      <c r="CC51" s="11" t="n">
        <v>0.540983606557377</v>
      </c>
      <c r="CD51" s="11" t="n">
        <v>0.721311475409836</v>
      </c>
      <c r="CE51" s="11" t="n">
        <v>0.559633027522936</v>
      </c>
      <c r="CF51" s="11" t="n">
        <v>5</v>
      </c>
      <c r="CG51" s="11" t="n">
        <v>0</v>
      </c>
      <c r="CH51" s="11" t="n">
        <v>0.754098360655738</v>
      </c>
      <c r="CI51" s="11" t="n">
        <v>0.540983606557377</v>
      </c>
      <c r="CJ51" s="11" t="n">
        <v>0.721311475409836</v>
      </c>
      <c r="CK51" s="11" t="n">
        <v>0.166666666666667</v>
      </c>
      <c r="CL51" s="11" t="n">
        <v>0.0833333333333333</v>
      </c>
      <c r="CM51" s="11" t="n">
        <v>0.166666666666667</v>
      </c>
      <c r="CN51" s="11" t="n">
        <v>0.166666666666667</v>
      </c>
      <c r="CO51" s="11" t="n">
        <v>0</v>
      </c>
      <c r="CP51" s="11" t="n">
        <v>0</v>
      </c>
      <c r="CQ51" s="11" t="n">
        <v>0</v>
      </c>
      <c r="CR51" s="11" t="n">
        <v>0</v>
      </c>
      <c r="CS51" s="11" t="n">
        <v>0.266666666666667</v>
      </c>
      <c r="CT51" s="11" t="n">
        <v>0.133333333333333</v>
      </c>
      <c r="CU51" s="11" t="n">
        <v>0.266666666666667</v>
      </c>
      <c r="CV51" s="11" t="n">
        <v>0.266666666666667</v>
      </c>
      <c r="CW51" s="11" t="n">
        <v>0.0491803278688525</v>
      </c>
      <c r="CX51" s="11" t="n">
        <v>0</v>
      </c>
      <c r="CY51" s="11" t="n">
        <v>-0.0233837961492742</v>
      </c>
      <c r="CZ51" s="11" t="n">
        <v>-0.117173545342667</v>
      </c>
      <c r="DA51" s="11" t="n">
        <v>5.02299809117521</v>
      </c>
      <c r="DB51" s="11" t="n">
        <v>-0.0980876601563933</v>
      </c>
      <c r="DC51" s="11" t="n">
        <v>10.6246318087111</v>
      </c>
      <c r="DD51" s="11" t="n">
        <v>0.480035973456663</v>
      </c>
      <c r="DE51" s="11" t="n">
        <v>0.339449541284404</v>
      </c>
      <c r="DF51" s="11" t="n">
        <v>-0.082465848294858</v>
      </c>
      <c r="DG51" s="11" t="n">
        <v>-0.125608044177657</v>
      </c>
      <c r="DH51" s="11" t="n">
        <v>4.31421958827988</v>
      </c>
      <c r="DI51" s="11" t="n">
        <v>97.6384454196775</v>
      </c>
      <c r="DJ51" s="11" t="n">
        <v>69.5261230502537</v>
      </c>
      <c r="DK51" s="11" t="n">
        <v>10.2289445737966</v>
      </c>
      <c r="DL51" s="11" t="n">
        <v>49.05</v>
      </c>
      <c r="DM51" s="11" t="n">
        <v>0.532110091743119</v>
      </c>
      <c r="DN51" s="11" t="n">
        <v>0.458715596330275</v>
      </c>
      <c r="DO51" s="11" t="n">
        <v>-0.0127583431125435</v>
      </c>
      <c r="DP51" s="11" t="n">
        <v>0</v>
      </c>
      <c r="DQ51" s="11" t="n">
        <v>0</v>
      </c>
      <c r="DR51" s="11" t="n">
        <v>0</v>
      </c>
      <c r="DS51" s="11" t="n">
        <v>0</v>
      </c>
      <c r="DT51" s="11" t="n">
        <v>0</v>
      </c>
      <c r="DU51" s="11" t="n">
        <v>0</v>
      </c>
      <c r="DV51" s="11" t="n">
        <v>5</v>
      </c>
      <c r="DW51" s="11" t="s">
        <v>573</v>
      </c>
      <c r="DX51" s="11" t="n">
        <v>0.406307</v>
      </c>
      <c r="DY51" s="11" t="n">
        <v>0.045756938902907</v>
      </c>
      <c r="DZ51" s="11" t="n">
        <v>0.766857061097093</v>
      </c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 t="n">
        <v>6.97946958179363</v>
      </c>
      <c r="EP51" s="11" t="n">
        <v>74.1121060609449</v>
      </c>
      <c r="EQ51" s="11" t="n">
        <v>1968.76768121485</v>
      </c>
      <c r="ER51" s="11" t="n">
        <v>3.40295714747918</v>
      </c>
      <c r="ES51" s="11" t="n">
        <v>3.40295714747918</v>
      </c>
      <c r="ET51" s="11" t="n">
        <v>1.77186266267525</v>
      </c>
      <c r="EU51" s="11" t="n">
        <v>38.9532036420199</v>
      </c>
      <c r="EV51" s="11" t="n">
        <v>38.9532036420199</v>
      </c>
      <c r="EW51" s="11" t="n">
        <v>469.030328976184</v>
      </c>
      <c r="EX51" s="11" t="n">
        <v>612.337214513882</v>
      </c>
      <c r="EY51" s="11" t="n">
        <v>0.904479410943084</v>
      </c>
      <c r="EZ51" s="11" t="n">
        <v>0.815605575963317</v>
      </c>
      <c r="FA51" s="11" t="n">
        <v>0.0496756542041485</v>
      </c>
      <c r="FB51" s="11" t="n">
        <v>1</v>
      </c>
      <c r="FC51" s="11" t="n">
        <v>0</v>
      </c>
      <c r="FD51" s="11" t="n">
        <v>0</v>
      </c>
      <c r="FE51" s="11" t="s">
        <v>574</v>
      </c>
      <c r="FF51" s="11" t="s">
        <v>319</v>
      </c>
      <c r="FG51" s="11" t="n">
        <v>109</v>
      </c>
      <c r="FH51" s="11" t="s">
        <v>575</v>
      </c>
      <c r="FI51" s="11" t="s">
        <v>59</v>
      </c>
      <c r="FJ51" s="11" t="n">
        <v>0.2</v>
      </c>
      <c r="FK51" s="11" t="n">
        <v>0.130091675700122</v>
      </c>
      <c r="FL51" s="11" t="n">
        <v>0.0874518582392837</v>
      </c>
      <c r="FM51" s="11" t="n">
        <v>0</v>
      </c>
      <c r="FN51" s="11" t="n">
        <v>1</v>
      </c>
      <c r="FO51" s="11" t="n">
        <v>0.491371582621022</v>
      </c>
      <c r="FP51" s="11" t="n">
        <v>0.358325870140814</v>
      </c>
      <c r="FQ51" s="11" t="n">
        <v>0.0756880733944954</v>
      </c>
      <c r="FR51" s="11" t="n">
        <v>0</v>
      </c>
      <c r="FS51" s="11" t="n">
        <v>0.490859534712333</v>
      </c>
      <c r="FT51" s="11" t="n">
        <v>0.356432371522659</v>
      </c>
      <c r="FU51" s="11" t="n">
        <v>1</v>
      </c>
      <c r="FV51" s="11" t="n">
        <v>6.24061831332823</v>
      </c>
      <c r="FW51" s="11" t="n">
        <v>209.611401424421</v>
      </c>
      <c r="FX51" s="11" t="n">
        <v>0.0183103203899602</v>
      </c>
      <c r="FY51" s="11" t="n">
        <v>1</v>
      </c>
      <c r="FZ51" s="11" t="n">
        <v>30</v>
      </c>
      <c r="GA51" s="11" t="n">
        <v>1</v>
      </c>
      <c r="GB51" s="11" t="s">
        <v>576</v>
      </c>
      <c r="GC51" s="11" t="n">
        <v>0.930140504049599</v>
      </c>
      <c r="GD51" s="11" t="n">
        <v>0.943672950114679</v>
      </c>
      <c r="GE51" s="11" t="n">
        <v>0.944951317691748</v>
      </c>
      <c r="GF51" s="11" t="n">
        <v>0.944954128440367</v>
      </c>
      <c r="GG51" s="11" t="n">
        <v>0</v>
      </c>
      <c r="GH51" s="11" t="n">
        <v>0</v>
      </c>
      <c r="GI51" s="11" t="n">
        <v>0.0736006683413123</v>
      </c>
      <c r="GJ51" s="11" t="n">
        <v>0.0877833989952956</v>
      </c>
      <c r="GK51" s="11" t="n">
        <v>0.0837313747238906</v>
      </c>
      <c r="GL51" s="11" t="n">
        <v>0.0896632206720223</v>
      </c>
      <c r="GM51" s="11" t="n">
        <v>0.000894056576711541</v>
      </c>
      <c r="GN51" s="11" t="n">
        <v>2.66912166482327E-005</v>
      </c>
      <c r="GO51" s="11" t="n">
        <v>0.944667431192661</v>
      </c>
      <c r="GP51" s="11" t="n">
        <v>0.944954128440367</v>
      </c>
      <c r="GQ51" s="11" t="n">
        <v>-0.0276002585887909</v>
      </c>
      <c r="GR51" s="11" t="n">
        <v>1</v>
      </c>
      <c r="GS51" s="11" t="n">
        <v>1</v>
      </c>
      <c r="GT51" s="11" t="n">
        <v>0</v>
      </c>
      <c r="GU51" s="11" t="n">
        <v>0</v>
      </c>
      <c r="GV51" s="11" t="n">
        <v>1</v>
      </c>
      <c r="GW51" s="11" t="n">
        <v>1</v>
      </c>
      <c r="GX51" s="11" t="n">
        <v>1</v>
      </c>
      <c r="GY51" s="11" t="n">
        <v>1</v>
      </c>
      <c r="GZ51" s="11" t="n">
        <v>1</v>
      </c>
      <c r="HA51" s="11" t="n">
        <v>1</v>
      </c>
      <c r="HB51" s="11" t="n">
        <v>1</v>
      </c>
      <c r="HC51" s="11" t="n">
        <v>1</v>
      </c>
      <c r="HD51" s="11" t="n">
        <v>1</v>
      </c>
      <c r="HE51" s="11" t="n">
        <v>1</v>
      </c>
      <c r="HF51" s="11" t="n">
        <v>1</v>
      </c>
      <c r="HG51" s="11" t="n">
        <v>1</v>
      </c>
      <c r="HH51" s="11" t="n">
        <v>1</v>
      </c>
      <c r="HI51" s="11" t="n">
        <v>1</v>
      </c>
      <c r="HJ51" s="11" t="n">
        <v>1</v>
      </c>
      <c r="HK51" s="11"/>
      <c r="HL51" s="11" t="s">
        <v>577</v>
      </c>
      <c r="HM51" s="11" t="n">
        <v>1</v>
      </c>
      <c r="HN51" s="11" t="s">
        <v>10</v>
      </c>
      <c r="HO51" s="11" t="s">
        <v>578</v>
      </c>
      <c r="HP51" s="11" t="s">
        <v>578</v>
      </c>
      <c r="HQ51" s="11" t="n">
        <v>0</v>
      </c>
      <c r="HR51" s="11" t="s">
        <v>189</v>
      </c>
      <c r="HS51" s="11" t="s">
        <v>579</v>
      </c>
      <c r="HT51" s="11" t="s">
        <v>579</v>
      </c>
      <c r="HU51" s="11" t="s">
        <v>944</v>
      </c>
      <c r="HV51" s="11" t="s">
        <v>944</v>
      </c>
      <c r="HW51" s="11" t="s">
        <v>945</v>
      </c>
      <c r="HX51" s="11" t="s">
        <v>946</v>
      </c>
      <c r="HY51" s="11" t="s">
        <v>583</v>
      </c>
      <c r="HZ51" s="11" t="s">
        <v>947</v>
      </c>
      <c r="IA51" s="11" t="s">
        <v>942</v>
      </c>
      <c r="IB51" s="11" t="s">
        <v>948</v>
      </c>
      <c r="IC51" s="11" t="s">
        <v>319</v>
      </c>
      <c r="ID51" s="11" t="s">
        <v>949</v>
      </c>
      <c r="IE51" s="11"/>
      <c r="IF51" s="11"/>
      <c r="IG51" s="11"/>
      <c r="IH51" s="11"/>
    </row>
    <row r="52" customFormat="false" ht="15" hidden="false" customHeight="false" outlineLevel="0" collapsed="false">
      <c r="A52" s="11" t="s">
        <v>107</v>
      </c>
      <c r="B52" s="11" t="s">
        <v>950</v>
      </c>
      <c r="C52" s="11" t="s">
        <v>588</v>
      </c>
      <c r="D52" s="11" t="s">
        <v>570</v>
      </c>
      <c r="E52" s="11" t="s">
        <v>51</v>
      </c>
      <c r="F52" s="11"/>
      <c r="G52" s="11"/>
      <c r="H52" s="11" t="s">
        <v>951</v>
      </c>
      <c r="I52" s="11" t="s">
        <v>318</v>
      </c>
      <c r="J52" s="11" t="n">
        <v>109</v>
      </c>
      <c r="K52" s="11" t="n">
        <v>3.63333333333333</v>
      </c>
      <c r="L52" s="11" t="n">
        <v>0.765713155269623</v>
      </c>
      <c r="M52" s="11" t="n">
        <v>0.814371466636658</v>
      </c>
      <c r="N52" s="11" t="n">
        <v>0</v>
      </c>
      <c r="O52" s="11" t="n">
        <v>0.737055057094507</v>
      </c>
      <c r="P52" s="11" t="n">
        <v>0.709241279799169</v>
      </c>
      <c r="Q52" s="11" t="n">
        <v>0.190491061308564</v>
      </c>
      <c r="R52" s="11" t="n">
        <v>0.577981651376147</v>
      </c>
      <c r="S52" s="11" t="n">
        <v>0.18348623853211</v>
      </c>
      <c r="T52" s="11" t="n">
        <v>0.0275229357798165</v>
      </c>
      <c r="U52" s="11" t="n">
        <v>0</v>
      </c>
      <c r="V52" s="11" t="n">
        <v>0</v>
      </c>
      <c r="W52" s="11" t="n">
        <v>0.596330275229358</v>
      </c>
      <c r="X52" s="11" t="n">
        <v>0.302752293577982</v>
      </c>
      <c r="Y52" s="11" t="n">
        <v>0.412844036697248</v>
      </c>
      <c r="Z52" s="11" t="n">
        <v>0.55045871559633</v>
      </c>
      <c r="AA52" s="11" t="n">
        <v>0.18348623853211</v>
      </c>
      <c r="AB52" s="11" t="n">
        <v>0.0458715596330275</v>
      </c>
      <c r="AC52" s="11" t="n">
        <v>-0.00246214598870848</v>
      </c>
      <c r="AD52" s="11" t="n">
        <v>-0.00868002013039716</v>
      </c>
      <c r="AE52" s="11" t="n">
        <v>0.492307692307692</v>
      </c>
      <c r="AF52" s="11" t="n">
        <v>0.307692307692308</v>
      </c>
      <c r="AG52" s="11" t="n">
        <v>0.0769230769230769</v>
      </c>
      <c r="AH52" s="11" t="n">
        <v>0.293577981651376</v>
      </c>
      <c r="AI52" s="11" t="n">
        <v>0.18348623853211</v>
      </c>
      <c r="AJ52" s="11" t="n">
        <v>0.0458715596330275</v>
      </c>
      <c r="AK52" s="11" t="n">
        <v>0.444987276426952</v>
      </c>
      <c r="AL52" s="11" t="n">
        <v>0</v>
      </c>
      <c r="AM52" s="11" t="n">
        <v>0</v>
      </c>
      <c r="AN52" s="11" t="n">
        <v>0</v>
      </c>
      <c r="AO52" s="11"/>
      <c r="AP52" s="11"/>
      <c r="AQ52" s="11"/>
      <c r="AR52" s="11" t="n">
        <v>0</v>
      </c>
      <c r="AS52" s="11" t="n">
        <v>0.018348623853211</v>
      </c>
      <c r="AT52" s="11" t="n">
        <v>0</v>
      </c>
      <c r="AU52" s="11" t="n">
        <v>0</v>
      </c>
      <c r="AV52" s="11" t="n">
        <v>0</v>
      </c>
      <c r="AW52" s="11" t="n">
        <v>0</v>
      </c>
      <c r="AX52" s="11" t="n">
        <v>0</v>
      </c>
      <c r="AY52" s="11" t="n">
        <v>0.00445736844322338</v>
      </c>
      <c r="AZ52" s="11" t="n">
        <v>0.0148582408132037</v>
      </c>
      <c r="BA52" s="11"/>
      <c r="BB52" s="11" t="n">
        <v>0.605504587155963</v>
      </c>
      <c r="BC52" s="11" t="n">
        <v>0.761467889908257</v>
      </c>
      <c r="BD52" s="11" t="n">
        <v>0.63302752293578</v>
      </c>
      <c r="BE52" s="11" t="n">
        <v>0.788990825688073</v>
      </c>
      <c r="BF52" s="11" t="n">
        <v>0.697247706422018</v>
      </c>
      <c r="BG52" s="11" t="n">
        <v>0.844036697247706</v>
      </c>
      <c r="BH52" s="11" t="n">
        <v>0.715596330275229</v>
      </c>
      <c r="BI52" s="11" t="n">
        <v>0.91743119266055</v>
      </c>
      <c r="BJ52" s="11" t="n">
        <v>0.126010113423954</v>
      </c>
      <c r="BK52" s="11" t="n">
        <v>0.0474184834668443</v>
      </c>
      <c r="BL52" s="11" t="n">
        <v>0.103164000289011</v>
      </c>
      <c r="BM52" s="11" t="n">
        <v>0.0146932344215439</v>
      </c>
      <c r="BN52" s="11" t="n">
        <v>0.456085991958767</v>
      </c>
      <c r="BO52" s="11" t="n">
        <v>0.221241667527308</v>
      </c>
      <c r="BP52" s="11" t="n">
        <v>0.0116671259652205</v>
      </c>
      <c r="BQ52" s="11" t="n">
        <v>0.00530430991382465</v>
      </c>
      <c r="BR52" s="11" t="n">
        <v>3.58805436219002</v>
      </c>
      <c r="BS52" s="11" t="n">
        <v>11.5465771668288</v>
      </c>
      <c r="BT52" s="11" t="n">
        <v>17.9086395216631</v>
      </c>
      <c r="BU52" s="11" t="n">
        <v>12.6010113423954</v>
      </c>
      <c r="BV52" s="11" t="n">
        <v>5.91086180876382</v>
      </c>
      <c r="BW52" s="11" t="n">
        <v>6.64689622701032</v>
      </c>
      <c r="BX52" s="11" t="n">
        <v>3.14977375596365</v>
      </c>
      <c r="BY52" s="11" t="n">
        <v>3.98312930255224</v>
      </c>
      <c r="BZ52" s="11" t="n">
        <v>0.559633027522936</v>
      </c>
      <c r="CA52" s="11" t="n">
        <v>0.868852459016393</v>
      </c>
      <c r="CB52" s="11" t="n">
        <v>0.377049180327869</v>
      </c>
      <c r="CC52" s="11" t="n">
        <v>0.557377049180328</v>
      </c>
      <c r="CD52" s="11" t="n">
        <v>0.786885245901639</v>
      </c>
      <c r="CE52" s="11" t="n">
        <v>0.559633027522936</v>
      </c>
      <c r="CF52" s="11" t="n">
        <v>5</v>
      </c>
      <c r="CG52" s="11" t="n">
        <v>0</v>
      </c>
      <c r="CH52" s="11" t="n">
        <v>0.868852459016393</v>
      </c>
      <c r="CI52" s="11" t="n">
        <v>0.557377049180328</v>
      </c>
      <c r="CJ52" s="11" t="n">
        <v>0.786885245901639</v>
      </c>
      <c r="CK52" s="11" t="n">
        <v>0.25</v>
      </c>
      <c r="CL52" s="11" t="n">
        <v>0.208333333333333</v>
      </c>
      <c r="CM52" s="11" t="n">
        <v>0.229166666666667</v>
      </c>
      <c r="CN52" s="11" t="n">
        <v>0.25</v>
      </c>
      <c r="CO52" s="11" t="n">
        <v>0</v>
      </c>
      <c r="CP52" s="11" t="n">
        <v>0</v>
      </c>
      <c r="CQ52" s="11" t="n">
        <v>0</v>
      </c>
      <c r="CR52" s="11" t="n">
        <v>0</v>
      </c>
      <c r="CS52" s="11" t="n">
        <v>0.4</v>
      </c>
      <c r="CT52" s="11" t="n">
        <v>0.333333333333333</v>
      </c>
      <c r="CU52" s="11" t="n">
        <v>0.366666666666667</v>
      </c>
      <c r="CV52" s="11" t="n">
        <v>0.4</v>
      </c>
      <c r="CW52" s="11" t="n">
        <v>0.0491803278688525</v>
      </c>
      <c r="CX52" s="11" t="n">
        <v>0</v>
      </c>
      <c r="CY52" s="11" t="n">
        <v>0.0117380586918414</v>
      </c>
      <c r="CZ52" s="11" t="n">
        <v>-0.047464170532931</v>
      </c>
      <c r="DA52" s="11" t="n">
        <v>4.94233051935058</v>
      </c>
      <c r="DB52" s="11" t="n">
        <v>-0.0215283903519434</v>
      </c>
      <c r="DC52" s="11" t="n">
        <v>11.8095036864345</v>
      </c>
      <c r="DD52" s="11" t="n">
        <v>0.229882934003309</v>
      </c>
      <c r="DE52" s="11" t="n">
        <v>0.339449541284404</v>
      </c>
      <c r="DF52" s="11" t="n">
        <v>-0.0221395871142998</v>
      </c>
      <c r="DG52" s="11" t="n">
        <v>-0.0429786853121853</v>
      </c>
      <c r="DH52" s="11" t="n">
        <v>2.08390981978856</v>
      </c>
      <c r="DI52" s="11" t="n">
        <v>93.0576286230891</v>
      </c>
      <c r="DJ52" s="11" t="n">
        <v>42.196990978042</v>
      </c>
      <c r="DK52" s="11" t="n">
        <v>9.33790655970884</v>
      </c>
      <c r="DL52" s="11" t="n">
        <v>49.05</v>
      </c>
      <c r="DM52" s="11" t="n">
        <v>0.532110091743119</v>
      </c>
      <c r="DN52" s="11" t="n">
        <v>0.458715596330275</v>
      </c>
      <c r="DO52" s="11" t="n">
        <v>-0.0127583431125435</v>
      </c>
      <c r="DP52" s="11" t="n">
        <v>0</v>
      </c>
      <c r="DQ52" s="11" t="n">
        <v>0.018348623853211</v>
      </c>
      <c r="DR52" s="11" t="n">
        <v>0</v>
      </c>
      <c r="DS52" s="11" t="n">
        <v>0</v>
      </c>
      <c r="DT52" s="11" t="n">
        <v>0</v>
      </c>
      <c r="DU52" s="11" t="n">
        <v>0</v>
      </c>
      <c r="DV52" s="11" t="n">
        <v>5</v>
      </c>
      <c r="DW52" s="11" t="s">
        <v>573</v>
      </c>
      <c r="DX52" s="11" t="n">
        <v>0.406307</v>
      </c>
      <c r="DY52" s="11" t="n">
        <v>0.045756938902907</v>
      </c>
      <c r="DZ52" s="11" t="n">
        <v>0.766857061097093</v>
      </c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 t="n">
        <v>7.00851046953526</v>
      </c>
      <c r="EP52" s="11" t="n">
        <v>81.0304973025691</v>
      </c>
      <c r="EQ52" s="11" t="n">
        <v>1907.37081389372</v>
      </c>
      <c r="ER52" s="11" t="n">
        <v>3.06499117402667</v>
      </c>
      <c r="ES52" s="11" t="n">
        <v>3.06499117402667</v>
      </c>
      <c r="ET52" s="11" t="n">
        <v>1.74528689932994</v>
      </c>
      <c r="EU52" s="11" t="n">
        <v>52.5299400333412</v>
      </c>
      <c r="EV52" s="11" t="n">
        <v>52.5299400333412</v>
      </c>
      <c r="EW52" s="11" t="n">
        <v>551.789937217754</v>
      </c>
      <c r="EX52" s="11" t="n">
        <v>794.504311344521</v>
      </c>
      <c r="EY52" s="11" t="n">
        <v>0.891239649818857</v>
      </c>
      <c r="EZ52" s="11" t="n">
        <v>0.898787310489287</v>
      </c>
      <c r="FA52" s="11" t="n">
        <v>0.0493097886201196</v>
      </c>
      <c r="FB52" s="11" t="n">
        <v>1</v>
      </c>
      <c r="FC52" s="11" t="n">
        <v>0</v>
      </c>
      <c r="FD52" s="11" t="n">
        <v>0</v>
      </c>
      <c r="FE52" s="11" t="s">
        <v>574</v>
      </c>
      <c r="FF52" s="11" t="s">
        <v>319</v>
      </c>
      <c r="FG52" s="11" t="n">
        <v>109</v>
      </c>
      <c r="FH52" s="11" t="s">
        <v>575</v>
      </c>
      <c r="FI52" s="11" t="s">
        <v>59</v>
      </c>
      <c r="FJ52" s="11" t="n">
        <v>0.2</v>
      </c>
      <c r="FK52" s="11" t="n">
        <v>0.0933680855323305</v>
      </c>
      <c r="FL52" s="11" t="n">
        <v>0.0693274476539254</v>
      </c>
      <c r="FM52" s="11" t="n">
        <v>0</v>
      </c>
      <c r="FN52" s="11" t="n">
        <v>1</v>
      </c>
      <c r="FO52" s="11" t="n">
        <v>0.571743565937112</v>
      </c>
      <c r="FP52" s="11" t="n">
        <v>0.414781856665813</v>
      </c>
      <c r="FQ52" s="11" t="n">
        <v>0.0871559633027523</v>
      </c>
      <c r="FR52" s="11" t="n">
        <v>0</v>
      </c>
      <c r="FS52" s="11" t="n">
        <v>0.57170798351743</v>
      </c>
      <c r="FT52" s="11" t="n">
        <v>0.414582110636765</v>
      </c>
      <c r="FU52" s="11" t="n">
        <v>1</v>
      </c>
      <c r="FV52" s="11" t="n">
        <v>6.49342593566021</v>
      </c>
      <c r="FW52" s="11" t="n">
        <v>209.714391019322</v>
      </c>
      <c r="FX52" s="11" t="n">
        <v>0.0164894516249866</v>
      </c>
      <c r="FY52" s="11" t="n">
        <v>1</v>
      </c>
      <c r="FZ52" s="11" t="n">
        <v>30</v>
      </c>
      <c r="GA52" s="11" t="n">
        <v>1</v>
      </c>
      <c r="GB52" s="11" t="s">
        <v>576</v>
      </c>
      <c r="GC52" s="11" t="n">
        <v>0.901487857923595</v>
      </c>
      <c r="GD52" s="11" t="n">
        <v>0.935519997133027</v>
      </c>
      <c r="GE52" s="11" t="n">
        <v>0.931243254179124</v>
      </c>
      <c r="GF52" s="11" t="n">
        <v>0.935779816513761</v>
      </c>
      <c r="GG52" s="11" t="n">
        <v>0.0111811926605505</v>
      </c>
      <c r="GH52" s="11" t="n">
        <v>0.0091743119266055</v>
      </c>
      <c r="GI52" s="11" t="n">
        <v>0.0292238691952395</v>
      </c>
      <c r="GJ52" s="11" t="n">
        <v>0.0422159832979151</v>
      </c>
      <c r="GK52" s="11" t="n">
        <v>0.0387939902326589</v>
      </c>
      <c r="GL52" s="11" t="n">
        <v>0.0441213640204947</v>
      </c>
      <c r="GM52" s="11" t="n">
        <v>0.00575137959229474</v>
      </c>
      <c r="GN52" s="11" t="n">
        <v>0.000324214270672576</v>
      </c>
      <c r="GO52" s="11" t="n">
        <v>0.930619266055046</v>
      </c>
      <c r="GP52" s="11" t="n">
        <v>0.935779816513761</v>
      </c>
      <c r="GQ52" s="11" t="n">
        <v>-0.0286535359919071</v>
      </c>
      <c r="GR52" s="11" t="n">
        <v>1</v>
      </c>
      <c r="GS52" s="11" t="n">
        <v>1</v>
      </c>
      <c r="GT52" s="11" t="n">
        <v>0</v>
      </c>
      <c r="GU52" s="11" t="n">
        <v>0</v>
      </c>
      <c r="GV52" s="11" t="n">
        <v>1</v>
      </c>
      <c r="GW52" s="11" t="n">
        <v>1</v>
      </c>
      <c r="GX52" s="11" t="n">
        <v>1</v>
      </c>
      <c r="GY52" s="11" t="n">
        <v>0</v>
      </c>
      <c r="GZ52" s="11" t="n">
        <v>1</v>
      </c>
      <c r="HA52" s="11" t="n">
        <v>1</v>
      </c>
      <c r="HB52" s="11" t="n">
        <v>1</v>
      </c>
      <c r="HC52" s="11" t="n">
        <v>1</v>
      </c>
      <c r="HD52" s="11" t="n">
        <v>1</v>
      </c>
      <c r="HE52" s="11" t="n">
        <v>1</v>
      </c>
      <c r="HF52" s="11" t="n">
        <v>1</v>
      </c>
      <c r="HG52" s="11" t="n">
        <v>1</v>
      </c>
      <c r="HH52" s="11" t="n">
        <v>0</v>
      </c>
      <c r="HI52" s="11" t="n">
        <v>0</v>
      </c>
      <c r="HJ52" s="11" t="n">
        <v>0</v>
      </c>
      <c r="HK52" s="11" t="s">
        <v>137</v>
      </c>
      <c r="HL52" s="11" t="s">
        <v>577</v>
      </c>
      <c r="HM52" s="11" t="n">
        <v>1</v>
      </c>
      <c r="HN52" s="11" t="s">
        <v>591</v>
      </c>
      <c r="HO52" s="11" t="s">
        <v>578</v>
      </c>
      <c r="HP52" s="11" t="s">
        <v>578</v>
      </c>
      <c r="HQ52" s="11" t="n">
        <v>0</v>
      </c>
      <c r="HR52" s="11" t="s">
        <v>189</v>
      </c>
      <c r="HS52" s="11" t="s">
        <v>300</v>
      </c>
      <c r="HT52" s="11" t="s">
        <v>300</v>
      </c>
      <c r="HU52" s="11" t="s">
        <v>952</v>
      </c>
      <c r="HV52" s="11" t="s">
        <v>952</v>
      </c>
      <c r="HW52" s="11" t="s">
        <v>953</v>
      </c>
      <c r="HX52" s="11" t="s">
        <v>946</v>
      </c>
      <c r="HY52" s="11" t="s">
        <v>583</v>
      </c>
      <c r="HZ52" s="11" t="s">
        <v>954</v>
      </c>
      <c r="IA52" s="11" t="s">
        <v>951</v>
      </c>
      <c r="IB52" s="11" t="s">
        <v>955</v>
      </c>
      <c r="IC52" s="11" t="s">
        <v>319</v>
      </c>
      <c r="ID52" s="11" t="s">
        <v>949</v>
      </c>
      <c r="IE52" s="11"/>
      <c r="IF52" s="11"/>
      <c r="IG52" s="11"/>
      <c r="IH52" s="11"/>
    </row>
    <row r="53" customFormat="false" ht="15" hidden="false" customHeight="false" outlineLevel="0" collapsed="false">
      <c r="A53" s="11" t="s">
        <v>108</v>
      </c>
      <c r="B53" s="11" t="s">
        <v>956</v>
      </c>
      <c r="C53" s="11" t="s">
        <v>569</v>
      </c>
      <c r="D53" s="11" t="s">
        <v>570</v>
      </c>
      <c r="E53" s="11" t="s">
        <v>51</v>
      </c>
      <c r="F53" s="11"/>
      <c r="G53" s="11"/>
      <c r="H53" s="11" t="s">
        <v>957</v>
      </c>
      <c r="I53" s="11" t="s">
        <v>958</v>
      </c>
      <c r="J53" s="11" t="n">
        <v>102</v>
      </c>
      <c r="K53" s="11" t="n">
        <v>3.4</v>
      </c>
      <c r="L53" s="11" t="n">
        <v>0.76234495639801</v>
      </c>
      <c r="M53" s="11" t="n">
        <v>0.839962601661682</v>
      </c>
      <c r="N53" s="11" t="n">
        <v>0</v>
      </c>
      <c r="O53" s="11" t="n">
        <v>1.37230257431281</v>
      </c>
      <c r="P53" s="11" t="n">
        <v>1.17610128800924</v>
      </c>
      <c r="Q53" s="11" t="n">
        <v>0.0926903784030909</v>
      </c>
      <c r="R53" s="11" t="n">
        <v>0.607843137254902</v>
      </c>
      <c r="S53" s="11" t="n">
        <v>0.372549019607843</v>
      </c>
      <c r="T53" s="11" t="n">
        <v>0.0588235294117647</v>
      </c>
      <c r="U53" s="11" t="n">
        <v>0</v>
      </c>
      <c r="V53" s="11" t="n">
        <v>0</v>
      </c>
      <c r="W53" s="11" t="n">
        <v>0.617647058823529</v>
      </c>
      <c r="X53" s="11" t="n">
        <v>0.205882352941176</v>
      </c>
      <c r="Y53" s="11" t="n">
        <v>0.245098039215686</v>
      </c>
      <c r="Z53" s="11" t="n">
        <v>0.441176470588235</v>
      </c>
      <c r="AA53" s="11" t="n">
        <v>0.372549019607843</v>
      </c>
      <c r="AB53" s="11" t="n">
        <v>0.176470588235294</v>
      </c>
      <c r="AC53" s="11" t="n">
        <v>-0.00342292899957547</v>
      </c>
      <c r="AD53" s="11" t="n">
        <v>-0.00958959454613947</v>
      </c>
      <c r="AE53" s="11" t="n">
        <v>0.64</v>
      </c>
      <c r="AF53" s="11" t="n">
        <v>0.56</v>
      </c>
      <c r="AG53" s="11" t="n">
        <v>0.24</v>
      </c>
      <c r="AH53" s="11" t="n">
        <v>0.411764705882353</v>
      </c>
      <c r="AI53" s="11" t="n">
        <v>0.372549019607843</v>
      </c>
      <c r="AJ53" s="11" t="n">
        <v>0.176470588235294</v>
      </c>
      <c r="AK53" s="11" t="n">
        <v>0.421246524227589</v>
      </c>
      <c r="AL53" s="11" t="n">
        <v>0</v>
      </c>
      <c r="AM53" s="11" t="n">
        <v>0</v>
      </c>
      <c r="AN53" s="11" t="n">
        <v>0</v>
      </c>
      <c r="AO53" s="11"/>
      <c r="AP53" s="11"/>
      <c r="AQ53" s="11"/>
      <c r="AR53" s="11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0.00712123145656397</v>
      </c>
      <c r="AZ53" s="11" t="n">
        <v>0.0222417851628898</v>
      </c>
      <c r="BA53" s="11"/>
      <c r="BB53" s="11" t="n">
        <v>0.0490196078431373</v>
      </c>
      <c r="BC53" s="11" t="n">
        <v>0.705882352941176</v>
      </c>
      <c r="BD53" s="11" t="n">
        <v>0.166666666666667</v>
      </c>
      <c r="BE53" s="11" t="n">
        <v>0.754901960784314</v>
      </c>
      <c r="BF53" s="11" t="n">
        <v>0.519607843137255</v>
      </c>
      <c r="BG53" s="11" t="n">
        <v>0.784313725490196</v>
      </c>
      <c r="BH53" s="11" t="n">
        <v>0.666666666666667</v>
      </c>
      <c r="BI53" s="11" t="n">
        <v>0.813725490196078</v>
      </c>
      <c r="BJ53" s="11" t="n">
        <v>0.119746322994371</v>
      </c>
      <c r="BK53" s="11" t="n">
        <v>0.0405527206545075</v>
      </c>
      <c r="BL53" s="11" t="n">
        <v>0.172727123603318</v>
      </c>
      <c r="BM53" s="11" t="n">
        <v>0.0999084409150189</v>
      </c>
      <c r="BN53" s="11" t="n">
        <v>0.483031740862629</v>
      </c>
      <c r="BO53" s="11" t="n">
        <v>0.299717467144879</v>
      </c>
      <c r="BP53" s="11" t="n">
        <v>0.0196494092056949</v>
      </c>
      <c r="BQ53" s="11" t="n">
        <v>0.00328956965522622</v>
      </c>
      <c r="BR53" s="11" t="n">
        <v>3.64542733263213</v>
      </c>
      <c r="BS53" s="11" t="n">
        <v>11.4321764837036</v>
      </c>
      <c r="BT53" s="11" t="n">
        <v>18.5102664505049</v>
      </c>
      <c r="BU53" s="11" t="n">
        <v>11.9746322994371</v>
      </c>
      <c r="BV53" s="11" t="n">
        <v>9.89653517903638</v>
      </c>
      <c r="BW53" s="11" t="n">
        <v>9.05310719976094</v>
      </c>
      <c r="BX53" s="11" t="n">
        <v>3.68154603774437</v>
      </c>
      <c r="BY53" s="11" t="n">
        <v>5.51546063605455</v>
      </c>
      <c r="BZ53" s="11" t="n">
        <v>0.627450980392157</v>
      </c>
      <c r="CA53" s="11" t="n">
        <v>0.921875</v>
      </c>
      <c r="CB53" s="11" t="n">
        <v>0.296875</v>
      </c>
      <c r="CC53" s="11" t="n">
        <v>0.34375</v>
      </c>
      <c r="CD53" s="11" t="n">
        <v>0.640625</v>
      </c>
      <c r="CE53" s="11" t="n">
        <v>0.627450980392157</v>
      </c>
      <c r="CF53" s="11" t="n">
        <v>5</v>
      </c>
      <c r="CG53" s="11" t="n">
        <v>0</v>
      </c>
      <c r="CH53" s="11" t="n">
        <v>0.921875</v>
      </c>
      <c r="CI53" s="11" t="n">
        <v>0.34375</v>
      </c>
      <c r="CJ53" s="11" t="n">
        <v>0.640625</v>
      </c>
      <c r="CK53" s="11" t="n">
        <v>0.105263157894737</v>
      </c>
      <c r="CL53" s="11" t="n">
        <v>0.0526315789473684</v>
      </c>
      <c r="CM53" s="11" t="n">
        <v>0.0789473684210526</v>
      </c>
      <c r="CN53" s="11" t="n">
        <v>0.105263157894737</v>
      </c>
      <c r="CO53" s="11" t="n">
        <v>0</v>
      </c>
      <c r="CP53" s="11" t="n">
        <v>0</v>
      </c>
      <c r="CQ53" s="11" t="n">
        <v>0</v>
      </c>
      <c r="CR53" s="11" t="n">
        <v>0</v>
      </c>
      <c r="CS53" s="11" t="n">
        <v>0.181818181818182</v>
      </c>
      <c r="CT53" s="11" t="n">
        <v>0.0909090909090909</v>
      </c>
      <c r="CU53" s="11" t="n">
        <v>0.136363636363636</v>
      </c>
      <c r="CV53" s="11" t="n">
        <v>0.181818181818182</v>
      </c>
      <c r="CW53" s="11" t="n">
        <v>0.0625</v>
      </c>
      <c r="CX53" s="11" t="n">
        <v>0</v>
      </c>
      <c r="CY53" s="11" t="n">
        <v>-0.0291581924305513</v>
      </c>
      <c r="CZ53" s="11" t="n">
        <v>-0.104531203130464</v>
      </c>
      <c r="DA53" s="11" t="n">
        <v>7.92500189570141</v>
      </c>
      <c r="DB53" s="11" t="n">
        <v>-0.081846900137721</v>
      </c>
      <c r="DC53" s="11" t="n">
        <v>15.443445233058</v>
      </c>
      <c r="DD53" s="11" t="n">
        <v>0.346395935534953</v>
      </c>
      <c r="DE53" s="11" t="n">
        <v>0.392156862745098</v>
      </c>
      <c r="DF53" s="11" t="n">
        <v>-0.0834821935462201</v>
      </c>
      <c r="DG53" s="11" t="n">
        <v>-0.0870434997355317</v>
      </c>
      <c r="DH53" s="11" t="n">
        <v>0.356130618931154</v>
      </c>
      <c r="DI53" s="11" t="n">
        <v>123.046849569855</v>
      </c>
      <c r="DJ53" s="11" t="n">
        <v>55.2633920004646</v>
      </c>
      <c r="DK53" s="11" t="n">
        <v>12.4418684190086</v>
      </c>
      <c r="DL53" s="11" t="n">
        <v>49.05</v>
      </c>
      <c r="DM53" s="11" t="n">
        <v>0.647058823529412</v>
      </c>
      <c r="DN53" s="11" t="n">
        <v>0.647058823529412</v>
      </c>
      <c r="DO53" s="11" t="n">
        <v>-0.0154284629676927</v>
      </c>
      <c r="DP53" s="11" t="n">
        <v>0</v>
      </c>
      <c r="DQ53" s="11" t="n">
        <v>0.0392156862745098</v>
      </c>
      <c r="DR53" s="11" t="n">
        <v>0</v>
      </c>
      <c r="DS53" s="11" t="n">
        <v>0</v>
      </c>
      <c r="DT53" s="11" t="n">
        <v>0</v>
      </c>
      <c r="DU53" s="11" t="n">
        <v>0</v>
      </c>
      <c r="DV53" s="11" t="n">
        <v>5</v>
      </c>
      <c r="DW53" s="11" t="s">
        <v>573</v>
      </c>
      <c r="DX53" s="11" t="n">
        <v>0.406307</v>
      </c>
      <c r="DY53" s="11" t="n">
        <v>-0.0342675331704818</v>
      </c>
      <c r="DZ53" s="11" t="n">
        <v>0.846881533170482</v>
      </c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 t="n">
        <v>8.22636572563921</v>
      </c>
      <c r="EP53" s="11" t="n">
        <v>99.825739247501</v>
      </c>
      <c r="EQ53" s="11" t="n">
        <v>2455.08821697102</v>
      </c>
      <c r="ER53" s="11" t="n">
        <v>4.19877055191303</v>
      </c>
      <c r="ES53" s="11" t="n">
        <v>4.19877055191303</v>
      </c>
      <c r="ET53" s="11" t="n">
        <v>3.14555284089007</v>
      </c>
      <c r="EU53" s="11" t="n">
        <v>50.556356764196</v>
      </c>
      <c r="EV53" s="11" t="n">
        <v>50.556356764196</v>
      </c>
      <c r="EW53" s="11" t="n">
        <v>536.859061275166</v>
      </c>
      <c r="EX53" s="11" t="n">
        <v>448.703713312275</v>
      </c>
      <c r="EY53" s="11" t="n">
        <v>1.31239578597291</v>
      </c>
      <c r="EZ53" s="11" t="n">
        <v>0.499645811117628</v>
      </c>
      <c r="FA53" s="11" t="n">
        <v>0.0494120907048893</v>
      </c>
      <c r="FB53" s="11" t="n">
        <v>0.882352941176471</v>
      </c>
      <c r="FC53" s="11" t="n">
        <v>0</v>
      </c>
      <c r="FD53" s="11" t="n">
        <v>0</v>
      </c>
      <c r="FE53" s="11" t="s">
        <v>574</v>
      </c>
      <c r="FF53" s="11" t="s">
        <v>324</v>
      </c>
      <c r="FG53" s="11" t="n">
        <v>102</v>
      </c>
      <c r="FH53" s="11" t="s">
        <v>575</v>
      </c>
      <c r="FI53" s="11" t="s">
        <v>59</v>
      </c>
      <c r="FJ53" s="11" t="n">
        <v>0.2</v>
      </c>
      <c r="FK53" s="11" t="n">
        <v>0.186240639703555</v>
      </c>
      <c r="FL53" s="11" t="n">
        <v>0.104467867370373</v>
      </c>
      <c r="FM53" s="11" t="n">
        <v>0</v>
      </c>
      <c r="FN53" s="11" t="n">
        <v>1</v>
      </c>
      <c r="FO53" s="11" t="n">
        <v>0.62147641928713</v>
      </c>
      <c r="FP53" s="11" t="n">
        <v>0.510177239516471</v>
      </c>
      <c r="FQ53" s="11" t="n">
        <v>0.102941176470588</v>
      </c>
      <c r="FR53" s="11" t="n">
        <v>0</v>
      </c>
      <c r="FS53" s="11" t="n">
        <v>0.620689161029392</v>
      </c>
      <c r="FT53" s="11" t="n">
        <v>0.509781694823445</v>
      </c>
      <c r="FU53" s="11" t="n">
        <v>1</v>
      </c>
      <c r="FV53" s="11" t="n">
        <v>8.83549934536692</v>
      </c>
      <c r="FW53" s="11" t="n">
        <v>229.237767091414</v>
      </c>
      <c r="FX53" s="11" t="n">
        <v>0.0499269673998886</v>
      </c>
      <c r="FY53" s="11" t="n">
        <v>1</v>
      </c>
      <c r="FZ53" s="11" t="n">
        <v>22</v>
      </c>
      <c r="GA53" s="11" t="n">
        <v>1</v>
      </c>
      <c r="GB53" s="11" t="s">
        <v>576</v>
      </c>
      <c r="GC53" s="11" t="n">
        <v>0.935040043849571</v>
      </c>
      <c r="GD53" s="11" t="n">
        <v>0.941157322303921</v>
      </c>
      <c r="GE53" s="11" t="n">
        <v>0.941176470588235</v>
      </c>
      <c r="GF53" s="11" t="n">
        <v>0.941176470588235</v>
      </c>
      <c r="GG53" s="11" t="n">
        <v>0</v>
      </c>
      <c r="GH53" s="11" t="n">
        <v>0</v>
      </c>
      <c r="GI53" s="11" t="n">
        <v>0.0661125166561225</v>
      </c>
      <c r="GJ53" s="11" t="n">
        <v>0.0775174127489913</v>
      </c>
      <c r="GK53" s="11" t="n">
        <v>0.0751471948440866</v>
      </c>
      <c r="GL53" s="11" t="n">
        <v>0.0800837374785367</v>
      </c>
      <c r="GM53" s="11" t="n">
        <v>0.000491983767123465</v>
      </c>
      <c r="GN53" s="11" t="n">
        <v>7.97845203516201E-007</v>
      </c>
      <c r="GO53" s="11" t="n">
        <v>0.941176470588235</v>
      </c>
      <c r="GP53" s="11" t="n">
        <v>0.941176470588235</v>
      </c>
      <c r="GQ53" s="11" t="n">
        <v>-0.0290731452405453</v>
      </c>
      <c r="GR53" s="11" t="n">
        <v>1</v>
      </c>
      <c r="GS53" s="11" t="n">
        <v>1</v>
      </c>
      <c r="GT53" s="11" t="n">
        <v>0</v>
      </c>
      <c r="GU53" s="11" t="n">
        <v>0</v>
      </c>
      <c r="GV53" s="11" t="n">
        <v>1</v>
      </c>
      <c r="GW53" s="11" t="n">
        <v>1</v>
      </c>
      <c r="GX53" s="11" t="n">
        <v>1</v>
      </c>
      <c r="GY53" s="11" t="n">
        <v>1</v>
      </c>
      <c r="GZ53" s="11" t="n">
        <v>0</v>
      </c>
      <c r="HA53" s="11" t="n">
        <v>1</v>
      </c>
      <c r="HB53" s="11" t="n">
        <v>1</v>
      </c>
      <c r="HC53" s="11" t="n">
        <v>1</v>
      </c>
      <c r="HD53" s="11" t="n">
        <v>1</v>
      </c>
      <c r="HE53" s="11" t="n">
        <v>1</v>
      </c>
      <c r="HF53" s="11" t="n">
        <v>1</v>
      </c>
      <c r="HG53" s="11" t="n">
        <v>1</v>
      </c>
      <c r="HH53" s="11" t="n">
        <v>0</v>
      </c>
      <c r="HI53" s="11" t="n">
        <v>0</v>
      </c>
      <c r="HJ53" s="11" t="n">
        <v>0</v>
      </c>
      <c r="HK53" s="11" t="s">
        <v>138</v>
      </c>
      <c r="HL53" s="11" t="s">
        <v>577</v>
      </c>
      <c r="HM53" s="11" t="n">
        <v>1</v>
      </c>
      <c r="HN53" s="11" t="s">
        <v>10</v>
      </c>
      <c r="HO53" s="11" t="s">
        <v>578</v>
      </c>
      <c r="HP53" s="11" t="s">
        <v>578</v>
      </c>
      <c r="HQ53" s="11" t="n">
        <v>0</v>
      </c>
      <c r="HR53" s="11" t="s">
        <v>189</v>
      </c>
      <c r="HS53" s="11" t="s">
        <v>579</v>
      </c>
      <c r="HT53" s="11" t="s">
        <v>579</v>
      </c>
      <c r="HU53" s="11" t="s">
        <v>959</v>
      </c>
      <c r="HV53" s="11" t="s">
        <v>959</v>
      </c>
      <c r="HW53" s="11" t="s">
        <v>960</v>
      </c>
      <c r="HX53" s="11" t="s">
        <v>961</v>
      </c>
      <c r="HY53" s="11" t="s">
        <v>583</v>
      </c>
      <c r="HZ53" s="11" t="s">
        <v>962</v>
      </c>
      <c r="IA53" s="11" t="s">
        <v>957</v>
      </c>
      <c r="IB53" s="11" t="s">
        <v>963</v>
      </c>
      <c r="IC53" s="11" t="s">
        <v>324</v>
      </c>
      <c r="ID53" s="11" t="s">
        <v>964</v>
      </c>
      <c r="IE53" s="11"/>
      <c r="IF53" s="11"/>
      <c r="IG53" s="11"/>
      <c r="IH53" s="11"/>
    </row>
    <row r="54" customFormat="false" ht="15" hidden="false" customHeight="false" outlineLevel="0" collapsed="false">
      <c r="A54" s="11" t="s">
        <v>108</v>
      </c>
      <c r="B54" s="11" t="s">
        <v>965</v>
      </c>
      <c r="C54" s="11" t="s">
        <v>588</v>
      </c>
      <c r="D54" s="11" t="s">
        <v>570</v>
      </c>
      <c r="E54" s="11" t="s">
        <v>51</v>
      </c>
      <c r="F54" s="11"/>
      <c r="G54" s="11"/>
      <c r="H54" s="11" t="s">
        <v>966</v>
      </c>
      <c r="I54" s="11" t="s">
        <v>323</v>
      </c>
      <c r="J54" s="11" t="n">
        <v>102</v>
      </c>
      <c r="K54" s="11" t="n">
        <v>3.4</v>
      </c>
      <c r="L54" s="11" t="n">
        <v>0.773378133773804</v>
      </c>
      <c r="M54" s="11" t="n">
        <v>0.840958654880524</v>
      </c>
      <c r="N54" s="11" t="n">
        <v>0</v>
      </c>
      <c r="O54" s="11" t="n">
        <v>1.41293157232918</v>
      </c>
      <c r="P54" s="11" t="n">
        <v>1.1330731807235</v>
      </c>
      <c r="Q54" s="11" t="n">
        <v>0.194440873305213</v>
      </c>
      <c r="R54" s="11" t="n">
        <v>0.294117647058823</v>
      </c>
      <c r="S54" s="11" t="n">
        <v>0.235294117647059</v>
      </c>
      <c r="T54" s="11" t="n">
        <v>0.0784313725490196</v>
      </c>
      <c r="U54" s="11" t="n">
        <v>0.0588235294117647</v>
      </c>
      <c r="V54" s="11" t="n">
        <v>0.0294117647058823</v>
      </c>
      <c r="W54" s="11" t="n">
        <v>0.647058823529412</v>
      </c>
      <c r="X54" s="11" t="n">
        <v>0.333333333333333</v>
      </c>
      <c r="Y54" s="11" t="n">
        <v>0.480392156862745</v>
      </c>
      <c r="Z54" s="11" t="n">
        <v>0.558823529411765</v>
      </c>
      <c r="AA54" s="11" t="n">
        <v>0.166666666666667</v>
      </c>
      <c r="AB54" s="11" t="n">
        <v>0.0882352941176471</v>
      </c>
      <c r="AC54" s="11" t="n">
        <v>-0.00351669333497016</v>
      </c>
      <c r="AD54" s="11" t="n">
        <v>-0.0351924531155892</v>
      </c>
      <c r="AE54" s="11" t="n">
        <v>0.457142857142857</v>
      </c>
      <c r="AF54" s="11" t="n">
        <v>0.242857142857143</v>
      </c>
      <c r="AG54" s="11" t="n">
        <v>0.128571428571429</v>
      </c>
      <c r="AH54" s="11" t="n">
        <v>0.313725490196078</v>
      </c>
      <c r="AI54" s="11" t="n">
        <v>0.166666666666667</v>
      </c>
      <c r="AJ54" s="11" t="n">
        <v>0.0882352941176471</v>
      </c>
      <c r="AK54" s="11" t="n">
        <v>0.477050296153453</v>
      </c>
      <c r="AL54" s="11" t="n">
        <v>0</v>
      </c>
      <c r="AM54" s="11" t="n">
        <v>0</v>
      </c>
      <c r="AN54" s="11" t="n">
        <v>0</v>
      </c>
      <c r="AO54" s="11"/>
      <c r="AP54" s="11"/>
      <c r="AQ54" s="11"/>
      <c r="AR54" s="11" t="n">
        <v>0</v>
      </c>
      <c r="AS54" s="11" t="n">
        <v>0</v>
      </c>
      <c r="AT54" s="11" t="n">
        <v>0</v>
      </c>
      <c r="AU54" s="11" t="n">
        <v>0</v>
      </c>
      <c r="AV54" s="11" t="n">
        <v>0</v>
      </c>
      <c r="AW54" s="11" t="n">
        <v>0</v>
      </c>
      <c r="AX54" s="11" t="n">
        <v>0</v>
      </c>
      <c r="AY54" s="11" t="n">
        <v>0.00786555470167679</v>
      </c>
      <c r="AZ54" s="11" t="n">
        <v>0.0218420290889068</v>
      </c>
      <c r="BA54" s="11"/>
      <c r="BB54" s="11" t="n">
        <v>0</v>
      </c>
      <c r="BC54" s="11" t="n">
        <v>0.676470588235294</v>
      </c>
      <c r="BD54" s="11" t="n">
        <v>0.107843137254902</v>
      </c>
      <c r="BE54" s="11" t="n">
        <v>0.725490196078431</v>
      </c>
      <c r="BF54" s="11" t="n">
        <v>0.382352941176471</v>
      </c>
      <c r="BG54" s="11" t="n">
        <v>0.774509803921569</v>
      </c>
      <c r="BH54" s="11" t="n">
        <v>0.490196078431372</v>
      </c>
      <c r="BI54" s="11" t="n">
        <v>0.794117647058823</v>
      </c>
      <c r="BJ54" s="11" t="n">
        <v>0.152731843348191</v>
      </c>
      <c r="BK54" s="11" t="n">
        <v>0.0268931077918328</v>
      </c>
      <c r="BL54" s="11" t="n">
        <v>0.274538709732111</v>
      </c>
      <c r="BM54" s="11" t="n">
        <v>0.145422755528901</v>
      </c>
      <c r="BN54" s="11" t="n">
        <v>0.513406476817119</v>
      </c>
      <c r="BO54" s="11" t="n">
        <v>0.520201810720492</v>
      </c>
      <c r="BP54" s="11" t="n">
        <v>0.0134017828252368</v>
      </c>
      <c r="BQ54" s="11" t="n">
        <v>0.00515210683395169</v>
      </c>
      <c r="BR54" s="11" t="n">
        <v>3.9278868335275</v>
      </c>
      <c r="BS54" s="11" t="n">
        <v>16.2918436079925</v>
      </c>
      <c r="BT54" s="11" t="n">
        <v>28.2531162984217</v>
      </c>
      <c r="BU54" s="11" t="n">
        <v>15.2731843348191</v>
      </c>
      <c r="BV54" s="11" t="n">
        <v>15.729909369749</v>
      </c>
      <c r="BW54" s="11" t="n">
        <v>9.8601191749644</v>
      </c>
      <c r="BX54" s="11" t="n">
        <v>2.21202445828789</v>
      </c>
      <c r="BY54" s="11" t="n">
        <v>7.54096823943592</v>
      </c>
      <c r="BZ54" s="11" t="n">
        <v>0.627450980392157</v>
      </c>
      <c r="CA54" s="11" t="n">
        <v>0.953125</v>
      </c>
      <c r="CB54" s="11" t="n">
        <v>0.515625</v>
      </c>
      <c r="CC54" s="11" t="n">
        <v>0.75</v>
      </c>
      <c r="CD54" s="11" t="n">
        <v>0.875</v>
      </c>
      <c r="CE54" s="11" t="n">
        <v>0.627450980392157</v>
      </c>
      <c r="CF54" s="11" t="n">
        <v>5</v>
      </c>
      <c r="CG54" s="11" t="n">
        <v>0</v>
      </c>
      <c r="CH54" s="11" t="n">
        <v>0.953125</v>
      </c>
      <c r="CI54" s="11" t="n">
        <v>0.75</v>
      </c>
      <c r="CJ54" s="11" t="n">
        <v>0.875</v>
      </c>
      <c r="CK54" s="11" t="n">
        <v>0.131578947368421</v>
      </c>
      <c r="CL54" s="11" t="n">
        <v>0.0263157894736842</v>
      </c>
      <c r="CM54" s="11" t="n">
        <v>0.0263157894736842</v>
      </c>
      <c r="CN54" s="11" t="n">
        <v>0.0263157894736842</v>
      </c>
      <c r="CO54" s="11" t="n">
        <v>0</v>
      </c>
      <c r="CP54" s="11" t="n">
        <v>0</v>
      </c>
      <c r="CQ54" s="11" t="n">
        <v>0</v>
      </c>
      <c r="CR54" s="11" t="n">
        <v>0</v>
      </c>
      <c r="CS54" s="11" t="n">
        <v>0.227272727272727</v>
      </c>
      <c r="CT54" s="11" t="n">
        <v>0.0454545454545455</v>
      </c>
      <c r="CU54" s="11" t="n">
        <v>0.0454545454545455</v>
      </c>
      <c r="CV54" s="11" t="n">
        <v>0.0454545454545455</v>
      </c>
      <c r="CW54" s="11" t="n">
        <v>0.0625</v>
      </c>
      <c r="CX54" s="11" t="n">
        <v>0.03125</v>
      </c>
      <c r="CY54" s="11" t="n">
        <v>0.00245102183817512</v>
      </c>
      <c r="CZ54" s="11" t="n">
        <v>-0.0445550634083594</v>
      </c>
      <c r="DA54" s="11" t="n">
        <v>9.21722052522846</v>
      </c>
      <c r="DB54" s="11" t="n">
        <v>-0.0162555051892977</v>
      </c>
      <c r="DC54" s="11" t="n">
        <v>18.0566143952482</v>
      </c>
      <c r="DD54" s="11" t="n">
        <v>0.14661114051898</v>
      </c>
      <c r="DE54" s="11" t="n">
        <v>0.392156862745098</v>
      </c>
      <c r="DF54" s="11" t="n">
        <v>-0.0869400498765162</v>
      </c>
      <c r="DG54" s="11" t="n">
        <v>0.0203398815057061</v>
      </c>
      <c r="DH54" s="11" t="n">
        <v>-10.7279931382222</v>
      </c>
      <c r="DI54" s="11" t="n">
        <v>136.45057325447</v>
      </c>
      <c r="DJ54" s="11" t="n">
        <v>34.8347400361876</v>
      </c>
      <c r="DK54" s="11" t="n">
        <v>25.4172059322107</v>
      </c>
      <c r="DL54" s="11" t="n">
        <v>49.05</v>
      </c>
      <c r="DM54" s="11" t="n">
        <v>0.647058823529412</v>
      </c>
      <c r="DN54" s="11" t="n">
        <v>0.647058823529412</v>
      </c>
      <c r="DO54" s="11" t="n">
        <v>-0.0154284629676927</v>
      </c>
      <c r="DP54" s="11" t="n">
        <v>0.0294117647058823</v>
      </c>
      <c r="DQ54" s="11" t="n">
        <v>0.0588235294117647</v>
      </c>
      <c r="DR54" s="11" t="n">
        <v>0.0588235294117647</v>
      </c>
      <c r="DS54" s="11" t="n">
        <v>0.0392156862745098</v>
      </c>
      <c r="DT54" s="11" t="n">
        <v>0.0392156862745098</v>
      </c>
      <c r="DU54" s="11" t="n">
        <v>0.0294117647058823</v>
      </c>
      <c r="DV54" s="11" t="n">
        <v>5</v>
      </c>
      <c r="DW54" s="11" t="s">
        <v>573</v>
      </c>
      <c r="DX54" s="11" t="n">
        <v>0.406307</v>
      </c>
      <c r="DY54" s="11" t="n">
        <v>-0.0342675331704818</v>
      </c>
      <c r="DZ54" s="11" t="n">
        <v>0.846881533170482</v>
      </c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 t="n">
        <v>8.41471963546742</v>
      </c>
      <c r="EP54" s="11" t="n">
        <v>107.610355218012</v>
      </c>
      <c r="EQ54" s="11" t="n">
        <v>2750.10114538792</v>
      </c>
      <c r="ER54" s="11" t="n">
        <v>3.80790186546431</v>
      </c>
      <c r="ES54" s="11" t="n">
        <v>3.80790186546431</v>
      </c>
      <c r="ET54" s="11" t="n">
        <v>3.51245102649659</v>
      </c>
      <c r="EU54" s="11" t="n">
        <v>44.2091462251224</v>
      </c>
      <c r="EV54" s="11" t="n">
        <v>42.389033261933</v>
      </c>
      <c r="EW54" s="11" t="n">
        <v>589.069874505643</v>
      </c>
      <c r="EX54" s="11" t="n">
        <v>675.706076169513</v>
      </c>
      <c r="EY54" s="11" t="n">
        <v>1.29981835109142</v>
      </c>
      <c r="EZ54" s="11" t="n">
        <v>0.430737383040328</v>
      </c>
      <c r="FA54" s="11" t="n">
        <v>0.0486773020685523</v>
      </c>
      <c r="FB54" s="11" t="n">
        <v>0.784313725490196</v>
      </c>
      <c r="FC54" s="11" t="n">
        <v>0</v>
      </c>
      <c r="FD54" s="11" t="n">
        <v>0</v>
      </c>
      <c r="FE54" s="11" t="s">
        <v>574</v>
      </c>
      <c r="FF54" s="11" t="s">
        <v>324</v>
      </c>
      <c r="FG54" s="11" t="n">
        <v>102</v>
      </c>
      <c r="FH54" s="11" t="s">
        <v>575</v>
      </c>
      <c r="FI54" s="11" t="s">
        <v>59</v>
      </c>
      <c r="FJ54" s="11" t="n">
        <v>0.2</v>
      </c>
      <c r="FK54" s="11" t="n">
        <v>0.363871195840737</v>
      </c>
      <c r="FL54" s="11" t="n">
        <v>0.0974349745175948</v>
      </c>
      <c r="FM54" s="11" t="n">
        <v>0.017156862745098</v>
      </c>
      <c r="FN54" s="11" t="n">
        <v>1</v>
      </c>
      <c r="FO54" s="11" t="n">
        <v>0.631977430835106</v>
      </c>
      <c r="FP54" s="11" t="n">
        <v>0.572262718498052</v>
      </c>
      <c r="FQ54" s="11" t="n">
        <v>0.242647058823529</v>
      </c>
      <c r="FR54" s="11" t="n">
        <v>0</v>
      </c>
      <c r="FS54" s="11" t="n">
        <v>0.631834255868693</v>
      </c>
      <c r="FT54" s="11" t="n">
        <v>0.571505766695982</v>
      </c>
      <c r="FU54" s="11" t="n">
        <v>1</v>
      </c>
      <c r="FV54" s="11" t="n">
        <v>11.6513262359628</v>
      </c>
      <c r="FW54" s="11" t="n">
        <v>398.579315533934</v>
      </c>
      <c r="FX54" s="11" t="n">
        <v>0.0562091873497181</v>
      </c>
      <c r="FY54" s="11" t="n">
        <v>1</v>
      </c>
      <c r="FZ54" s="11" t="n">
        <v>22</v>
      </c>
      <c r="GA54" s="11" t="n">
        <v>1</v>
      </c>
      <c r="GB54" s="11" t="s">
        <v>576</v>
      </c>
      <c r="GC54" s="11" t="n">
        <v>0.923864626416973</v>
      </c>
      <c r="GD54" s="11" t="n">
        <v>0.93539368872549</v>
      </c>
      <c r="GE54" s="11" t="n">
        <v>0.939437356882777</v>
      </c>
      <c r="GF54" s="11" t="n">
        <v>0.941176470588235</v>
      </c>
      <c r="GG54" s="11" t="n">
        <v>0.000612745098039216</v>
      </c>
      <c r="GH54" s="11" t="n">
        <v>0</v>
      </c>
      <c r="GI54" s="11" t="n">
        <v>0.0606432794818687</v>
      </c>
      <c r="GJ54" s="11" t="n">
        <v>0.0749247914143637</v>
      </c>
      <c r="GK54" s="11" t="n">
        <v>0.0728894142849321</v>
      </c>
      <c r="GL54" s="11" t="n">
        <v>0.0802336224336542</v>
      </c>
      <c r="GM54" s="11" t="n">
        <v>0.00217332412822035</v>
      </c>
      <c r="GN54" s="11" t="n">
        <v>0.00100847641863534</v>
      </c>
      <c r="GO54" s="11" t="n">
        <v>0.914828431372549</v>
      </c>
      <c r="GP54" s="11" t="n">
        <v>0.941176470588235</v>
      </c>
      <c r="GQ54" s="11" t="n">
        <v>-0.034753430634737</v>
      </c>
      <c r="GR54" s="11" t="n">
        <v>1</v>
      </c>
      <c r="GS54" s="11" t="n">
        <v>1</v>
      </c>
      <c r="GT54" s="11" t="n">
        <v>0</v>
      </c>
      <c r="GU54" s="11" t="n">
        <v>0</v>
      </c>
      <c r="GV54" s="11" t="n">
        <v>1</v>
      </c>
      <c r="GW54" s="11" t="n">
        <v>1</v>
      </c>
      <c r="GX54" s="11" t="n">
        <v>1</v>
      </c>
      <c r="GY54" s="11" t="n">
        <v>1</v>
      </c>
      <c r="GZ54" s="11" t="n">
        <v>1</v>
      </c>
      <c r="HA54" s="11" t="n">
        <v>1</v>
      </c>
      <c r="HB54" s="11" t="n">
        <v>1</v>
      </c>
      <c r="HC54" s="11" t="n">
        <v>1</v>
      </c>
      <c r="HD54" s="11" t="n">
        <v>1</v>
      </c>
      <c r="HE54" s="11" t="n">
        <v>0</v>
      </c>
      <c r="HF54" s="11" t="n">
        <v>1</v>
      </c>
      <c r="HG54" s="11" t="n">
        <v>1</v>
      </c>
      <c r="HH54" s="11" t="n">
        <v>1</v>
      </c>
      <c r="HI54" s="11" t="n">
        <v>0</v>
      </c>
      <c r="HJ54" s="11" t="n">
        <v>0</v>
      </c>
      <c r="HK54" s="11" t="s">
        <v>143</v>
      </c>
      <c r="HL54" s="11" t="s">
        <v>577</v>
      </c>
      <c r="HM54" s="11" t="n">
        <v>1</v>
      </c>
      <c r="HN54" s="11" t="s">
        <v>591</v>
      </c>
      <c r="HO54" s="11" t="s">
        <v>578</v>
      </c>
      <c r="HP54" s="11" t="s">
        <v>578</v>
      </c>
      <c r="HQ54" s="11" t="n">
        <v>0</v>
      </c>
      <c r="HR54" s="11" t="s">
        <v>189</v>
      </c>
      <c r="HS54" s="11" t="s">
        <v>190</v>
      </c>
      <c r="HT54" s="11" t="s">
        <v>190</v>
      </c>
      <c r="HU54" s="11" t="s">
        <v>967</v>
      </c>
      <c r="HV54" s="11" t="s">
        <v>967</v>
      </c>
      <c r="HW54" s="11" t="s">
        <v>968</v>
      </c>
      <c r="HX54" s="11" t="s">
        <v>961</v>
      </c>
      <c r="HY54" s="11" t="s">
        <v>583</v>
      </c>
      <c r="HZ54" s="11" t="s">
        <v>969</v>
      </c>
      <c r="IA54" s="11" t="s">
        <v>966</v>
      </c>
      <c r="IB54" s="11" t="s">
        <v>970</v>
      </c>
      <c r="IC54" s="11" t="s">
        <v>324</v>
      </c>
      <c r="ID54" s="11" t="s">
        <v>964</v>
      </c>
      <c r="IE54" s="11"/>
      <c r="IF54" s="11"/>
      <c r="IG54" s="11"/>
      <c r="IH54" s="11"/>
    </row>
    <row r="55" customFormat="false" ht="15" hidden="false" customHeight="false" outlineLevel="0" collapsed="false">
      <c r="A55" s="11" t="s">
        <v>109</v>
      </c>
      <c r="B55" s="11" t="s">
        <v>971</v>
      </c>
      <c r="C55" s="11" t="s">
        <v>569</v>
      </c>
      <c r="D55" s="11" t="s">
        <v>570</v>
      </c>
      <c r="E55" s="11" t="s">
        <v>51</v>
      </c>
      <c r="F55" s="11"/>
      <c r="G55" s="11"/>
      <c r="H55" s="11" t="s">
        <v>972</v>
      </c>
      <c r="I55" s="11" t="s">
        <v>973</v>
      </c>
      <c r="J55" s="11" t="n">
        <v>107</v>
      </c>
      <c r="K55" s="11" t="n">
        <v>3.56666666666667</v>
      </c>
      <c r="L55" s="11" t="n">
        <v>0.745589554309845</v>
      </c>
      <c r="M55" s="11" t="n">
        <v>0.808592617511749</v>
      </c>
      <c r="N55" s="11" t="n">
        <v>0</v>
      </c>
      <c r="O55" s="11" t="n">
        <v>1.14250315035905</v>
      </c>
      <c r="P55" s="11" t="n">
        <v>0.922045891615669</v>
      </c>
      <c r="Q55" s="11" t="n">
        <v>0.13424232569285</v>
      </c>
      <c r="R55" s="11" t="n">
        <v>0.439252336448598</v>
      </c>
      <c r="S55" s="11" t="n">
        <v>0.439252336448598</v>
      </c>
      <c r="T55" s="11" t="n">
        <v>0.00934579439252336</v>
      </c>
      <c r="U55" s="11" t="n">
        <v>0.00934579439252336</v>
      </c>
      <c r="V55" s="11" t="n">
        <v>0</v>
      </c>
      <c r="W55" s="11" t="n">
        <v>0.551401869158878</v>
      </c>
      <c r="X55" s="11" t="n">
        <v>0.476635514018692</v>
      </c>
      <c r="Y55" s="11" t="n">
        <v>0.514018691588785</v>
      </c>
      <c r="Z55" s="11" t="n">
        <v>0.532710280373832</v>
      </c>
      <c r="AA55" s="11" t="n">
        <v>0.0373831775700935</v>
      </c>
      <c r="AB55" s="11" t="n">
        <v>0.0186915887850467</v>
      </c>
      <c r="AC55" s="11" t="n">
        <v>-0.0011657814861018</v>
      </c>
      <c r="AD55" s="11" t="n">
        <v>-0.00637505223195372</v>
      </c>
      <c r="AE55" s="11" t="n">
        <v>0.133333333333333</v>
      </c>
      <c r="AF55" s="11" t="n">
        <v>0.0666666666666667</v>
      </c>
      <c r="AG55" s="11" t="n">
        <v>0.0333333333333333</v>
      </c>
      <c r="AH55" s="11" t="n">
        <v>0.0747663551401869</v>
      </c>
      <c r="AI55" s="11" t="n">
        <v>0.0373831775700935</v>
      </c>
      <c r="AJ55" s="11" t="n">
        <v>0.0186915887850467</v>
      </c>
      <c r="AK55" s="11" t="n">
        <v>0.377265347381792</v>
      </c>
      <c r="AL55" s="11" t="n">
        <v>0</v>
      </c>
      <c r="AM55" s="11" t="n">
        <v>0</v>
      </c>
      <c r="AN55" s="11" t="n">
        <v>0</v>
      </c>
      <c r="AO55" s="11"/>
      <c r="AP55" s="11"/>
      <c r="AQ55" s="11"/>
      <c r="AR55" s="11" t="n">
        <v>0</v>
      </c>
      <c r="AS55" s="11" t="n">
        <v>0.383177570093458</v>
      </c>
      <c r="AT55" s="11" t="n">
        <v>0.11214953271028</v>
      </c>
      <c r="AU55" s="11" t="n">
        <v>0.11214953271028</v>
      </c>
      <c r="AV55" s="11" t="n">
        <v>0</v>
      </c>
      <c r="AW55" s="11" t="n">
        <v>0</v>
      </c>
      <c r="AX55" s="11" t="n">
        <v>0</v>
      </c>
      <c r="AY55" s="11" t="n">
        <v>0.00677805119839859</v>
      </c>
      <c r="AZ55" s="11" t="n">
        <v>0.0224988904622414</v>
      </c>
      <c r="BA55" s="11"/>
      <c r="BB55" s="11" t="n">
        <v>0.495327102803738</v>
      </c>
      <c r="BC55" s="11" t="n">
        <v>0.831775700934579</v>
      </c>
      <c r="BD55" s="11" t="n">
        <v>0.551401869158878</v>
      </c>
      <c r="BE55" s="11" t="n">
        <v>0.85981308411215</v>
      </c>
      <c r="BF55" s="11" t="n">
        <v>0.757009345794392</v>
      </c>
      <c r="BG55" s="11" t="n">
        <v>0.962616822429906</v>
      </c>
      <c r="BH55" s="11" t="n">
        <v>0.775700934579439</v>
      </c>
      <c r="BI55" s="11" t="n">
        <v>0.981308411214953</v>
      </c>
      <c r="BJ55" s="11" t="n">
        <v>0.12417944640591</v>
      </c>
      <c r="BK55" s="11" t="n">
        <v>0.0274558663059486</v>
      </c>
      <c r="BL55" s="11" t="n">
        <v>0.130299753769675</v>
      </c>
      <c r="BM55" s="11" t="n">
        <v>0.0814603471440709</v>
      </c>
      <c r="BN55" s="11" t="n">
        <v>0.419956796173975</v>
      </c>
      <c r="BO55" s="11" t="n">
        <v>0.333894454826078</v>
      </c>
      <c r="BP55" s="11" t="n">
        <v>0.00872411980455611</v>
      </c>
      <c r="BQ55" s="11" t="n">
        <v>0.00675192347362985</v>
      </c>
      <c r="BR55" s="11" t="n">
        <v>3.40359965584231</v>
      </c>
      <c r="BS55" s="11" t="n">
        <v>12.5538079369559</v>
      </c>
      <c r="BT55" s="11" t="n">
        <v>17.6663429256073</v>
      </c>
      <c r="BU55" s="11" t="n">
        <v>12.417944640591</v>
      </c>
      <c r="BV55" s="11" t="n">
        <v>7.46562596259576</v>
      </c>
      <c r="BW55" s="11" t="n">
        <v>12.7956995934996</v>
      </c>
      <c r="BX55" s="11" t="n">
        <v>5.92683452569093</v>
      </c>
      <c r="BY55" s="11" t="n">
        <v>5.03729960096457</v>
      </c>
      <c r="BZ55" s="11" t="n">
        <v>0.766355140186916</v>
      </c>
      <c r="CA55" s="11" t="n">
        <v>0.719512195121951</v>
      </c>
      <c r="CB55" s="11" t="n">
        <v>0.621951219512195</v>
      </c>
      <c r="CC55" s="11" t="n">
        <v>0.670731707317073</v>
      </c>
      <c r="CD55" s="11" t="n">
        <v>0.695121951219512</v>
      </c>
      <c r="CE55" s="11" t="n">
        <v>0.766355140186916</v>
      </c>
      <c r="CF55" s="11" t="n">
        <v>5</v>
      </c>
      <c r="CG55" s="11" t="n">
        <v>0</v>
      </c>
      <c r="CH55" s="11" t="n">
        <v>0.719512195121951</v>
      </c>
      <c r="CI55" s="11" t="n">
        <v>0.670731707317073</v>
      </c>
      <c r="CJ55" s="11" t="n">
        <v>0.695121951219512</v>
      </c>
      <c r="CK55" s="11" t="n">
        <v>0</v>
      </c>
      <c r="CL55" s="11" t="n">
        <v>0</v>
      </c>
      <c r="CM55" s="11" t="n">
        <v>0</v>
      </c>
      <c r="CN55" s="11" t="n">
        <v>0</v>
      </c>
      <c r="CO55" s="11" t="n">
        <v>0</v>
      </c>
      <c r="CP55" s="11" t="n">
        <v>0</v>
      </c>
      <c r="CQ55" s="11" t="n">
        <v>0</v>
      </c>
      <c r="CR55" s="11" t="n">
        <v>0</v>
      </c>
      <c r="CS55" s="11" t="n">
        <v>0</v>
      </c>
      <c r="CT55" s="11" t="n">
        <v>0</v>
      </c>
      <c r="CU55" s="11" t="n">
        <v>0</v>
      </c>
      <c r="CV55" s="11" t="n">
        <v>0</v>
      </c>
      <c r="CW55" s="11" t="n">
        <v>0.0121951219512195</v>
      </c>
      <c r="CX55" s="11" t="n">
        <v>0.0121951219512195</v>
      </c>
      <c r="CY55" s="11" t="n">
        <v>-0.05494370239984</v>
      </c>
      <c r="CZ55" s="11" t="n">
        <v>-0.147253973490367</v>
      </c>
      <c r="DA55" s="11" t="n">
        <v>10.9152334904674</v>
      </c>
      <c r="DB55" s="11" t="n">
        <v>-0.0992770404791609</v>
      </c>
      <c r="DC55" s="11" t="n">
        <v>16.3030145748909</v>
      </c>
      <c r="DD55" s="11" t="n">
        <v>0.378476251096079</v>
      </c>
      <c r="DE55" s="11" t="n">
        <v>0.570093457943925</v>
      </c>
      <c r="DF55" s="11" t="n">
        <v>-0.116064901930015</v>
      </c>
      <c r="DG55" s="11" t="n">
        <v>-0.0923580891018516</v>
      </c>
      <c r="DH55" s="11" t="n">
        <v>-2.37068128281633</v>
      </c>
      <c r="DI55" s="11" t="n">
        <v>153.005241676596</v>
      </c>
      <c r="DJ55" s="11" t="n">
        <v>79.1380066060649</v>
      </c>
      <c r="DK55" s="11" t="n">
        <v>8.8062853707992</v>
      </c>
      <c r="DL55" s="11" t="n">
        <v>49.05</v>
      </c>
      <c r="DM55" s="11" t="n">
        <v>0.242990654205607</v>
      </c>
      <c r="DN55" s="11" t="n">
        <v>0.233644859813084</v>
      </c>
      <c r="DO55" s="11" t="n">
        <v>-0.0115192361348847</v>
      </c>
      <c r="DP55" s="11" t="n">
        <v>0</v>
      </c>
      <c r="DQ55" s="11" t="n">
        <v>0</v>
      </c>
      <c r="DR55" s="11" t="n">
        <v>0</v>
      </c>
      <c r="DS55" s="11" t="n">
        <v>0</v>
      </c>
      <c r="DT55" s="11" t="n">
        <v>0</v>
      </c>
      <c r="DU55" s="11" t="n">
        <v>0</v>
      </c>
      <c r="DV55" s="11" t="n">
        <v>5</v>
      </c>
      <c r="DW55" s="11" t="s">
        <v>573</v>
      </c>
      <c r="DX55" s="11" t="n">
        <v>0.406307</v>
      </c>
      <c r="DY55" s="11" t="n">
        <v>0.0869863255642391</v>
      </c>
      <c r="DZ55" s="11" t="n">
        <v>0.725627674435761</v>
      </c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 t="n">
        <v>6.7232070470881</v>
      </c>
      <c r="EP55" s="11" t="n">
        <v>81.7306278588582</v>
      </c>
      <c r="EQ55" s="11" t="n">
        <v>1925.12257301704</v>
      </c>
      <c r="ER55" s="11" t="n">
        <v>3.25833997942669</v>
      </c>
      <c r="ES55" s="11" t="n">
        <v>3.25833997942669</v>
      </c>
      <c r="ET55" s="11" t="n">
        <v>2.88963963166788</v>
      </c>
      <c r="EU55" s="11" t="n">
        <v>40.2397678464941</v>
      </c>
      <c r="EV55" s="11" t="n">
        <v>40.2397678464941</v>
      </c>
      <c r="EW55" s="11" t="n">
        <v>474.861459153821</v>
      </c>
      <c r="EX55" s="11" t="n">
        <v>534.667897002738</v>
      </c>
      <c r="EY55" s="11" t="n">
        <v>1.35350212381961</v>
      </c>
      <c r="EZ55" s="11" t="n">
        <v>1.20413246998947</v>
      </c>
      <c r="FA55" s="11" t="n">
        <v>0.0499158547514412</v>
      </c>
      <c r="FB55" s="11" t="n">
        <v>1</v>
      </c>
      <c r="FC55" s="11" t="n">
        <v>0</v>
      </c>
      <c r="FD55" s="11" t="n">
        <v>0</v>
      </c>
      <c r="FE55" s="11" t="s">
        <v>574</v>
      </c>
      <c r="FF55" s="11" t="s">
        <v>329</v>
      </c>
      <c r="FG55" s="11" t="n">
        <v>107</v>
      </c>
      <c r="FH55" s="11" t="s">
        <v>575</v>
      </c>
      <c r="FI55" s="11" t="s">
        <v>59</v>
      </c>
      <c r="FJ55" s="11" t="n">
        <v>0.2</v>
      </c>
      <c r="FK55" s="11" t="n">
        <v>0.136535284070981</v>
      </c>
      <c r="FL55" s="11" t="n">
        <v>0.096165699803162</v>
      </c>
      <c r="FM55" s="11" t="n">
        <v>0</v>
      </c>
      <c r="FN55" s="11" t="n">
        <v>1</v>
      </c>
      <c r="FO55" s="11" t="n">
        <v>0.589357815281585</v>
      </c>
      <c r="FP55" s="11" t="n">
        <v>0.361031262446945</v>
      </c>
      <c r="FQ55" s="11" t="n">
        <v>0.116822429906542</v>
      </c>
      <c r="FR55" s="11" t="n">
        <v>0</v>
      </c>
      <c r="FS55" s="11" t="n">
        <v>0.58931128019421</v>
      </c>
      <c r="FT55" s="11" t="n">
        <v>0.348468635780863</v>
      </c>
      <c r="FU55" s="11" t="n">
        <v>1</v>
      </c>
      <c r="FV55" s="11" t="n">
        <v>7.21961160025939</v>
      </c>
      <c r="FW55" s="11" t="n">
        <v>217.974710351634</v>
      </c>
      <c r="FX55" s="11" t="n">
        <v>0.0165535675037906</v>
      </c>
      <c r="FY55" s="11" t="n">
        <v>1</v>
      </c>
      <c r="FZ55" s="11" t="n">
        <v>18</v>
      </c>
      <c r="GA55" s="11" t="n">
        <v>1</v>
      </c>
      <c r="GB55" s="11" t="s">
        <v>576</v>
      </c>
      <c r="GC55" s="11" t="n">
        <v>0.44546252099153</v>
      </c>
      <c r="GD55" s="11" t="n">
        <v>0.456127701518692</v>
      </c>
      <c r="GE55" s="11" t="n">
        <v>0.457943925233645</v>
      </c>
      <c r="GF55" s="11" t="n">
        <v>0.457943925233645</v>
      </c>
      <c r="GG55" s="11" t="n">
        <v>0.485981308411215</v>
      </c>
      <c r="GH55" s="11" t="n">
        <v>0.485981308411215</v>
      </c>
      <c r="GI55" s="11" t="n">
        <v>-0.00345003249318987</v>
      </c>
      <c r="GJ55" s="11" t="n">
        <v>0.000817061306160187</v>
      </c>
      <c r="GK55" s="11" t="n">
        <v>0.000599302667898169</v>
      </c>
      <c r="GL55" s="11" t="n">
        <v>0.00247551293208081</v>
      </c>
      <c r="GM55" s="11" t="n">
        <v>0.166734744096543</v>
      </c>
      <c r="GN55" s="11" t="n">
        <v>0.155606758512655</v>
      </c>
      <c r="GO55" s="11" t="n">
        <v>0.457943925233645</v>
      </c>
      <c r="GP55" s="11" t="n">
        <v>0.457943925233645</v>
      </c>
      <c r="GQ55" s="11" t="n">
        <v>-0.0381678342819214</v>
      </c>
      <c r="GR55" s="11" t="n">
        <v>0</v>
      </c>
      <c r="GS55" s="11" t="n">
        <v>1</v>
      </c>
      <c r="GT55" s="11" t="n">
        <v>0</v>
      </c>
      <c r="GU55" s="11" t="n">
        <v>0</v>
      </c>
      <c r="GV55" s="11" t="n">
        <v>1</v>
      </c>
      <c r="GW55" s="11" t="n">
        <v>1</v>
      </c>
      <c r="GX55" s="11" t="n">
        <v>1</v>
      </c>
      <c r="GY55" s="11" t="n">
        <v>1</v>
      </c>
      <c r="GZ55" s="11" t="n">
        <v>1</v>
      </c>
      <c r="HA55" s="11" t="n">
        <v>0</v>
      </c>
      <c r="HB55" s="11" t="n">
        <v>1</v>
      </c>
      <c r="HC55" s="11" t="n">
        <v>1</v>
      </c>
      <c r="HD55" s="11" t="n">
        <v>1</v>
      </c>
      <c r="HE55" s="11" t="n">
        <v>1</v>
      </c>
      <c r="HF55" s="11" t="n">
        <v>1</v>
      </c>
      <c r="HG55" s="11" t="n">
        <v>1</v>
      </c>
      <c r="HH55" s="11" t="n">
        <v>0</v>
      </c>
      <c r="HI55" s="11" t="n">
        <v>0</v>
      </c>
      <c r="HJ55" s="11" t="n">
        <v>0</v>
      </c>
      <c r="HK55" s="11" t="s">
        <v>139</v>
      </c>
      <c r="HL55" s="11" t="s">
        <v>577</v>
      </c>
      <c r="HM55" s="11" t="n">
        <v>1</v>
      </c>
      <c r="HN55" s="11" t="s">
        <v>10</v>
      </c>
      <c r="HO55" s="11" t="s">
        <v>578</v>
      </c>
      <c r="HP55" s="11" t="s">
        <v>578</v>
      </c>
      <c r="HQ55" s="11" t="n">
        <v>0</v>
      </c>
      <c r="HR55" s="11" t="s">
        <v>189</v>
      </c>
      <c r="HS55" s="11" t="s">
        <v>579</v>
      </c>
      <c r="HT55" s="11" t="s">
        <v>579</v>
      </c>
      <c r="HU55" s="11" t="s">
        <v>974</v>
      </c>
      <c r="HV55" s="11" t="s">
        <v>974</v>
      </c>
      <c r="HW55" s="11" t="s">
        <v>975</v>
      </c>
      <c r="HX55" s="11" t="s">
        <v>976</v>
      </c>
      <c r="HY55" s="11" t="s">
        <v>583</v>
      </c>
      <c r="HZ55" s="11" t="s">
        <v>977</v>
      </c>
      <c r="IA55" s="11" t="s">
        <v>972</v>
      </c>
      <c r="IB55" s="11" t="s">
        <v>978</v>
      </c>
      <c r="IC55" s="11" t="s">
        <v>329</v>
      </c>
      <c r="ID55" s="11" t="s">
        <v>979</v>
      </c>
      <c r="IE55" s="11"/>
      <c r="IF55" s="11"/>
      <c r="IG55" s="11"/>
      <c r="IH55" s="11"/>
    </row>
    <row r="56" customFormat="false" ht="15" hidden="false" customHeight="false" outlineLevel="0" collapsed="false">
      <c r="A56" s="11" t="s">
        <v>109</v>
      </c>
      <c r="B56" s="11" t="s">
        <v>980</v>
      </c>
      <c r="C56" s="11" t="s">
        <v>588</v>
      </c>
      <c r="D56" s="11" t="s">
        <v>570</v>
      </c>
      <c r="E56" s="11" t="s">
        <v>51</v>
      </c>
      <c r="F56" s="11"/>
      <c r="G56" s="11"/>
      <c r="H56" s="11" t="s">
        <v>981</v>
      </c>
      <c r="I56" s="11" t="s">
        <v>328</v>
      </c>
      <c r="J56" s="11" t="n">
        <v>107</v>
      </c>
      <c r="K56" s="11" t="n">
        <v>3.56666666666667</v>
      </c>
      <c r="L56" s="11" t="n">
        <v>0.745287239551544</v>
      </c>
      <c r="M56" s="11" t="n">
        <v>0.798423051834106</v>
      </c>
      <c r="N56" s="11" t="n">
        <v>0</v>
      </c>
      <c r="O56" s="11" t="n">
        <v>1.13024005169675</v>
      </c>
      <c r="P56" s="11" t="n">
        <v>0.915456453712861</v>
      </c>
      <c r="Q56" s="11" t="n">
        <v>0.228203349269479</v>
      </c>
      <c r="R56" s="11" t="n">
        <v>0.224299065420561</v>
      </c>
      <c r="S56" s="11" t="n">
        <v>0.317757009345794</v>
      </c>
      <c r="T56" s="11" t="n">
        <v>0.0280373831775701</v>
      </c>
      <c r="U56" s="11" t="n">
        <v>0.0186915887850467</v>
      </c>
      <c r="V56" s="11" t="n">
        <v>0</v>
      </c>
      <c r="W56" s="11" t="n">
        <v>0.467289719626168</v>
      </c>
      <c r="X56" s="11" t="n">
        <v>0.429906542056075</v>
      </c>
      <c r="Y56" s="11" t="n">
        <v>0.429906542056075</v>
      </c>
      <c r="Z56" s="11" t="n">
        <v>0.448598130841121</v>
      </c>
      <c r="AA56" s="11" t="n">
        <v>0.0373831775700935</v>
      </c>
      <c r="AB56" s="11" t="n">
        <v>0.0186915887850467</v>
      </c>
      <c r="AC56" s="11" t="n">
        <v>-0.00102265491332158</v>
      </c>
      <c r="AD56" s="11" t="n">
        <v>-0.00753098417815802</v>
      </c>
      <c r="AE56" s="11" t="n">
        <v>0.0769230769230769</v>
      </c>
      <c r="AF56" s="11" t="n">
        <v>0.0769230769230769</v>
      </c>
      <c r="AG56" s="11" t="n">
        <v>0.0384615384615385</v>
      </c>
      <c r="AH56" s="11" t="n">
        <v>0.0373831775700935</v>
      </c>
      <c r="AI56" s="11" t="n">
        <v>0.0373831775700935</v>
      </c>
      <c r="AJ56" s="11" t="n">
        <v>0.0186915887850467</v>
      </c>
      <c r="AK56" s="11" t="n">
        <v>0.383567056524706</v>
      </c>
      <c r="AL56" s="11" t="n">
        <v>0</v>
      </c>
      <c r="AM56" s="11" t="n">
        <v>0</v>
      </c>
      <c r="AN56" s="11" t="n">
        <v>0</v>
      </c>
      <c r="AO56" s="11"/>
      <c r="AP56" s="11"/>
      <c r="AQ56" s="11"/>
      <c r="AR56" s="11" t="n">
        <v>0</v>
      </c>
      <c r="AS56" s="11" t="n">
        <v>0.345794392523364</v>
      </c>
      <c r="AT56" s="11" t="n">
        <v>0.11214953271028</v>
      </c>
      <c r="AU56" s="11" t="n">
        <v>0.11214953271028</v>
      </c>
      <c r="AV56" s="11" t="n">
        <v>0</v>
      </c>
      <c r="AW56" s="11" t="n">
        <v>0</v>
      </c>
      <c r="AX56" s="11" t="n">
        <v>0</v>
      </c>
      <c r="AY56" s="11" t="n">
        <v>0.00732949680601462</v>
      </c>
      <c r="AZ56" s="11" t="n">
        <v>0.018778137874111</v>
      </c>
      <c r="BA56" s="11"/>
      <c r="BB56" s="11" t="n">
        <v>0.457943925233645</v>
      </c>
      <c r="BC56" s="11" t="n">
        <v>0.822429906542056</v>
      </c>
      <c r="BD56" s="11" t="n">
        <v>0.691588785046729</v>
      </c>
      <c r="BE56" s="11" t="n">
        <v>0.85981308411215</v>
      </c>
      <c r="BF56" s="11" t="n">
        <v>0.757009345794392</v>
      </c>
      <c r="BG56" s="11" t="n">
        <v>0.962616822429906</v>
      </c>
      <c r="BH56" s="11" t="n">
        <v>0.775700934579439</v>
      </c>
      <c r="BI56" s="11" t="n">
        <v>0.97196261682243</v>
      </c>
      <c r="BJ56" s="11" t="n">
        <v>0.122314620347472</v>
      </c>
      <c r="BK56" s="11" t="n">
        <v>0.0562798344003327</v>
      </c>
      <c r="BL56" s="11" t="n">
        <v>0.0955828680079677</v>
      </c>
      <c r="BM56" s="11" t="n">
        <v>0.0357056613071182</v>
      </c>
      <c r="BN56" s="11" t="n">
        <v>0.383501388053707</v>
      </c>
      <c r="BO56" s="11" t="n">
        <v>0.336476638210687</v>
      </c>
      <c r="BP56" s="11" t="n">
        <v>0.0077276545558438</v>
      </c>
      <c r="BQ56" s="11" t="n">
        <v>0.0042589522643659</v>
      </c>
      <c r="BR56" s="11" t="n">
        <v>3.12285469496923</v>
      </c>
      <c r="BS56" s="11" t="n">
        <v>12.3696397049127</v>
      </c>
      <c r="BT56" s="11" t="n">
        <v>14.9992009183764</v>
      </c>
      <c r="BU56" s="11" t="n">
        <v>12.2314620347472</v>
      </c>
      <c r="BV56" s="11" t="n">
        <v>5.47649493061196</v>
      </c>
      <c r="BW56" s="11" t="n">
        <v>10.6686454698544</v>
      </c>
      <c r="BX56" s="11" t="n">
        <v>3.2293496661136</v>
      </c>
      <c r="BY56" s="11" t="n">
        <v>5.49300034714823</v>
      </c>
      <c r="BZ56" s="11" t="n">
        <v>0.766355140186916</v>
      </c>
      <c r="CA56" s="11" t="n">
        <v>0.597560975609756</v>
      </c>
      <c r="CB56" s="11" t="n">
        <v>0.548780487804878</v>
      </c>
      <c r="CC56" s="11" t="n">
        <v>0.548780487804878</v>
      </c>
      <c r="CD56" s="11" t="n">
        <v>0.573170731707317</v>
      </c>
      <c r="CE56" s="11" t="n">
        <v>0.766355140186916</v>
      </c>
      <c r="CF56" s="11" t="n">
        <v>5</v>
      </c>
      <c r="CG56" s="11" t="n">
        <v>0</v>
      </c>
      <c r="CH56" s="11" t="n">
        <v>0.597560975609756</v>
      </c>
      <c r="CI56" s="11" t="n">
        <v>0.548780487804878</v>
      </c>
      <c r="CJ56" s="11" t="n">
        <v>0.573170731707317</v>
      </c>
      <c r="CK56" s="11" t="n">
        <v>0.04</v>
      </c>
      <c r="CL56" s="11" t="n">
        <v>0.04</v>
      </c>
      <c r="CM56" s="11" t="n">
        <v>0.04</v>
      </c>
      <c r="CN56" s="11" t="n">
        <v>0.04</v>
      </c>
      <c r="CO56" s="11" t="n">
        <v>0</v>
      </c>
      <c r="CP56" s="11" t="n">
        <v>0</v>
      </c>
      <c r="CQ56" s="11" t="n">
        <v>0</v>
      </c>
      <c r="CR56" s="11" t="n">
        <v>0</v>
      </c>
      <c r="CS56" s="11" t="n">
        <v>0.0555555555555556</v>
      </c>
      <c r="CT56" s="11" t="n">
        <v>0.0555555555555556</v>
      </c>
      <c r="CU56" s="11" t="n">
        <v>0.0555555555555556</v>
      </c>
      <c r="CV56" s="11" t="n">
        <v>0.0555555555555556</v>
      </c>
      <c r="CW56" s="11" t="n">
        <v>0.0365853658536585</v>
      </c>
      <c r="CX56" s="11" t="n">
        <v>0.024390243902439</v>
      </c>
      <c r="CY56" s="11" t="n">
        <v>0.000261293754627219</v>
      </c>
      <c r="CZ56" s="11" t="n">
        <v>-0.0698632117507619</v>
      </c>
      <c r="DA56" s="11" t="n">
        <v>9.60438494032249</v>
      </c>
      <c r="DB56" s="11" t="n">
        <v>-0.0138189886708768</v>
      </c>
      <c r="DC56" s="11" t="n">
        <v>14.7917342568383</v>
      </c>
      <c r="DD56" s="11" t="n">
        <v>0.216272243427668</v>
      </c>
      <c r="DE56" s="11" t="n">
        <v>0.570093457943925</v>
      </c>
      <c r="DF56" s="11" t="n">
        <v>-0.0346994464089531</v>
      </c>
      <c r="DG56" s="11" t="n">
        <v>-0.0183866909630721</v>
      </c>
      <c r="DH56" s="11" t="n">
        <v>-1.6312755445881</v>
      </c>
      <c r="DI56" s="11" t="n">
        <v>120.80106625996</v>
      </c>
      <c r="DJ56" s="11" t="n">
        <v>49.9047082166778</v>
      </c>
      <c r="DK56" s="11" t="n">
        <v>11.074983235599</v>
      </c>
      <c r="DL56" s="11" t="n">
        <v>49.05</v>
      </c>
      <c r="DM56" s="11" t="n">
        <v>0.242990654205607</v>
      </c>
      <c r="DN56" s="11" t="n">
        <v>0.233644859813084</v>
      </c>
      <c r="DO56" s="11" t="n">
        <v>-0.0115192361348847</v>
      </c>
      <c r="DP56" s="11" t="n">
        <v>0</v>
      </c>
      <c r="DQ56" s="11" t="n">
        <v>0</v>
      </c>
      <c r="DR56" s="11" t="n">
        <v>0</v>
      </c>
      <c r="DS56" s="11" t="n">
        <v>0</v>
      </c>
      <c r="DT56" s="11" t="n">
        <v>0</v>
      </c>
      <c r="DU56" s="11" t="n">
        <v>0</v>
      </c>
      <c r="DV56" s="11" t="n">
        <v>5</v>
      </c>
      <c r="DW56" s="11" t="s">
        <v>573</v>
      </c>
      <c r="DX56" s="11" t="n">
        <v>0.406307</v>
      </c>
      <c r="DY56" s="11" t="n">
        <v>0.0869863255642391</v>
      </c>
      <c r="DZ56" s="11" t="n">
        <v>0.725627674435761</v>
      </c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 t="n">
        <v>6.46576675443836</v>
      </c>
      <c r="EP56" s="11" t="n">
        <v>76.6495196671714</v>
      </c>
      <c r="EQ56" s="11" t="n">
        <v>1674.06562366117</v>
      </c>
      <c r="ER56" s="11" t="n">
        <v>3.089209012525</v>
      </c>
      <c r="ES56" s="11" t="n">
        <v>3.089209012525</v>
      </c>
      <c r="ET56" s="11" t="n">
        <v>2.43347859082593</v>
      </c>
      <c r="EU56" s="11" t="n">
        <v>34.5321978663662</v>
      </c>
      <c r="EV56" s="11" t="n">
        <v>34.5321978663662</v>
      </c>
      <c r="EW56" s="11" t="n">
        <v>439.733216073285</v>
      </c>
      <c r="EX56" s="11" t="n">
        <v>501.20553437296</v>
      </c>
      <c r="EY56" s="11" t="n">
        <v>1.08570232999472</v>
      </c>
      <c r="EZ56" s="11" t="n">
        <v>1.22374366870394</v>
      </c>
      <c r="FA56" s="11" t="n">
        <v>0.0479280565233568</v>
      </c>
      <c r="FB56" s="11" t="n">
        <v>1</v>
      </c>
      <c r="FC56" s="11" t="n">
        <v>0</v>
      </c>
      <c r="FD56" s="11" t="n">
        <v>0</v>
      </c>
      <c r="FE56" s="11" t="s">
        <v>574</v>
      </c>
      <c r="FF56" s="11" t="s">
        <v>329</v>
      </c>
      <c r="FG56" s="11" t="n">
        <v>107</v>
      </c>
      <c r="FH56" s="11" t="s">
        <v>575</v>
      </c>
      <c r="FI56" s="11" t="s">
        <v>59</v>
      </c>
      <c r="FJ56" s="11" t="n">
        <v>0.2</v>
      </c>
      <c r="FK56" s="11" t="n">
        <v>0.103866447595108</v>
      </c>
      <c r="FL56" s="11" t="n">
        <v>0.0715899126969731</v>
      </c>
      <c r="FM56" s="11" t="n">
        <v>0</v>
      </c>
      <c r="FN56" s="11" t="n">
        <v>1</v>
      </c>
      <c r="FO56" s="11" t="n">
        <v>0.49881226687267</v>
      </c>
      <c r="FP56" s="11" t="n">
        <v>0.302114834170409</v>
      </c>
      <c r="FQ56" s="11" t="n">
        <v>0.0537383177570093</v>
      </c>
      <c r="FR56" s="11" t="n">
        <v>0</v>
      </c>
      <c r="FS56" s="11" t="n">
        <v>0.498753385362974</v>
      </c>
      <c r="FT56" s="11" t="n">
        <v>0.30094767894821</v>
      </c>
      <c r="FU56" s="11" t="n">
        <v>1</v>
      </c>
      <c r="FV56" s="11" t="n">
        <v>7.74633985571625</v>
      </c>
      <c r="FW56" s="11" t="n">
        <v>222.322506857697</v>
      </c>
      <c r="FX56" s="11" t="n">
        <v>0.0165681633724037</v>
      </c>
      <c r="FY56" s="11" t="n">
        <v>1</v>
      </c>
      <c r="FZ56" s="11" t="n">
        <v>18</v>
      </c>
      <c r="GA56" s="11" t="n">
        <v>1</v>
      </c>
      <c r="GB56" s="11" t="s">
        <v>576</v>
      </c>
      <c r="GC56" s="11" t="n">
        <v>0.558200158805491</v>
      </c>
      <c r="GD56" s="11" t="n">
        <v>0.577038916471963</v>
      </c>
      <c r="GE56" s="11" t="n">
        <v>0.568896602043908</v>
      </c>
      <c r="GF56" s="11" t="n">
        <v>0.578981126058046</v>
      </c>
      <c r="GG56" s="11" t="n">
        <v>0.355140186915888</v>
      </c>
      <c r="GH56" s="11" t="n">
        <v>0.355140186915888</v>
      </c>
      <c r="GI56" s="11" t="n">
        <v>0.000958143826737286</v>
      </c>
      <c r="GJ56" s="11" t="n">
        <v>0.00850160737635098</v>
      </c>
      <c r="GK56" s="11" t="n">
        <v>0.00653780131956189</v>
      </c>
      <c r="GL56" s="11" t="n">
        <v>0.0103698065972269</v>
      </c>
      <c r="GM56" s="11" t="n">
        <v>0.16215175381542</v>
      </c>
      <c r="GN56" s="11" t="n">
        <v>0.151699369770379</v>
      </c>
      <c r="GO56" s="11" t="n">
        <v>0.53125</v>
      </c>
      <c r="GP56" s="11" t="n">
        <v>0.560747663551402</v>
      </c>
      <c r="GQ56" s="11" t="n">
        <v>-0.0323090106248856</v>
      </c>
      <c r="GR56" s="11" t="n">
        <v>0</v>
      </c>
      <c r="GS56" s="11" t="n">
        <v>1</v>
      </c>
      <c r="GT56" s="11" t="n">
        <v>0</v>
      </c>
      <c r="GU56" s="11" t="n">
        <v>0</v>
      </c>
      <c r="GV56" s="11" t="n">
        <v>1</v>
      </c>
      <c r="GW56" s="11" t="n">
        <v>1</v>
      </c>
      <c r="GX56" s="11" t="n">
        <v>1</v>
      </c>
      <c r="GY56" s="11" t="n">
        <v>1</v>
      </c>
      <c r="GZ56" s="11" t="n">
        <v>1</v>
      </c>
      <c r="HA56" s="11" t="n">
        <v>0</v>
      </c>
      <c r="HB56" s="11" t="n">
        <v>1</v>
      </c>
      <c r="HC56" s="11" t="n">
        <v>1</v>
      </c>
      <c r="HD56" s="11" t="n">
        <v>1</v>
      </c>
      <c r="HE56" s="11" t="n">
        <v>1</v>
      </c>
      <c r="HF56" s="11" t="n">
        <v>1</v>
      </c>
      <c r="HG56" s="11" t="n">
        <v>1</v>
      </c>
      <c r="HH56" s="11" t="n">
        <v>0</v>
      </c>
      <c r="HI56" s="11" t="n">
        <v>0</v>
      </c>
      <c r="HJ56" s="11" t="n">
        <v>0</v>
      </c>
      <c r="HK56" s="11" t="s">
        <v>139</v>
      </c>
      <c r="HL56" s="11" t="s">
        <v>577</v>
      </c>
      <c r="HM56" s="11" t="n">
        <v>1</v>
      </c>
      <c r="HN56" s="11" t="s">
        <v>591</v>
      </c>
      <c r="HO56" s="11" t="s">
        <v>578</v>
      </c>
      <c r="HP56" s="11" t="s">
        <v>578</v>
      </c>
      <c r="HQ56" s="11" t="n">
        <v>0</v>
      </c>
      <c r="HR56" s="11" t="s">
        <v>189</v>
      </c>
      <c r="HS56" s="11" t="s">
        <v>300</v>
      </c>
      <c r="HT56" s="11" t="s">
        <v>300</v>
      </c>
      <c r="HU56" s="11" t="s">
        <v>982</v>
      </c>
      <c r="HV56" s="11" t="s">
        <v>982</v>
      </c>
      <c r="HW56" s="11" t="s">
        <v>983</v>
      </c>
      <c r="HX56" s="11" t="s">
        <v>976</v>
      </c>
      <c r="HY56" s="11" t="s">
        <v>583</v>
      </c>
      <c r="HZ56" s="11" t="s">
        <v>984</v>
      </c>
      <c r="IA56" s="11" t="s">
        <v>981</v>
      </c>
      <c r="IB56" s="11" t="s">
        <v>985</v>
      </c>
      <c r="IC56" s="11" t="s">
        <v>329</v>
      </c>
      <c r="ID56" s="11" t="s">
        <v>979</v>
      </c>
      <c r="IE56" s="11"/>
      <c r="IF56" s="11"/>
      <c r="IG56" s="11"/>
      <c r="IH56" s="11"/>
    </row>
    <row r="57" customFormat="false" ht="15" hidden="false" customHeight="false" outlineLevel="0" collapsed="false">
      <c r="A57" s="11" t="s">
        <v>110</v>
      </c>
      <c r="B57" s="11" t="s">
        <v>986</v>
      </c>
      <c r="C57" s="11" t="s">
        <v>569</v>
      </c>
      <c r="D57" s="11" t="s">
        <v>570</v>
      </c>
      <c r="E57" s="11" t="s">
        <v>51</v>
      </c>
      <c r="F57" s="11"/>
      <c r="G57" s="11"/>
      <c r="H57" s="11" t="s">
        <v>987</v>
      </c>
      <c r="I57" s="11" t="s">
        <v>988</v>
      </c>
      <c r="J57" s="11" t="n">
        <v>190</v>
      </c>
      <c r="K57" s="11" t="n">
        <v>6.33333333333333</v>
      </c>
      <c r="L57" s="11" t="n">
        <v>0.74053567647934</v>
      </c>
      <c r="M57" s="11" t="n">
        <v>0.800953984260559</v>
      </c>
      <c r="N57" s="11" t="n">
        <v>0</v>
      </c>
      <c r="O57" s="11" t="n">
        <v>1.54539126656217</v>
      </c>
      <c r="P57" s="11" t="n">
        <v>0.911959894973207</v>
      </c>
      <c r="Q57" s="11" t="n">
        <v>0.143023229088077</v>
      </c>
      <c r="R57" s="11" t="n">
        <v>0.747368421052632</v>
      </c>
      <c r="S57" s="11" t="n">
        <v>0.257894736842105</v>
      </c>
      <c r="T57" s="11" t="n">
        <v>0.0368421052631579</v>
      </c>
      <c r="U57" s="11" t="n">
        <v>0</v>
      </c>
      <c r="V57" s="11" t="n">
        <v>0</v>
      </c>
      <c r="W57" s="11" t="n">
        <v>0.4</v>
      </c>
      <c r="X57" s="11" t="n">
        <v>0.305263157894737</v>
      </c>
      <c r="Y57" s="11" t="n">
        <v>0.357894736842105</v>
      </c>
      <c r="Z57" s="11" t="n">
        <v>0.4</v>
      </c>
      <c r="AA57" s="11" t="n">
        <v>0.0421052631578947</v>
      </c>
      <c r="AB57" s="11" t="n">
        <v>0</v>
      </c>
      <c r="AC57" s="11" t="n">
        <v>-0.00124093375445371</v>
      </c>
      <c r="AD57" s="11" t="n">
        <v>-0.00480618463785266</v>
      </c>
      <c r="AE57" s="11" t="n">
        <v>0.191489361702128</v>
      </c>
      <c r="AF57" s="11" t="n">
        <v>0.0851063829787234</v>
      </c>
      <c r="AG57" s="11" t="n">
        <v>0</v>
      </c>
      <c r="AH57" s="11" t="n">
        <v>0.0947368421052632</v>
      </c>
      <c r="AI57" s="11" t="n">
        <v>0.0421052631578947</v>
      </c>
      <c r="AJ57" s="11" t="n">
        <v>0</v>
      </c>
      <c r="AK57" s="11" t="n">
        <v>0.382886221521124</v>
      </c>
      <c r="AL57" s="11" t="n">
        <v>0</v>
      </c>
      <c r="AM57" s="11" t="n">
        <v>0</v>
      </c>
      <c r="AN57" s="11" t="n">
        <v>0</v>
      </c>
      <c r="AO57" s="11"/>
      <c r="AP57" s="11"/>
      <c r="AQ57" s="11"/>
      <c r="AR57" s="11" t="n">
        <v>0</v>
      </c>
      <c r="AS57" s="11" t="n">
        <v>0.00526315789473684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0.00323399206430337</v>
      </c>
      <c r="AZ57" s="11" t="n">
        <v>0.0184374480903585</v>
      </c>
      <c r="BA57" s="11"/>
      <c r="BB57" s="11" t="n">
        <v>0.257894736842105</v>
      </c>
      <c r="BC57" s="11" t="n">
        <v>0.631578947368421</v>
      </c>
      <c r="BD57" s="11" t="n">
        <v>0.468421052631579</v>
      </c>
      <c r="BE57" s="11" t="n">
        <v>0.636842105263158</v>
      </c>
      <c r="BF57" s="11" t="n">
        <v>0.531578947368421</v>
      </c>
      <c r="BG57" s="11" t="n">
        <v>0.710526315789474</v>
      </c>
      <c r="BH57" s="11" t="n">
        <v>0.557894736842105</v>
      </c>
      <c r="BI57" s="11" t="n">
        <v>0.773684210526316</v>
      </c>
      <c r="BJ57" s="11" t="n">
        <v>0.258266262328302</v>
      </c>
      <c r="BK57" s="11" t="n">
        <v>0.979423626910648</v>
      </c>
      <c r="BL57" s="11" t="n">
        <v>0.0947810009781565</v>
      </c>
      <c r="BM57" s="11" t="n">
        <v>0.0130701003182049</v>
      </c>
      <c r="BN57" s="11" t="n">
        <v>0.319000338398426</v>
      </c>
      <c r="BO57" s="11" t="n">
        <v>0.123193615683981</v>
      </c>
      <c r="BP57" s="11" t="n">
        <v>0.00923347960549613</v>
      </c>
      <c r="BQ57" s="11" t="n">
        <v>0.00256617496581037</v>
      </c>
      <c r="BR57" s="11" t="n">
        <v>2.39066734364542</v>
      </c>
      <c r="BS57" s="11" t="n">
        <v>26.9248879420843</v>
      </c>
      <c r="BT57" s="11" t="n">
        <v>9.12502466206663</v>
      </c>
      <c r="BU57" s="11" t="n">
        <v>25.8266262328302</v>
      </c>
      <c r="BV57" s="11" t="n">
        <v>5.43055133407262</v>
      </c>
      <c r="BW57" s="11" t="n">
        <v>6.12249008968877</v>
      </c>
      <c r="BX57" s="11" t="n">
        <v>3.30235298783693</v>
      </c>
      <c r="BY57" s="11" t="n">
        <v>6.49258157273402</v>
      </c>
      <c r="BZ57" s="11" t="n">
        <v>0.48421052631579</v>
      </c>
      <c r="CA57" s="11" t="n">
        <v>0.706521739130435</v>
      </c>
      <c r="CB57" s="11" t="n">
        <v>0.543478260869565</v>
      </c>
      <c r="CC57" s="11" t="n">
        <v>0.641304347826087</v>
      </c>
      <c r="CD57" s="11" t="n">
        <v>0.706521739130435</v>
      </c>
      <c r="CE57" s="11" t="n">
        <v>0.48421052631579</v>
      </c>
      <c r="CF57" s="11" t="n">
        <v>5</v>
      </c>
      <c r="CG57" s="11" t="n">
        <v>0</v>
      </c>
      <c r="CH57" s="11" t="n">
        <v>0.706521739130435</v>
      </c>
      <c r="CI57" s="11" t="n">
        <v>0.641304347826087</v>
      </c>
      <c r="CJ57" s="11" t="n">
        <v>0.706521739130435</v>
      </c>
      <c r="CK57" s="11" t="n">
        <v>0.112244897959184</v>
      </c>
      <c r="CL57" s="11" t="n">
        <v>0.0816326530612245</v>
      </c>
      <c r="CM57" s="11" t="n">
        <v>0.0918367346938776</v>
      </c>
      <c r="CN57" s="11" t="n">
        <v>0.112244897959184</v>
      </c>
      <c r="CO57" s="11" t="n">
        <v>0.5</v>
      </c>
      <c r="CP57" s="11" t="n">
        <v>0.333333333333333</v>
      </c>
      <c r="CQ57" s="11" t="n">
        <v>0.388888888888889</v>
      </c>
      <c r="CR57" s="11" t="n">
        <v>0.5</v>
      </c>
      <c r="CS57" s="11" t="n">
        <v>0.025</v>
      </c>
      <c r="CT57" s="11" t="n">
        <v>0.025</v>
      </c>
      <c r="CU57" s="11" t="n">
        <v>0.025</v>
      </c>
      <c r="CV57" s="11" t="n">
        <v>0.025</v>
      </c>
      <c r="CW57" s="11" t="n">
        <v>0.0652173913043478</v>
      </c>
      <c r="CX57" s="11" t="n">
        <v>0</v>
      </c>
      <c r="CY57" s="11" t="n">
        <v>-0.0282549648589504</v>
      </c>
      <c r="CZ57" s="11" t="n">
        <v>-0.098801285748891</v>
      </c>
      <c r="DA57" s="11" t="n">
        <v>4.79396825326364</v>
      </c>
      <c r="DB57" s="11" t="n">
        <v>-0.0931845369480006</v>
      </c>
      <c r="DC57" s="11" t="n">
        <v>12.0128893361041</v>
      </c>
      <c r="DD57" s="11" t="n">
        <v>0.436843272423109</v>
      </c>
      <c r="DE57" s="11" t="n">
        <v>0.305263157894737</v>
      </c>
      <c r="DF57" s="11" t="n">
        <v>-0.0459760754561481</v>
      </c>
      <c r="DG57" s="11" t="n">
        <v>-0.136001776491535</v>
      </c>
      <c r="DH57" s="11" t="n">
        <v>9.00257010353873</v>
      </c>
      <c r="DI57" s="11" t="n">
        <v>122.400131316197</v>
      </c>
      <c r="DJ57" s="11" t="n">
        <v>76.9198477654867</v>
      </c>
      <c r="DK57" s="11" t="n">
        <v>11.3670530954076</v>
      </c>
      <c r="DL57" s="11" t="n">
        <v>49.05</v>
      </c>
      <c r="DM57" s="11" t="n">
        <v>0.505263157894737</v>
      </c>
      <c r="DN57" s="11" t="n">
        <v>0.431578947368421</v>
      </c>
      <c r="DO57" s="11" t="n">
        <v>-0.0135146663745893</v>
      </c>
      <c r="DP57" s="11" t="n">
        <v>0</v>
      </c>
      <c r="DQ57" s="11" t="n">
        <v>0</v>
      </c>
      <c r="DR57" s="11" t="n">
        <v>0</v>
      </c>
      <c r="DS57" s="11" t="n">
        <v>0</v>
      </c>
      <c r="DT57" s="11" t="n">
        <v>0</v>
      </c>
      <c r="DU57" s="11" t="n">
        <v>0</v>
      </c>
      <c r="DV57" s="11" t="n">
        <v>5</v>
      </c>
      <c r="DW57" s="11" t="s">
        <v>573</v>
      </c>
      <c r="DX57" s="11" t="n">
        <v>0.406307</v>
      </c>
      <c r="DY57" s="11" t="n">
        <v>-0.0129055221311265</v>
      </c>
      <c r="DZ57" s="11" t="n">
        <v>0.825519522131126</v>
      </c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 t="n">
        <v>5.83485777759427</v>
      </c>
      <c r="EP57" s="11" t="n">
        <v>71.9397487591584</v>
      </c>
      <c r="EQ57" s="11" t="n">
        <v>1672.01420941045</v>
      </c>
      <c r="ER57" s="11" t="n">
        <v>3.3358445199623</v>
      </c>
      <c r="ES57" s="11" t="n">
        <v>3.3358445199623</v>
      </c>
      <c r="ET57" s="11" t="n">
        <v>1.52714203971899</v>
      </c>
      <c r="EU57" s="11" t="n">
        <v>53.1247047271804</v>
      </c>
      <c r="EV57" s="11" t="n">
        <v>53.1247047271804</v>
      </c>
      <c r="EW57" s="11" t="n">
        <v>460.035747355411</v>
      </c>
      <c r="EX57" s="11" t="n">
        <v>566.463247570386</v>
      </c>
      <c r="EY57" s="11" t="n">
        <v>1.10574577595098</v>
      </c>
      <c r="EZ57" s="11" t="n">
        <v>0.77360872861276</v>
      </c>
      <c r="FA57" s="11" t="n">
        <v>0.0498535519783553</v>
      </c>
      <c r="FB57" s="11" t="n">
        <v>1</v>
      </c>
      <c r="FC57" s="11" t="n">
        <v>0</v>
      </c>
      <c r="FD57" s="11" t="n">
        <v>0</v>
      </c>
      <c r="FE57" s="11" t="s">
        <v>574</v>
      </c>
      <c r="FF57" s="11" t="s">
        <v>334</v>
      </c>
      <c r="FG57" s="11" t="n">
        <v>190</v>
      </c>
      <c r="FH57" s="11" t="s">
        <v>575</v>
      </c>
      <c r="FI57" s="11" t="s">
        <v>59</v>
      </c>
      <c r="FJ57" s="11" t="n">
        <v>0.2</v>
      </c>
      <c r="FK57" s="11" t="n">
        <v>0.139457058939403</v>
      </c>
      <c r="FL57" s="11" t="n">
        <v>0.044847164033079</v>
      </c>
      <c r="FM57" s="11" t="n">
        <v>0</v>
      </c>
      <c r="FN57" s="11" t="n">
        <v>1</v>
      </c>
      <c r="FO57" s="11" t="n">
        <v>1.01803494987404</v>
      </c>
      <c r="FP57" s="11" t="n">
        <v>1.00723858948863</v>
      </c>
      <c r="FQ57" s="11" t="n">
        <v>0.255263157894737</v>
      </c>
      <c r="FR57" s="11" t="n">
        <v>0</v>
      </c>
      <c r="FS57" s="11" t="n">
        <v>1.01803423951451</v>
      </c>
      <c r="FT57" s="11" t="n">
        <v>1.00723857784736</v>
      </c>
      <c r="FU57" s="11" t="n">
        <v>1</v>
      </c>
      <c r="FV57" s="11" t="n">
        <v>7.09138074562022</v>
      </c>
      <c r="FW57" s="11" t="n">
        <v>238.229980618069</v>
      </c>
      <c r="FX57" s="11" t="n">
        <v>0.0169552123537751</v>
      </c>
      <c r="FY57" s="11" t="n">
        <v>1</v>
      </c>
      <c r="FZ57" s="11" t="n">
        <v>80</v>
      </c>
      <c r="GA57" s="11" t="n">
        <v>1</v>
      </c>
      <c r="GB57" s="11" t="s">
        <v>576</v>
      </c>
      <c r="GC57" s="11" t="n">
        <v>0.954818243729441</v>
      </c>
      <c r="GD57" s="11" t="n">
        <v>0.968200041118421</v>
      </c>
      <c r="GE57" s="11" t="n">
        <v>0.968421052631579</v>
      </c>
      <c r="GF57" s="11" t="n">
        <v>0.968421052631579</v>
      </c>
      <c r="GG57" s="11" t="n">
        <v>0</v>
      </c>
      <c r="GH57" s="11" t="n">
        <v>0</v>
      </c>
      <c r="GI57" s="11" t="n">
        <v>0.13314302958993</v>
      </c>
      <c r="GJ57" s="11" t="n">
        <v>0.141475047744615</v>
      </c>
      <c r="GK57" s="11" t="n">
        <v>0.139407180360099</v>
      </c>
      <c r="GL57" s="11" t="n">
        <v>0.143250972405076</v>
      </c>
      <c r="GM57" s="11" t="n">
        <v>0.00130052403886823</v>
      </c>
      <c r="GN57" s="11" t="n">
        <v>4.81856518729872E-006</v>
      </c>
      <c r="GO57" s="11" t="n">
        <v>0.968421052631579</v>
      </c>
      <c r="GP57" s="11" t="n">
        <v>0.968421052631579</v>
      </c>
      <c r="GQ57" s="11" t="n">
        <v>-0.0258036237210035</v>
      </c>
      <c r="GR57" s="11" t="n">
        <v>1</v>
      </c>
      <c r="GS57" s="11" t="n">
        <v>1</v>
      </c>
      <c r="GT57" s="11" t="n">
        <v>0</v>
      </c>
      <c r="GU57" s="11" t="n">
        <v>0</v>
      </c>
      <c r="GV57" s="11" t="n">
        <v>1</v>
      </c>
      <c r="GW57" s="11" t="n">
        <v>1</v>
      </c>
      <c r="GX57" s="11" t="n">
        <v>1</v>
      </c>
      <c r="GY57" s="11" t="n">
        <v>1</v>
      </c>
      <c r="GZ57" s="11" t="n">
        <v>1</v>
      </c>
      <c r="HA57" s="11" t="n">
        <v>1</v>
      </c>
      <c r="HB57" s="11" t="n">
        <v>0</v>
      </c>
      <c r="HC57" s="11" t="n">
        <v>1</v>
      </c>
      <c r="HD57" s="11" t="n">
        <v>0</v>
      </c>
      <c r="HE57" s="11" t="n">
        <v>1</v>
      </c>
      <c r="HF57" s="11" t="n">
        <v>1</v>
      </c>
      <c r="HG57" s="11" t="n">
        <v>1</v>
      </c>
      <c r="HH57" s="11" t="n">
        <v>1</v>
      </c>
      <c r="HI57" s="11" t="n">
        <v>0</v>
      </c>
      <c r="HJ57" s="11" t="n">
        <v>0</v>
      </c>
      <c r="HK57" s="11" t="s">
        <v>989</v>
      </c>
      <c r="HL57" s="11" t="s">
        <v>577</v>
      </c>
      <c r="HM57" s="11" t="n">
        <v>1</v>
      </c>
      <c r="HN57" s="11" t="s">
        <v>10</v>
      </c>
      <c r="HO57" s="11" t="s">
        <v>578</v>
      </c>
      <c r="HP57" s="11" t="s">
        <v>578</v>
      </c>
      <c r="HQ57" s="11" t="n">
        <v>0</v>
      </c>
      <c r="HR57" s="11" t="s">
        <v>189</v>
      </c>
      <c r="HS57" s="11" t="s">
        <v>579</v>
      </c>
      <c r="HT57" s="11" t="s">
        <v>579</v>
      </c>
      <c r="HU57" s="11" t="s">
        <v>990</v>
      </c>
      <c r="HV57" s="11" t="s">
        <v>990</v>
      </c>
      <c r="HW57" s="11" t="s">
        <v>991</v>
      </c>
      <c r="HX57" s="11" t="s">
        <v>992</v>
      </c>
      <c r="HY57" s="11" t="s">
        <v>583</v>
      </c>
      <c r="HZ57" s="11" t="s">
        <v>993</v>
      </c>
      <c r="IA57" s="11" t="s">
        <v>987</v>
      </c>
      <c r="IB57" s="11" t="s">
        <v>994</v>
      </c>
      <c r="IC57" s="11" t="s">
        <v>334</v>
      </c>
      <c r="ID57" s="11" t="s">
        <v>995</v>
      </c>
      <c r="IE57" s="11"/>
      <c r="IF57" s="11"/>
      <c r="IG57" s="11"/>
      <c r="IH57" s="11"/>
    </row>
    <row r="58" customFormat="false" ht="15" hidden="false" customHeight="false" outlineLevel="0" collapsed="false">
      <c r="A58" s="11" t="s">
        <v>110</v>
      </c>
      <c r="B58" s="11" t="s">
        <v>996</v>
      </c>
      <c r="C58" s="11" t="s">
        <v>588</v>
      </c>
      <c r="D58" s="11" t="s">
        <v>570</v>
      </c>
      <c r="E58" s="11" t="s">
        <v>51</v>
      </c>
      <c r="F58" s="11"/>
      <c r="G58" s="11"/>
      <c r="H58" s="11" t="s">
        <v>997</v>
      </c>
      <c r="I58" s="11" t="s">
        <v>333</v>
      </c>
      <c r="J58" s="11" t="n">
        <v>190</v>
      </c>
      <c r="K58" s="11" t="n">
        <v>6.33333333333333</v>
      </c>
      <c r="L58" s="11" t="n">
        <v>0.742205202579498</v>
      </c>
      <c r="M58" s="11" t="n">
        <v>0.801046252250671</v>
      </c>
      <c r="N58" s="11" t="n">
        <v>0</v>
      </c>
      <c r="O58" s="11" t="n">
        <v>1.47857381832133</v>
      </c>
      <c r="P58" s="11" t="n">
        <v>0.902810724743474</v>
      </c>
      <c r="Q58" s="11" t="n">
        <v>0.208319636750377</v>
      </c>
      <c r="R58" s="11" t="n">
        <v>0.678947368421053</v>
      </c>
      <c r="S58" s="11" t="n">
        <v>0.278947368421053</v>
      </c>
      <c r="T58" s="11" t="n">
        <v>0.031578947368421</v>
      </c>
      <c r="U58" s="11" t="n">
        <v>0.00526315789473684</v>
      </c>
      <c r="V58" s="11" t="n">
        <v>0</v>
      </c>
      <c r="W58" s="11" t="n">
        <v>0.357894736842105</v>
      </c>
      <c r="X58" s="11" t="n">
        <v>0.326315789473684</v>
      </c>
      <c r="Y58" s="11" t="n">
        <v>0.352631578947368</v>
      </c>
      <c r="Z58" s="11" t="n">
        <v>0.352631578947368</v>
      </c>
      <c r="AA58" s="11" t="n">
        <v>0.00526315789473684</v>
      </c>
      <c r="AB58" s="11" t="n">
        <v>0.00526315789473684</v>
      </c>
      <c r="AC58" s="11" t="n">
        <v>-0.000966023634935992</v>
      </c>
      <c r="AD58" s="11" t="n">
        <v>-0.00583149683163013</v>
      </c>
      <c r="AE58" s="11" t="n">
        <v>0.0833333333333333</v>
      </c>
      <c r="AF58" s="11" t="n">
        <v>0.0138888888888889</v>
      </c>
      <c r="AG58" s="11" t="n">
        <v>0.0138888888888889</v>
      </c>
      <c r="AH58" s="11" t="n">
        <v>0.031578947368421</v>
      </c>
      <c r="AI58" s="11" t="n">
        <v>0.00526315789473684</v>
      </c>
      <c r="AJ58" s="11" t="n">
        <v>0.00526315789473684</v>
      </c>
      <c r="AK58" s="11" t="n">
        <v>0.378550902930375</v>
      </c>
      <c r="AL58" s="11" t="n">
        <v>0</v>
      </c>
      <c r="AM58" s="11" t="n">
        <v>0</v>
      </c>
      <c r="AN58" s="11" t="n">
        <v>0</v>
      </c>
      <c r="AO58" s="11"/>
      <c r="AP58" s="11"/>
      <c r="AQ58" s="11"/>
      <c r="AR58" s="11" t="n">
        <v>0</v>
      </c>
      <c r="AS58" s="11" t="n">
        <v>0.0210526315789474</v>
      </c>
      <c r="AT58" s="11" t="n">
        <v>0</v>
      </c>
      <c r="AU58" s="11" t="n">
        <v>0</v>
      </c>
      <c r="AV58" s="11" t="n">
        <v>0</v>
      </c>
      <c r="AW58" s="11" t="n">
        <v>0</v>
      </c>
      <c r="AX58" s="11" t="n">
        <v>0</v>
      </c>
      <c r="AY58" s="11" t="n">
        <v>0.00363474668754594</v>
      </c>
      <c r="AZ58" s="11" t="n">
        <v>0.0196629806354434</v>
      </c>
      <c r="BA58" s="11"/>
      <c r="BB58" s="11" t="n">
        <v>0.152631578947368</v>
      </c>
      <c r="BC58" s="11" t="n">
        <v>0.536842105263158</v>
      </c>
      <c r="BD58" s="11" t="n">
        <v>0.231578947368421</v>
      </c>
      <c r="BE58" s="11" t="n">
        <v>0.573684210526316</v>
      </c>
      <c r="BF58" s="11" t="n">
        <v>0.342105263157895</v>
      </c>
      <c r="BG58" s="11" t="n">
        <v>0.589473684210526</v>
      </c>
      <c r="BH58" s="11" t="n">
        <v>0.521052631578947</v>
      </c>
      <c r="BI58" s="11" t="n">
        <v>0.605263157894737</v>
      </c>
      <c r="BJ58" s="11" t="n">
        <v>0.188324055147373</v>
      </c>
      <c r="BK58" s="11" t="n">
        <v>0.58009452742623</v>
      </c>
      <c r="BL58" s="11" t="n">
        <v>0.0762507039535969</v>
      </c>
      <c r="BM58" s="11" t="n">
        <v>0.010835664372735</v>
      </c>
      <c r="BN58" s="11" t="n">
        <v>0.314436350264572</v>
      </c>
      <c r="BO58" s="11" t="n">
        <v>0.101929189941674</v>
      </c>
      <c r="BP58" s="11" t="n">
        <v>0.00824919615415332</v>
      </c>
      <c r="BQ58" s="11" t="n">
        <v>0.00380922307976948</v>
      </c>
      <c r="BR58" s="11" t="n">
        <v>2.39925457962021</v>
      </c>
      <c r="BS58" s="11" t="n">
        <v>19.6713631063946</v>
      </c>
      <c r="BT58" s="11" t="n">
        <v>8.64612433772326</v>
      </c>
      <c r="BU58" s="11" t="n">
        <v>18.8324055147373</v>
      </c>
      <c r="BV58" s="11" t="n">
        <v>4.3688435214416</v>
      </c>
      <c r="BW58" s="11" t="n">
        <v>6.14994010317639</v>
      </c>
      <c r="BX58" s="11" t="n">
        <v>2.76532096746619</v>
      </c>
      <c r="BY58" s="11" t="n">
        <v>11.3797396838564</v>
      </c>
      <c r="BZ58" s="11" t="n">
        <v>0.48421052631579</v>
      </c>
      <c r="CA58" s="11" t="n">
        <v>0.739130434782609</v>
      </c>
      <c r="CB58" s="11" t="n">
        <v>0.673913043478261</v>
      </c>
      <c r="CC58" s="11" t="n">
        <v>0.728260869565217</v>
      </c>
      <c r="CD58" s="11" t="n">
        <v>0.728260869565217</v>
      </c>
      <c r="CE58" s="11" t="n">
        <v>0.48421052631579</v>
      </c>
      <c r="CF58" s="11" t="n">
        <v>5</v>
      </c>
      <c r="CG58" s="11" t="n">
        <v>0</v>
      </c>
      <c r="CH58" s="11" t="n">
        <v>0.739130434782609</v>
      </c>
      <c r="CI58" s="11" t="n">
        <v>0.728260869565217</v>
      </c>
      <c r="CJ58" s="11" t="n">
        <v>0.728260869565217</v>
      </c>
      <c r="CK58" s="11" t="n">
        <v>0</v>
      </c>
      <c r="CL58" s="11" t="n">
        <v>0</v>
      </c>
      <c r="CM58" s="11" t="n">
        <v>0</v>
      </c>
      <c r="CN58" s="11" t="n">
        <v>0</v>
      </c>
      <c r="CO58" s="11" t="n">
        <v>0</v>
      </c>
      <c r="CP58" s="11" t="n">
        <v>0</v>
      </c>
      <c r="CQ58" s="11" t="n">
        <v>0</v>
      </c>
      <c r="CR58" s="11" t="n">
        <v>0</v>
      </c>
      <c r="CS58" s="11" t="n">
        <v>0</v>
      </c>
      <c r="CT58" s="11" t="n">
        <v>0</v>
      </c>
      <c r="CU58" s="11" t="n">
        <v>0</v>
      </c>
      <c r="CV58" s="11" t="n">
        <v>0</v>
      </c>
      <c r="CW58" s="11" t="n">
        <v>0.0652173913043478</v>
      </c>
      <c r="CX58" s="11" t="n">
        <v>0.0108695652173913</v>
      </c>
      <c r="CY58" s="11" t="n">
        <v>0.00817011446719382</v>
      </c>
      <c r="CZ58" s="11" t="n">
        <v>-0.0450595392187149</v>
      </c>
      <c r="DA58" s="11" t="n">
        <v>4.87785616718012</v>
      </c>
      <c r="DB58" s="11" t="n">
        <v>-0.0219173211883991</v>
      </c>
      <c r="DC58" s="11" t="n">
        <v>12.6797372610708</v>
      </c>
      <c r="DD58" s="11" t="n">
        <v>0.24369763615868</v>
      </c>
      <c r="DE58" s="11" t="n">
        <v>0.305263157894737</v>
      </c>
      <c r="DF58" s="11" t="n">
        <v>-0.0311740994747538</v>
      </c>
      <c r="DG58" s="11" t="n">
        <v>-0.05756600981845</v>
      </c>
      <c r="DH58" s="11" t="n">
        <v>2.63919103436962</v>
      </c>
      <c r="DI58" s="11" t="n">
        <v>115.024426392269</v>
      </c>
      <c r="DJ58" s="11" t="n">
        <v>44.9558099348585</v>
      </c>
      <c r="DK58" s="11" t="n">
        <v>27.4479053328512</v>
      </c>
      <c r="DL58" s="11" t="n">
        <v>49.05</v>
      </c>
      <c r="DM58" s="11" t="n">
        <v>0.505263157894737</v>
      </c>
      <c r="DN58" s="11" t="n">
        <v>0.431578947368421</v>
      </c>
      <c r="DO58" s="11" t="n">
        <v>-0.0135146663745893</v>
      </c>
      <c r="DP58" s="11" t="n">
        <v>0</v>
      </c>
      <c r="DQ58" s="11" t="n">
        <v>0</v>
      </c>
      <c r="DR58" s="11" t="n">
        <v>0</v>
      </c>
      <c r="DS58" s="11" t="n">
        <v>0</v>
      </c>
      <c r="DT58" s="11" t="n">
        <v>0</v>
      </c>
      <c r="DU58" s="11" t="n">
        <v>0</v>
      </c>
      <c r="DV58" s="11" t="n">
        <v>5</v>
      </c>
      <c r="DW58" s="11" t="s">
        <v>573</v>
      </c>
      <c r="DX58" s="11" t="n">
        <v>0.406307</v>
      </c>
      <c r="DY58" s="11" t="n">
        <v>-0.0129055221311265</v>
      </c>
      <c r="DZ58" s="11" t="n">
        <v>0.825519522131126</v>
      </c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 t="n">
        <v>5.79169301933169</v>
      </c>
      <c r="EP58" s="11" t="n">
        <v>74.7929662298528</v>
      </c>
      <c r="EQ58" s="11" t="n">
        <v>1632.91207705558</v>
      </c>
      <c r="ER58" s="11" t="n">
        <v>3.33078057422203</v>
      </c>
      <c r="ES58" s="11" t="n">
        <v>3.33078057422203</v>
      </c>
      <c r="ET58" s="11" t="n">
        <v>1.69801657865527</v>
      </c>
      <c r="EU58" s="11" t="n">
        <v>37.7581342859704</v>
      </c>
      <c r="EV58" s="11" t="n">
        <v>37.7581342859704</v>
      </c>
      <c r="EW58" s="11" t="n">
        <v>490.935287462389</v>
      </c>
      <c r="EX58" s="11" t="n">
        <v>617.75293788298</v>
      </c>
      <c r="EY58" s="11" t="n">
        <v>1.17358459662499</v>
      </c>
      <c r="EZ58" s="11" t="n">
        <v>1.14076264125662</v>
      </c>
      <c r="FA58" s="11" t="n">
        <v>0.0491315964619488</v>
      </c>
      <c r="FB58" s="11" t="n">
        <v>1</v>
      </c>
      <c r="FC58" s="11" t="n">
        <v>0</v>
      </c>
      <c r="FD58" s="11" t="n">
        <v>0</v>
      </c>
      <c r="FE58" s="11" t="s">
        <v>574</v>
      </c>
      <c r="FF58" s="11" t="s">
        <v>334</v>
      </c>
      <c r="FG58" s="11" t="n">
        <v>190</v>
      </c>
      <c r="FH58" s="11" t="s">
        <v>575</v>
      </c>
      <c r="FI58" s="11" t="s">
        <v>59</v>
      </c>
      <c r="FJ58" s="11" t="n">
        <v>0.2</v>
      </c>
      <c r="FK58" s="11" t="n">
        <v>0.103911729818183</v>
      </c>
      <c r="FL58" s="11" t="n">
        <v>0.0500850604820859</v>
      </c>
      <c r="FM58" s="11" t="n">
        <v>0</v>
      </c>
      <c r="FN58" s="11" t="n">
        <v>1</v>
      </c>
      <c r="FO58" s="11" t="n">
        <v>0.637301732332623</v>
      </c>
      <c r="FP58" s="11" t="n">
        <v>0.591718646910119</v>
      </c>
      <c r="FQ58" s="11" t="n">
        <v>0.235526315789474</v>
      </c>
      <c r="FR58" s="11" t="n">
        <v>0</v>
      </c>
      <c r="FS58" s="11" t="n">
        <v>0.637283968612878</v>
      </c>
      <c r="FT58" s="11" t="n">
        <v>0.591717443991842</v>
      </c>
      <c r="FU58" s="11" t="n">
        <v>1</v>
      </c>
      <c r="FV58" s="11" t="n">
        <v>5.86828141649661</v>
      </c>
      <c r="FW58" s="11" t="n">
        <v>256.806809879248</v>
      </c>
      <c r="FX58" s="11" t="n">
        <v>0.0134776348103737</v>
      </c>
      <c r="FY58" s="11" t="n">
        <v>1</v>
      </c>
      <c r="FZ58" s="11" t="n">
        <v>80</v>
      </c>
      <c r="GA58" s="11" t="n">
        <v>1</v>
      </c>
      <c r="GB58" s="11" t="s">
        <v>576</v>
      </c>
      <c r="GC58" s="11" t="n">
        <v>0.947421104029605</v>
      </c>
      <c r="GD58" s="11" t="n">
        <v>0.962659333881579</v>
      </c>
      <c r="GE58" s="11" t="n">
        <v>0.963157894736842</v>
      </c>
      <c r="GF58" s="11" t="n">
        <v>0.963157894736842</v>
      </c>
      <c r="GG58" s="11" t="n">
        <v>0.00526315789473684</v>
      </c>
      <c r="GH58" s="11" t="n">
        <v>0.00526315789473684</v>
      </c>
      <c r="GI58" s="11" t="n">
        <v>0.114447167082759</v>
      </c>
      <c r="GJ58" s="11" t="n">
        <v>0.124961038394586</v>
      </c>
      <c r="GK58" s="11" t="n">
        <v>0.122388985355555</v>
      </c>
      <c r="GL58" s="11" t="n">
        <v>0.126891302743829</v>
      </c>
      <c r="GM58" s="11" t="n">
        <v>0.0021017778016938</v>
      </c>
      <c r="GN58" s="11" t="n">
        <v>0.000282046676578542</v>
      </c>
      <c r="GO58" s="11" t="n">
        <v>0.963157894736842</v>
      </c>
      <c r="GP58" s="11" t="n">
        <v>0.963157894736842</v>
      </c>
      <c r="GQ58" s="11" t="n">
        <v>-0.0262834578752518</v>
      </c>
      <c r="GR58" s="11" t="n">
        <v>1</v>
      </c>
      <c r="GS58" s="11" t="n">
        <v>1</v>
      </c>
      <c r="GT58" s="11" t="n">
        <v>0</v>
      </c>
      <c r="GU58" s="11" t="n">
        <v>0</v>
      </c>
      <c r="GV58" s="11" t="n">
        <v>1</v>
      </c>
      <c r="GW58" s="11" t="n">
        <v>1</v>
      </c>
      <c r="GX58" s="11" t="n">
        <v>1</v>
      </c>
      <c r="GY58" s="11" t="n">
        <v>1</v>
      </c>
      <c r="GZ58" s="11" t="n">
        <v>1</v>
      </c>
      <c r="HA58" s="11" t="n">
        <v>1</v>
      </c>
      <c r="HB58" s="11" t="n">
        <v>1</v>
      </c>
      <c r="HC58" s="11" t="n">
        <v>1</v>
      </c>
      <c r="HD58" s="11" t="n">
        <v>1</v>
      </c>
      <c r="HE58" s="11" t="n">
        <v>1</v>
      </c>
      <c r="HF58" s="11" t="n">
        <v>1</v>
      </c>
      <c r="HG58" s="11" t="n">
        <v>0</v>
      </c>
      <c r="HH58" s="11" t="n">
        <v>1</v>
      </c>
      <c r="HI58" s="11" t="n">
        <v>0</v>
      </c>
      <c r="HJ58" s="11" t="n">
        <v>0</v>
      </c>
      <c r="HK58" s="11" t="s">
        <v>145</v>
      </c>
      <c r="HL58" s="11" t="s">
        <v>577</v>
      </c>
      <c r="HM58" s="11" t="n">
        <v>1</v>
      </c>
      <c r="HN58" s="11" t="s">
        <v>591</v>
      </c>
      <c r="HO58" s="11" t="s">
        <v>578</v>
      </c>
      <c r="HP58" s="11" t="s">
        <v>578</v>
      </c>
      <c r="HQ58" s="11" t="n">
        <v>0</v>
      </c>
      <c r="HR58" s="11" t="s">
        <v>189</v>
      </c>
      <c r="HS58" s="11" t="s">
        <v>300</v>
      </c>
      <c r="HT58" s="11" t="s">
        <v>300</v>
      </c>
      <c r="HU58" s="11" t="s">
        <v>998</v>
      </c>
      <c r="HV58" s="11" t="s">
        <v>998</v>
      </c>
      <c r="HW58" s="11" t="s">
        <v>999</v>
      </c>
      <c r="HX58" s="11" t="s">
        <v>992</v>
      </c>
      <c r="HY58" s="11" t="s">
        <v>583</v>
      </c>
      <c r="HZ58" s="11" t="s">
        <v>1000</v>
      </c>
      <c r="IA58" s="11" t="s">
        <v>997</v>
      </c>
      <c r="IB58" s="11" t="s">
        <v>1001</v>
      </c>
      <c r="IC58" s="11" t="s">
        <v>334</v>
      </c>
      <c r="ID58" s="11" t="s">
        <v>995</v>
      </c>
      <c r="IE58" s="11"/>
      <c r="IF58" s="11"/>
      <c r="IG58" s="11"/>
      <c r="IH58" s="11"/>
    </row>
    <row r="59" customFormat="false" ht="15" hidden="false" customHeight="false" outlineLevel="0" collapsed="false">
      <c r="A59" s="11" t="s">
        <v>111</v>
      </c>
      <c r="B59" s="11" t="s">
        <v>1002</v>
      </c>
      <c r="C59" s="11" t="s">
        <v>569</v>
      </c>
      <c r="D59" s="11" t="s">
        <v>570</v>
      </c>
      <c r="E59" s="11" t="s">
        <v>91</v>
      </c>
      <c r="F59" s="11"/>
      <c r="G59" s="11"/>
      <c r="H59" s="11" t="s">
        <v>1003</v>
      </c>
      <c r="I59" s="11" t="s">
        <v>1004</v>
      </c>
      <c r="J59" s="11" t="n">
        <v>98</v>
      </c>
      <c r="K59" s="11" t="n">
        <v>3.26666666666667</v>
      </c>
      <c r="L59" s="11" t="n">
        <v>0.687035143375397</v>
      </c>
      <c r="M59" s="11" t="n">
        <v>0.838476657867432</v>
      </c>
      <c r="N59" s="11" t="n">
        <v>0</v>
      </c>
      <c r="O59" s="11" t="n">
        <v>1.95987368138973</v>
      </c>
      <c r="P59" s="11" t="n">
        <v>1.75237188140948</v>
      </c>
      <c r="Q59" s="11" t="n">
        <v>0.432678415563155</v>
      </c>
      <c r="R59" s="11" t="n">
        <v>0.571428571428571</v>
      </c>
      <c r="S59" s="11" t="n">
        <v>0.306122448979592</v>
      </c>
      <c r="T59" s="11" t="n">
        <v>0.214285714285714</v>
      </c>
      <c r="U59" s="11" t="n">
        <v>0.122448979591837</v>
      </c>
      <c r="V59" s="11" t="n">
        <v>0.0510204081632653</v>
      </c>
      <c r="W59" s="11" t="n">
        <v>0.408163265306122</v>
      </c>
      <c r="X59" s="11" t="n">
        <v>0.163265306122449</v>
      </c>
      <c r="Y59" s="11" t="n">
        <v>0.193877551020408</v>
      </c>
      <c r="Z59" s="11" t="n">
        <v>0.244897959183673</v>
      </c>
      <c r="AA59" s="11" t="n">
        <v>0.214285714285714</v>
      </c>
      <c r="AB59" s="11" t="n">
        <v>0.163265306122449</v>
      </c>
      <c r="AC59" s="11" t="n">
        <v>-0.00932272099839505</v>
      </c>
      <c r="AD59" s="11" t="n">
        <v>-0.073409499936174</v>
      </c>
      <c r="AE59" s="11" t="n">
        <v>0.618181818181818</v>
      </c>
      <c r="AF59" s="11" t="n">
        <v>0.527272727272727</v>
      </c>
      <c r="AG59" s="11" t="n">
        <v>0.4</v>
      </c>
      <c r="AH59" s="11" t="n">
        <v>0.244897959183673</v>
      </c>
      <c r="AI59" s="11" t="n">
        <v>0.214285714285714</v>
      </c>
      <c r="AJ59" s="11" t="n">
        <v>0.163265306122449</v>
      </c>
      <c r="AK59" s="11" t="n">
        <v>0.226860475899444</v>
      </c>
      <c r="AL59" s="11" t="n">
        <v>0</v>
      </c>
      <c r="AM59" s="11" t="n">
        <v>0</v>
      </c>
      <c r="AN59" s="11" t="n">
        <v>0</v>
      </c>
      <c r="AO59" s="11"/>
      <c r="AP59" s="11"/>
      <c r="AQ59" s="11"/>
      <c r="AR59" s="11" t="n">
        <v>0</v>
      </c>
      <c r="AS59" s="11" t="n">
        <v>0.153061224489796</v>
      </c>
      <c r="AT59" s="11" t="n">
        <v>0.112244897959184</v>
      </c>
      <c r="AU59" s="11" t="n">
        <v>0.112244897959184</v>
      </c>
      <c r="AV59" s="11" t="n">
        <v>0</v>
      </c>
      <c r="AW59" s="11" t="n">
        <v>0</v>
      </c>
      <c r="AX59" s="11" t="n">
        <v>0</v>
      </c>
      <c r="AY59" s="11" t="n">
        <v>0.0111624578375774</v>
      </c>
      <c r="AZ59" s="11" t="n">
        <v>0.0492297008064616</v>
      </c>
      <c r="BA59" s="11"/>
      <c r="BB59" s="11" t="n">
        <v>0</v>
      </c>
      <c r="BC59" s="11" t="n">
        <v>0.479591836734694</v>
      </c>
      <c r="BD59" s="11" t="n">
        <v>0.0204081632653061</v>
      </c>
      <c r="BE59" s="11" t="n">
        <v>0.489795918367347</v>
      </c>
      <c r="BF59" s="11" t="n">
        <v>0.0510204081632653</v>
      </c>
      <c r="BG59" s="11" t="n">
        <v>0.5</v>
      </c>
      <c r="BH59" s="11" t="n">
        <v>0.306122448979592</v>
      </c>
      <c r="BI59" s="11" t="n">
        <v>0.510204081632653</v>
      </c>
      <c r="BJ59" s="11" t="n">
        <v>0.360374270857951</v>
      </c>
      <c r="BK59" s="11" t="n">
        <v>0.240914044269605</v>
      </c>
      <c r="BL59" s="11" t="n">
        <v>0.342669970376842</v>
      </c>
      <c r="BM59" s="11" t="n">
        <v>0.0220227911340198</v>
      </c>
      <c r="BN59" s="11" t="n">
        <v>0.665778680777249</v>
      </c>
      <c r="BO59" s="11" t="n">
        <v>0.510690737518208</v>
      </c>
      <c r="BP59" s="11" t="n">
        <v>0.0663798982955107</v>
      </c>
      <c r="BQ59" s="11" t="n">
        <v>0.0641388991824232</v>
      </c>
      <c r="BR59" s="11" t="n">
        <v>4.73121453652935</v>
      </c>
      <c r="BS59" s="11" t="n">
        <v>30.6931343967388</v>
      </c>
      <c r="BT59" s="11" t="n">
        <v>28.4617966721655</v>
      </c>
      <c r="BU59" s="11" t="n">
        <v>36.0374270857951</v>
      </c>
      <c r="BV59" s="11" t="n">
        <v>19.6335430535593</v>
      </c>
      <c r="BW59" s="11" t="n">
        <v>24.1430307581003</v>
      </c>
      <c r="BX59" s="11" t="n">
        <v>5.5490213236264</v>
      </c>
      <c r="BY59" s="11" t="n">
        <v>8.22082764168161</v>
      </c>
      <c r="BZ59" s="11" t="n">
        <v>0.469387755102041</v>
      </c>
      <c r="CA59" s="11" t="n">
        <v>0.739130434782609</v>
      </c>
      <c r="CB59" s="11" t="n">
        <v>0.239130434782609</v>
      </c>
      <c r="CC59" s="11" t="n">
        <v>0.304347826086956</v>
      </c>
      <c r="CD59" s="11" t="n">
        <v>0.391304347826087</v>
      </c>
      <c r="CE59" s="11" t="n">
        <v>0.530612244897959</v>
      </c>
      <c r="CF59" s="11" t="n">
        <v>5</v>
      </c>
      <c r="CG59" s="11" t="n">
        <v>6</v>
      </c>
      <c r="CH59" s="11" t="n">
        <v>0.769230769230769</v>
      </c>
      <c r="CI59" s="11" t="n">
        <v>0.365384615384615</v>
      </c>
      <c r="CJ59" s="11" t="n">
        <v>0.461538461538462</v>
      </c>
      <c r="CK59" s="11" t="n">
        <v>0.115384615384615</v>
      </c>
      <c r="CL59" s="11" t="n">
        <v>0.0961538461538462</v>
      </c>
      <c r="CM59" s="11" t="n">
        <v>0.0961538461538462</v>
      </c>
      <c r="CN59" s="11" t="n">
        <v>0.115384615384615</v>
      </c>
      <c r="CO59" s="11" t="n">
        <v>0</v>
      </c>
      <c r="CP59" s="11" t="n">
        <v>0</v>
      </c>
      <c r="CQ59" s="11" t="n">
        <v>0</v>
      </c>
      <c r="CR59" s="11" t="n">
        <v>0</v>
      </c>
      <c r="CS59" s="11" t="n">
        <v>0</v>
      </c>
      <c r="CT59" s="11" t="n">
        <v>0</v>
      </c>
      <c r="CU59" s="11" t="n">
        <v>0</v>
      </c>
      <c r="CV59" s="11" t="n">
        <v>0</v>
      </c>
      <c r="CW59" s="11" t="n">
        <v>0.456521739130435</v>
      </c>
      <c r="CX59" s="11" t="n">
        <v>0.260869565217391</v>
      </c>
      <c r="CY59" s="11" t="n">
        <v>-0.0496066512338909</v>
      </c>
      <c r="CZ59" s="11" t="n">
        <v>-0.222642769966401</v>
      </c>
      <c r="DA59" s="11" t="n">
        <v>20.6881056842293</v>
      </c>
      <c r="DB59" s="11" t="n">
        <v>-0.126174239189216</v>
      </c>
      <c r="DC59" s="11" t="n">
        <v>41.6217339094542</v>
      </c>
      <c r="DD59" s="11" t="n">
        <v>0.236927893934917</v>
      </c>
      <c r="DE59" s="11" t="n">
        <v>0.408163265306122</v>
      </c>
      <c r="DF59" s="11" t="n">
        <v>-0.131739939225591</v>
      </c>
      <c r="DG59" s="11" t="n">
        <v>-0.125648311721998</v>
      </c>
      <c r="DH59" s="11" t="n">
        <v>-0.609162750359346</v>
      </c>
      <c r="DI59" s="11" t="n">
        <v>558.146492042981</v>
      </c>
      <c r="DJ59" s="11" t="n">
        <v>165.165379943333</v>
      </c>
      <c r="DK59" s="11" t="n">
        <v>17.4917104501661</v>
      </c>
      <c r="DL59" s="11" t="n">
        <v>49.05</v>
      </c>
      <c r="DM59" s="11" t="n">
        <v>0.408163265306122</v>
      </c>
      <c r="DN59" s="11" t="n">
        <v>0.275510204081633</v>
      </c>
      <c r="DO59" s="11" t="n">
        <v>-0.0103510392005066</v>
      </c>
      <c r="DP59" s="11" t="n">
        <v>0.0510204081632653</v>
      </c>
      <c r="DQ59" s="11" t="n">
        <v>0.122448979591837</v>
      </c>
      <c r="DR59" s="11" t="n">
        <v>0.0816326530612245</v>
      </c>
      <c r="DS59" s="11" t="n">
        <v>0.0612244897959184</v>
      </c>
      <c r="DT59" s="11" t="n">
        <v>0.0612244897959184</v>
      </c>
      <c r="DU59" s="11" t="n">
        <v>0.0510204081632653</v>
      </c>
      <c r="DV59" s="11" t="n">
        <v>5</v>
      </c>
      <c r="DW59" s="11" t="s">
        <v>690</v>
      </c>
      <c r="DX59" s="11" t="n">
        <v>0.195506</v>
      </c>
      <c r="DY59" s="11" t="n">
        <v>-0.0473408316278159</v>
      </c>
      <c r="DZ59" s="11" t="n">
        <v>0.438352831627816</v>
      </c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 t="n">
        <v>10.5830215385825</v>
      </c>
      <c r="EP59" s="11" t="n">
        <v>107.056101624412</v>
      </c>
      <c r="EQ59" s="11" t="n">
        <v>2692.95120704097</v>
      </c>
      <c r="ER59" s="11" t="n">
        <v>5.12175812888362</v>
      </c>
      <c r="ES59" s="11" t="n">
        <v>5.12175812888362</v>
      </c>
      <c r="ET59" s="11" t="n">
        <v>2.89850956341112</v>
      </c>
      <c r="EU59" s="11" t="n">
        <v>62.1596765554168</v>
      </c>
      <c r="EV59" s="11" t="n">
        <v>62.1596765554168</v>
      </c>
      <c r="EW59" s="11" t="n">
        <v>881.451255094309</v>
      </c>
      <c r="EX59" s="11" t="n">
        <v>1016.99311705052</v>
      </c>
      <c r="EY59" s="11" t="n">
        <v>2.89106056212465</v>
      </c>
      <c r="EZ59" s="11" t="n">
        <v>0.29093697308478</v>
      </c>
      <c r="FA59" s="11" t="n">
        <v>0.0498017892471512</v>
      </c>
      <c r="FB59" s="11" t="n">
        <v>0.683673469387755</v>
      </c>
      <c r="FC59" s="11" t="n">
        <v>0</v>
      </c>
      <c r="FD59" s="11" t="n">
        <v>0</v>
      </c>
      <c r="FE59" s="11" t="s">
        <v>574</v>
      </c>
      <c r="FF59" s="11" t="s">
        <v>339</v>
      </c>
      <c r="FG59" s="11" t="n">
        <v>98</v>
      </c>
      <c r="FH59" s="11" t="s">
        <v>575</v>
      </c>
      <c r="FI59" s="11" t="s">
        <v>59</v>
      </c>
      <c r="FJ59" s="11" t="n">
        <v>0.2</v>
      </c>
      <c r="FK59" s="11" t="n">
        <v>0.281190478408224</v>
      </c>
      <c r="FL59" s="11" t="n">
        <v>0.193299862212534</v>
      </c>
      <c r="FM59" s="11" t="n">
        <v>0.048469387755102</v>
      </c>
      <c r="FN59" s="11" t="n">
        <v>1</v>
      </c>
      <c r="FO59" s="11" t="n">
        <v>1.61781119658537</v>
      </c>
      <c r="FP59" s="11" t="n">
        <v>1.26182178253669</v>
      </c>
      <c r="FQ59" s="11" t="n">
        <v>0.288265306122449</v>
      </c>
      <c r="FR59" s="11" t="n">
        <v>0</v>
      </c>
      <c r="FS59" s="11" t="n">
        <v>1.61754525573788</v>
      </c>
      <c r="FT59" s="11" t="n">
        <v>1.26054298081323</v>
      </c>
      <c r="FU59" s="11" t="n">
        <v>1</v>
      </c>
      <c r="FV59" s="11" t="n">
        <v>16.4457853261453</v>
      </c>
      <c r="FW59" s="11" t="n">
        <v>648.76478040807</v>
      </c>
      <c r="FX59" s="11" t="n">
        <v>0.0379993640056193</v>
      </c>
      <c r="FY59" s="11" t="n">
        <v>1</v>
      </c>
      <c r="FZ59" s="11" t="n">
        <v>31</v>
      </c>
      <c r="GA59" s="11" t="n">
        <v>1</v>
      </c>
      <c r="GB59" s="11" t="s">
        <v>576</v>
      </c>
      <c r="GC59" s="11" t="n">
        <v>0.549854512117347</v>
      </c>
      <c r="GD59" s="11" t="n">
        <v>0.560995296556122</v>
      </c>
      <c r="GE59" s="11" t="n">
        <v>0.554921969109125</v>
      </c>
      <c r="GF59" s="11" t="n">
        <v>0.561224489795918</v>
      </c>
      <c r="GG59" s="11" t="n">
        <v>0.378507653061224</v>
      </c>
      <c r="GH59" s="11" t="n">
        <v>0.377551020408163</v>
      </c>
      <c r="GI59" s="11" t="n">
        <v>0.0570746173978812</v>
      </c>
      <c r="GJ59" s="11" t="n">
        <v>0.0657686563398765</v>
      </c>
      <c r="GK59" s="11" t="n">
        <v>0.0640761227466732</v>
      </c>
      <c r="GL59" s="11" t="n">
        <v>0.0681529038547709</v>
      </c>
      <c r="GM59" s="11" t="n">
        <v>0.168528752181486</v>
      </c>
      <c r="GN59" s="11" t="n">
        <v>0.167451412436113</v>
      </c>
      <c r="GO59" s="11" t="n">
        <v>0.54655612244898</v>
      </c>
      <c r="GP59" s="11" t="n">
        <v>0.561224489795918</v>
      </c>
      <c r="GQ59" s="11" t="n">
        <v>-0.0803429260849953</v>
      </c>
      <c r="GR59" s="11" t="n">
        <v>0</v>
      </c>
      <c r="GS59" s="11" t="n">
        <v>1</v>
      </c>
      <c r="GT59" s="11" t="n">
        <v>0</v>
      </c>
      <c r="GU59" s="11" t="n">
        <v>0</v>
      </c>
      <c r="GV59" s="11" t="n">
        <v>1</v>
      </c>
      <c r="GW59" s="11" t="n">
        <v>1</v>
      </c>
      <c r="GX59" s="11" t="n">
        <v>1</v>
      </c>
      <c r="GY59" s="11" t="n">
        <v>1</v>
      </c>
      <c r="GZ59" s="11" t="n">
        <v>1</v>
      </c>
      <c r="HA59" s="11" t="n">
        <v>0</v>
      </c>
      <c r="HB59" s="11" t="n">
        <v>0</v>
      </c>
      <c r="HC59" s="11" t="n">
        <v>1</v>
      </c>
      <c r="HD59" s="11" t="n">
        <v>0</v>
      </c>
      <c r="HE59" s="11" t="n">
        <v>0</v>
      </c>
      <c r="HF59" s="11" t="n">
        <v>0</v>
      </c>
      <c r="HG59" s="11" t="n">
        <v>1</v>
      </c>
      <c r="HH59" s="11" t="n">
        <v>0</v>
      </c>
      <c r="HI59" s="11" t="n">
        <v>0</v>
      </c>
      <c r="HJ59" s="11" t="n">
        <v>0</v>
      </c>
      <c r="HK59" s="11" t="s">
        <v>1005</v>
      </c>
      <c r="HL59" s="11" t="s">
        <v>577</v>
      </c>
      <c r="HM59" s="11" t="n">
        <v>1</v>
      </c>
      <c r="HN59" s="11" t="s">
        <v>10</v>
      </c>
      <c r="HO59" s="11" t="s">
        <v>578</v>
      </c>
      <c r="HP59" s="11" t="s">
        <v>578</v>
      </c>
      <c r="HQ59" s="11" t="n">
        <v>0</v>
      </c>
      <c r="HR59" s="11" t="s">
        <v>189</v>
      </c>
      <c r="HS59" s="11" t="s">
        <v>579</v>
      </c>
      <c r="HT59" s="11" t="s">
        <v>579</v>
      </c>
      <c r="HU59" s="11" t="s">
        <v>1006</v>
      </c>
      <c r="HV59" s="11" t="s">
        <v>1006</v>
      </c>
      <c r="HW59" s="11" t="s">
        <v>1007</v>
      </c>
      <c r="HX59" s="11" t="s">
        <v>1008</v>
      </c>
      <c r="HY59" s="11" t="s">
        <v>583</v>
      </c>
      <c r="HZ59" s="11" t="s">
        <v>1009</v>
      </c>
      <c r="IA59" s="11" t="s">
        <v>1003</v>
      </c>
      <c r="IB59" s="11" t="s">
        <v>1010</v>
      </c>
      <c r="IC59" s="11" t="s">
        <v>339</v>
      </c>
      <c r="ID59" s="11" t="s">
        <v>1011</v>
      </c>
      <c r="IE59" s="11"/>
      <c r="IF59" s="11"/>
      <c r="IG59" s="11"/>
      <c r="IH59" s="11"/>
    </row>
    <row r="60" customFormat="false" ht="15" hidden="false" customHeight="false" outlineLevel="0" collapsed="false">
      <c r="A60" s="11" t="s">
        <v>111</v>
      </c>
      <c r="B60" s="11" t="s">
        <v>1012</v>
      </c>
      <c r="C60" s="11" t="s">
        <v>588</v>
      </c>
      <c r="D60" s="11" t="s">
        <v>570</v>
      </c>
      <c r="E60" s="11" t="s">
        <v>91</v>
      </c>
      <c r="F60" s="11"/>
      <c r="G60" s="11"/>
      <c r="H60" s="11" t="s">
        <v>1013</v>
      </c>
      <c r="I60" s="11" t="s">
        <v>338</v>
      </c>
      <c r="J60" s="11" t="n">
        <v>98</v>
      </c>
      <c r="K60" s="11" t="n">
        <v>3.26666666666667</v>
      </c>
      <c r="L60" s="11" t="n">
        <v>0.672387897968292</v>
      </c>
      <c r="M60" s="11" t="n">
        <v>0.844924926757813</v>
      </c>
      <c r="N60" s="11" t="n">
        <v>0</v>
      </c>
      <c r="O60" s="11" t="n">
        <v>1.81347745878154</v>
      </c>
      <c r="P60" s="11" t="n">
        <v>1.81308778727545</v>
      </c>
      <c r="Q60" s="11" t="n">
        <v>0.503272680245175</v>
      </c>
      <c r="R60" s="11" t="n">
        <v>0.275510204081633</v>
      </c>
      <c r="S60" s="11" t="n">
        <v>0.397959183673469</v>
      </c>
      <c r="T60" s="11" t="n">
        <v>0.244897959183673</v>
      </c>
      <c r="U60" s="11" t="n">
        <v>0.204081632653061</v>
      </c>
      <c r="V60" s="11" t="n">
        <v>0.0612244897959184</v>
      </c>
      <c r="W60" s="11" t="n">
        <v>0.428571428571429</v>
      </c>
      <c r="X60" s="11" t="n">
        <v>0.102040816326531</v>
      </c>
      <c r="Y60" s="11" t="n">
        <v>0.173469387755102</v>
      </c>
      <c r="Z60" s="11" t="n">
        <v>0.214285714285714</v>
      </c>
      <c r="AA60" s="11" t="n">
        <v>0.255102040816326</v>
      </c>
      <c r="AB60" s="11" t="n">
        <v>0.214285714285714</v>
      </c>
      <c r="AC60" s="11" t="n">
        <v>-0.0105819905307001</v>
      </c>
      <c r="AD60" s="11" t="n">
        <v>-0.0698671226687445</v>
      </c>
      <c r="AE60" s="11" t="n">
        <v>0.796610169491525</v>
      </c>
      <c r="AF60" s="11" t="n">
        <v>0.644067796610169</v>
      </c>
      <c r="AG60" s="11" t="n">
        <v>0.457627118644068</v>
      </c>
      <c r="AH60" s="11" t="n">
        <v>0.326530612244898</v>
      </c>
      <c r="AI60" s="11" t="n">
        <v>0.255102040816326</v>
      </c>
      <c r="AJ60" s="11" t="n">
        <v>0.214285714285714</v>
      </c>
      <c r="AK60" s="11" t="n">
        <v>0.224162264040082</v>
      </c>
      <c r="AL60" s="11" t="n">
        <v>0</v>
      </c>
      <c r="AM60" s="11" t="n">
        <v>0</v>
      </c>
      <c r="AN60" s="11" t="n">
        <v>0</v>
      </c>
      <c r="AO60" s="11"/>
      <c r="AP60" s="11"/>
      <c r="AQ60" s="11"/>
      <c r="AR60" s="11" t="n">
        <v>0</v>
      </c>
      <c r="AS60" s="11" t="n">
        <v>0.183673469387755</v>
      </c>
      <c r="AT60" s="11" t="n">
        <v>0.112244897959184</v>
      </c>
      <c r="AU60" s="11" t="n">
        <v>0.112244897959184</v>
      </c>
      <c r="AV60" s="11" t="n">
        <v>0</v>
      </c>
      <c r="AW60" s="11" t="n">
        <v>0</v>
      </c>
      <c r="AX60" s="11" t="n">
        <v>0</v>
      </c>
      <c r="AY60" s="11" t="n">
        <v>0.0124550387750412</v>
      </c>
      <c r="AZ60" s="11" t="n">
        <v>0.060905846197855</v>
      </c>
      <c r="BA60" s="11"/>
      <c r="BB60" s="11" t="n">
        <v>0</v>
      </c>
      <c r="BC60" s="11" t="n">
        <v>0.5</v>
      </c>
      <c r="BD60" s="11" t="n">
        <v>0.0204081632653061</v>
      </c>
      <c r="BE60" s="11" t="n">
        <v>0.510204081632653</v>
      </c>
      <c r="BF60" s="11" t="n">
        <v>0.0510204081632653</v>
      </c>
      <c r="BG60" s="11" t="n">
        <v>0.520408163265306</v>
      </c>
      <c r="BH60" s="11" t="n">
        <v>0.26530612244898</v>
      </c>
      <c r="BI60" s="11" t="n">
        <v>0.520408163265306</v>
      </c>
      <c r="BJ60" s="11" t="n">
        <v>0.319034965164934</v>
      </c>
      <c r="BK60" s="11" t="n">
        <v>0.185541566706775</v>
      </c>
      <c r="BL60" s="11" t="n">
        <v>0.321494319208283</v>
      </c>
      <c r="BM60" s="11" t="n">
        <v>0.0182439589140379</v>
      </c>
      <c r="BN60" s="11" t="n">
        <v>0.657947015470718</v>
      </c>
      <c r="BO60" s="11" t="n">
        <v>0.578283935934415</v>
      </c>
      <c r="BP60" s="11" t="n">
        <v>0.0596675881273027</v>
      </c>
      <c r="BQ60" s="11" t="n">
        <v>0.0401366968305352</v>
      </c>
      <c r="BR60" s="11" t="n">
        <v>4.51316597019676</v>
      </c>
      <c r="BS60" s="11" t="n">
        <v>26.2467790110364</v>
      </c>
      <c r="BT60" s="11" t="n">
        <v>26.0184202819494</v>
      </c>
      <c r="BU60" s="11" t="n">
        <v>31.9034965164934</v>
      </c>
      <c r="BV60" s="11" t="n">
        <v>18.4202676131595</v>
      </c>
      <c r="BW60" s="11" t="n">
        <v>18.6888654972158</v>
      </c>
      <c r="BX60" s="11" t="n">
        <v>5.16001484916965</v>
      </c>
      <c r="BY60" s="11" t="n">
        <v>4.84785413882983</v>
      </c>
      <c r="BZ60" s="11" t="n">
        <v>0.469387755102041</v>
      </c>
      <c r="CA60" s="11" t="n">
        <v>0.782608695652174</v>
      </c>
      <c r="CB60" s="11" t="n">
        <v>0.195652173913043</v>
      </c>
      <c r="CC60" s="11" t="n">
        <v>0.347826086956522</v>
      </c>
      <c r="CD60" s="11" t="n">
        <v>0.434782608695652</v>
      </c>
      <c r="CE60" s="11" t="n">
        <v>0.530612244897959</v>
      </c>
      <c r="CF60" s="11" t="n">
        <v>5</v>
      </c>
      <c r="CG60" s="11" t="n">
        <v>6</v>
      </c>
      <c r="CH60" s="11" t="n">
        <v>0.807692307692308</v>
      </c>
      <c r="CI60" s="11" t="n">
        <v>0.326923076923077</v>
      </c>
      <c r="CJ60" s="11" t="n">
        <v>0.403846153846154</v>
      </c>
      <c r="CK60" s="11" t="n">
        <v>0.115384615384615</v>
      </c>
      <c r="CL60" s="11" t="n">
        <v>0.0192307692307692</v>
      </c>
      <c r="CM60" s="11" t="n">
        <v>0.0192307692307692</v>
      </c>
      <c r="CN60" s="11" t="n">
        <v>0.0192307692307692</v>
      </c>
      <c r="CO60" s="11" t="n">
        <v>0</v>
      </c>
      <c r="CP60" s="11" t="n">
        <v>0</v>
      </c>
      <c r="CQ60" s="11" t="n">
        <v>0</v>
      </c>
      <c r="CR60" s="11" t="n">
        <v>0</v>
      </c>
      <c r="CS60" s="11" t="n">
        <v>0</v>
      </c>
      <c r="CT60" s="11" t="n">
        <v>0</v>
      </c>
      <c r="CU60" s="11" t="n">
        <v>0</v>
      </c>
      <c r="CV60" s="11" t="n">
        <v>0</v>
      </c>
      <c r="CW60" s="11" t="n">
        <v>0.41304347826087</v>
      </c>
      <c r="CX60" s="11" t="n">
        <v>0.326086956521739</v>
      </c>
      <c r="CY60" s="11" t="n">
        <v>-0.0362379360719976</v>
      </c>
      <c r="CZ60" s="11" t="n">
        <v>-0.175526327194514</v>
      </c>
      <c r="DA60" s="11" t="n">
        <v>15.9945822282617</v>
      </c>
      <c r="DB60" s="11" t="n">
        <v>-0.10581793583955</v>
      </c>
      <c r="DC60" s="11" t="n">
        <v>37.0206993451669</v>
      </c>
      <c r="DD60" s="11" t="n">
        <v>0.224108601927769</v>
      </c>
      <c r="DE60" s="11" t="n">
        <v>0.408163265306122</v>
      </c>
      <c r="DF60" s="11" t="n">
        <v>-0.112262525850195</v>
      </c>
      <c r="DG60" s="11" t="n">
        <v>-0.103776461492603</v>
      </c>
      <c r="DH60" s="11" t="n">
        <v>-0.848606435759212</v>
      </c>
      <c r="DI60" s="11" t="n">
        <v>508.475874295744</v>
      </c>
      <c r="DJ60" s="11" t="n">
        <v>136.905999952193</v>
      </c>
      <c r="DK60" s="11" t="n">
        <v>11.4690173350691</v>
      </c>
      <c r="DL60" s="11" t="n">
        <v>49.05</v>
      </c>
      <c r="DM60" s="11" t="n">
        <v>0.408163265306122</v>
      </c>
      <c r="DN60" s="11" t="n">
        <v>0.275510204081633</v>
      </c>
      <c r="DO60" s="11" t="n">
        <v>-0.0103510392005066</v>
      </c>
      <c r="DP60" s="11" t="n">
        <v>0.0612244897959184</v>
      </c>
      <c r="DQ60" s="11" t="n">
        <v>0.183673469387755</v>
      </c>
      <c r="DR60" s="11" t="n">
        <v>0.163265306122449</v>
      </c>
      <c r="DS60" s="11" t="n">
        <v>0.142857142857143</v>
      </c>
      <c r="DT60" s="11" t="n">
        <v>0.122448979591837</v>
      </c>
      <c r="DU60" s="11" t="n">
        <v>0.0612244897959184</v>
      </c>
      <c r="DV60" s="11" t="n">
        <v>5</v>
      </c>
      <c r="DW60" s="11" t="s">
        <v>690</v>
      </c>
      <c r="DX60" s="11" t="n">
        <v>0.195506</v>
      </c>
      <c r="DY60" s="11" t="n">
        <v>-0.0473408316278159</v>
      </c>
      <c r="DZ60" s="11" t="n">
        <v>0.438352831627816</v>
      </c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 t="n">
        <v>11.9159950377903</v>
      </c>
      <c r="EP60" s="11" t="n">
        <v>106.38757620629</v>
      </c>
      <c r="EQ60" s="11" t="n">
        <v>2894.54559857398</v>
      </c>
      <c r="ER60" s="11" t="n">
        <v>4.80065005640676</v>
      </c>
      <c r="ES60" s="11" t="n">
        <v>4.80065005640676</v>
      </c>
      <c r="ET60" s="11" t="n">
        <v>3.35245460890882</v>
      </c>
      <c r="EU60" s="11" t="n">
        <v>89.9276013276627</v>
      </c>
      <c r="EV60" s="11" t="n">
        <v>89.9276013276627</v>
      </c>
      <c r="EW60" s="11" t="n">
        <v>790.602922203037</v>
      </c>
      <c r="EX60" s="11" t="n">
        <v>864.595561255137</v>
      </c>
      <c r="EY60" s="11" t="n">
        <v>3.6276291472925</v>
      </c>
      <c r="EZ60" s="11" t="n">
        <v>0.419186945588075</v>
      </c>
      <c r="FA60" s="11" t="n">
        <v>0.0499311271699583</v>
      </c>
      <c r="FB60" s="11" t="n">
        <v>0.571428571428571</v>
      </c>
      <c r="FC60" s="11" t="n">
        <v>0</v>
      </c>
      <c r="FD60" s="11" t="n">
        <v>0</v>
      </c>
      <c r="FE60" s="11" t="s">
        <v>574</v>
      </c>
      <c r="FF60" s="11" t="s">
        <v>339</v>
      </c>
      <c r="FG60" s="11" t="n">
        <v>98</v>
      </c>
      <c r="FH60" s="11" t="s">
        <v>575</v>
      </c>
      <c r="FI60" s="11" t="s">
        <v>59</v>
      </c>
      <c r="FJ60" s="11" t="n">
        <v>0.2</v>
      </c>
      <c r="FK60" s="11" t="n">
        <v>0.259828918922411</v>
      </c>
      <c r="FL60" s="11" t="n">
        <v>0.158180619604093</v>
      </c>
      <c r="FM60" s="11" t="n">
        <v>0.0280612244897959</v>
      </c>
      <c r="FN60" s="11" t="n">
        <v>1</v>
      </c>
      <c r="FO60" s="11" t="n">
        <v>1.38887583653092</v>
      </c>
      <c r="FP60" s="11" t="n">
        <v>1.13325123326947</v>
      </c>
      <c r="FQ60" s="11" t="n">
        <v>0.25</v>
      </c>
      <c r="FR60" s="11" t="n">
        <v>0</v>
      </c>
      <c r="FS60" s="11" t="n">
        <v>1.38668527677456</v>
      </c>
      <c r="FT60" s="11" t="n">
        <v>1.1329431859631</v>
      </c>
      <c r="FU60" s="11" t="n">
        <v>1</v>
      </c>
      <c r="FV60" s="11" t="n">
        <v>18.4907894417642</v>
      </c>
      <c r="FW60" s="11" t="n">
        <v>635.175785150883</v>
      </c>
      <c r="FX60" s="11" t="n">
        <v>0.0385673484623008</v>
      </c>
      <c r="FY60" s="11" t="n">
        <v>1</v>
      </c>
      <c r="FZ60" s="11" t="n">
        <v>31</v>
      </c>
      <c r="GA60" s="11" t="n">
        <v>1</v>
      </c>
      <c r="GB60" s="11" t="s">
        <v>576</v>
      </c>
      <c r="GC60" s="11" t="n">
        <v>0.414241245814732</v>
      </c>
      <c r="GD60" s="11" t="n">
        <v>0.420858577806122</v>
      </c>
      <c r="GE60" s="11" t="n">
        <v>0.418839411331312</v>
      </c>
      <c r="GF60" s="11" t="n">
        <v>0.425270108544097</v>
      </c>
      <c r="GG60" s="11" t="n">
        <v>0.508609693877551</v>
      </c>
      <c r="GH60" s="11" t="n">
        <v>0.510204081632653</v>
      </c>
      <c r="GI60" s="11" t="n">
        <v>0.0313977674264532</v>
      </c>
      <c r="GJ60" s="11" t="n">
        <v>0.03943549017707</v>
      </c>
      <c r="GK60" s="11" t="n">
        <v>0.0391331371568584</v>
      </c>
      <c r="GL60" s="11" t="n">
        <v>0.0434645643096645</v>
      </c>
      <c r="GM60" s="11" t="n">
        <v>0.166358118162285</v>
      </c>
      <c r="GN60" s="11" t="n">
        <v>0.159765547535819</v>
      </c>
      <c r="GO60" s="11" t="n">
        <v>0.403061224489796</v>
      </c>
      <c r="GP60" s="11" t="n">
        <v>0.408163265306122</v>
      </c>
      <c r="GQ60" s="11" t="n">
        <v>-0.117984928190708</v>
      </c>
      <c r="GR60" s="11" t="n">
        <v>0</v>
      </c>
      <c r="GS60" s="11" t="n">
        <v>1</v>
      </c>
      <c r="GT60" s="11" t="n">
        <v>0</v>
      </c>
      <c r="GU60" s="11" t="n">
        <v>0</v>
      </c>
      <c r="GV60" s="11" t="n">
        <v>1</v>
      </c>
      <c r="GW60" s="11" t="n">
        <v>1</v>
      </c>
      <c r="GX60" s="11" t="n">
        <v>1</v>
      </c>
      <c r="GY60" s="11" t="n">
        <v>1</v>
      </c>
      <c r="GZ60" s="11" t="n">
        <v>1</v>
      </c>
      <c r="HA60" s="11" t="n">
        <v>0</v>
      </c>
      <c r="HB60" s="11" t="n">
        <v>0</v>
      </c>
      <c r="HC60" s="11" t="n">
        <v>1</v>
      </c>
      <c r="HD60" s="11" t="n">
        <v>0</v>
      </c>
      <c r="HE60" s="11" t="n">
        <v>0</v>
      </c>
      <c r="HF60" s="11" t="n">
        <v>1</v>
      </c>
      <c r="HG60" s="11" t="n">
        <v>1</v>
      </c>
      <c r="HH60" s="11" t="n">
        <v>0</v>
      </c>
      <c r="HI60" s="11" t="n">
        <v>0</v>
      </c>
      <c r="HJ60" s="11" t="n">
        <v>0</v>
      </c>
      <c r="HK60" s="11" t="s">
        <v>1014</v>
      </c>
      <c r="HL60" s="11" t="s">
        <v>577</v>
      </c>
      <c r="HM60" s="11" t="n">
        <v>1</v>
      </c>
      <c r="HN60" s="11" t="s">
        <v>591</v>
      </c>
      <c r="HO60" s="11" t="s">
        <v>578</v>
      </c>
      <c r="HP60" s="11" t="s">
        <v>578</v>
      </c>
      <c r="HQ60" s="11" t="n">
        <v>0</v>
      </c>
      <c r="HR60" s="11" t="s">
        <v>189</v>
      </c>
      <c r="HS60" s="11" t="s">
        <v>249</v>
      </c>
      <c r="HT60" s="11" t="s">
        <v>249</v>
      </c>
      <c r="HU60" s="11" t="s">
        <v>1015</v>
      </c>
      <c r="HV60" s="11" t="s">
        <v>1015</v>
      </c>
      <c r="HW60" s="11" t="s">
        <v>1016</v>
      </c>
      <c r="HX60" s="11" t="s">
        <v>1008</v>
      </c>
      <c r="HY60" s="11" t="s">
        <v>583</v>
      </c>
      <c r="HZ60" s="11" t="s">
        <v>1017</v>
      </c>
      <c r="IA60" s="11" t="s">
        <v>1013</v>
      </c>
      <c r="IB60" s="11" t="s">
        <v>1018</v>
      </c>
      <c r="IC60" s="11" t="s">
        <v>339</v>
      </c>
      <c r="ID60" s="11" t="s">
        <v>1011</v>
      </c>
      <c r="IE60" s="11"/>
      <c r="IF60" s="11"/>
      <c r="IG60" s="11"/>
      <c r="IH60" s="11"/>
    </row>
    <row r="61" customFormat="false" ht="15" hidden="false" customHeight="false" outlineLevel="0" collapsed="false">
      <c r="A61" s="11" t="s">
        <v>112</v>
      </c>
      <c r="B61" s="11" t="s">
        <v>1019</v>
      </c>
      <c r="C61" s="11" t="s">
        <v>569</v>
      </c>
      <c r="D61" s="11" t="s">
        <v>570</v>
      </c>
      <c r="E61" s="11" t="s">
        <v>91</v>
      </c>
      <c r="F61" s="11"/>
      <c r="G61" s="11"/>
      <c r="H61" s="11" t="s">
        <v>1020</v>
      </c>
      <c r="I61" s="11" t="s">
        <v>1021</v>
      </c>
      <c r="J61" s="11" t="n">
        <v>110</v>
      </c>
      <c r="K61" s="11" t="n">
        <v>3.66666666666667</v>
      </c>
      <c r="L61" s="11" t="n">
        <v>0.604960262775421</v>
      </c>
      <c r="M61" s="11" t="n">
        <v>0.777007281780243</v>
      </c>
      <c r="N61" s="11" t="n">
        <v>0</v>
      </c>
      <c r="O61" s="11" t="n">
        <v>0.907660032610574</v>
      </c>
      <c r="P61" s="11" t="n">
        <v>0.887263662992654</v>
      </c>
      <c r="Q61" s="11" t="n">
        <v>0.369087805331921</v>
      </c>
      <c r="R61" s="11" t="n">
        <v>0.545454545454545</v>
      </c>
      <c r="S61" s="11" t="n">
        <v>0.318181818181818</v>
      </c>
      <c r="T61" s="11" t="n">
        <v>0.0545454545454545</v>
      </c>
      <c r="U61" s="11" t="n">
        <v>0.00909090909090909</v>
      </c>
      <c r="V61" s="11" t="n">
        <v>0</v>
      </c>
      <c r="W61" s="11" t="n">
        <v>0.381818181818182</v>
      </c>
      <c r="X61" s="11" t="n">
        <v>0.272727272727273</v>
      </c>
      <c r="Y61" s="11" t="n">
        <v>0.309090909090909</v>
      </c>
      <c r="Z61" s="11" t="n">
        <v>0.354545454545455</v>
      </c>
      <c r="AA61" s="11" t="n">
        <v>0.0727272727272727</v>
      </c>
      <c r="AB61" s="11" t="n">
        <v>0.0272727272727273</v>
      </c>
      <c r="AC61" s="11" t="n">
        <v>-0.00154862959044432</v>
      </c>
      <c r="AD61" s="11" t="n">
        <v>-0.00750500139107886</v>
      </c>
      <c r="AE61" s="11" t="n">
        <v>0.24</v>
      </c>
      <c r="AF61" s="11" t="n">
        <v>0.16</v>
      </c>
      <c r="AG61" s="11" t="n">
        <v>0.06</v>
      </c>
      <c r="AH61" s="11" t="n">
        <v>0.109090909090909</v>
      </c>
      <c r="AI61" s="11" t="n">
        <v>0.0727272727272727</v>
      </c>
      <c r="AJ61" s="11" t="n">
        <v>0.0272727272727273</v>
      </c>
      <c r="AK61" s="11" t="n">
        <v>0.0995306087852885</v>
      </c>
      <c r="AL61" s="11" t="n">
        <v>0</v>
      </c>
      <c r="AM61" s="11" t="n">
        <v>0</v>
      </c>
      <c r="AN61" s="11" t="n">
        <v>0</v>
      </c>
      <c r="AO61" s="11"/>
      <c r="AP61" s="11"/>
      <c r="AQ61" s="11"/>
      <c r="AR61" s="11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0.00671060277865805</v>
      </c>
      <c r="AZ61" s="11" t="n">
        <v>0.0213128403965642</v>
      </c>
      <c r="BA61" s="11"/>
      <c r="BB61" s="11" t="n">
        <v>0.0545454545454545</v>
      </c>
      <c r="BC61" s="11" t="n">
        <v>0.572727272727273</v>
      </c>
      <c r="BD61" s="11" t="n">
        <v>0.163636363636364</v>
      </c>
      <c r="BE61" s="11" t="n">
        <v>0.572727272727273</v>
      </c>
      <c r="BF61" s="11" t="n">
        <v>0.536363636363636</v>
      </c>
      <c r="BG61" s="11" t="n">
        <v>0.590909090909091</v>
      </c>
      <c r="BH61" s="11" t="n">
        <v>0.545454545454545</v>
      </c>
      <c r="BI61" s="11" t="n">
        <v>0.590909090909091</v>
      </c>
      <c r="BJ61" s="11" t="n">
        <v>0.0979366143156041</v>
      </c>
      <c r="BK61" s="11" t="n">
        <v>0.0527752202875108</v>
      </c>
      <c r="BL61" s="11" t="n">
        <v>0.221714745559138</v>
      </c>
      <c r="BM61" s="11" t="n">
        <v>0.0159618312501204</v>
      </c>
      <c r="BN61" s="11" t="n">
        <v>0.560607168724753</v>
      </c>
      <c r="BO61" s="11" t="n">
        <v>0.149583886827731</v>
      </c>
      <c r="BP61" s="11" t="n">
        <v>0.0147145836907551</v>
      </c>
      <c r="BQ61" s="11" t="n">
        <v>0.00434698490156701</v>
      </c>
      <c r="BR61" s="11" t="n">
        <v>4.36148725217905</v>
      </c>
      <c r="BS61" s="11" t="n">
        <v>9.42437155292915</v>
      </c>
      <c r="BT61" s="11" t="n">
        <v>19.5815261328912</v>
      </c>
      <c r="BU61" s="11" t="n">
        <v>9.79366143156041</v>
      </c>
      <c r="BV61" s="11" t="n">
        <v>12.7033191763548</v>
      </c>
      <c r="BW61" s="11" t="n">
        <v>9.05909790816204</v>
      </c>
      <c r="BX61" s="11" t="n">
        <v>4.41323907636256</v>
      </c>
      <c r="BY61" s="11" t="n">
        <v>5.37278683416858</v>
      </c>
      <c r="BZ61" s="11" t="n">
        <v>0.563636363636364</v>
      </c>
      <c r="CA61" s="11" t="n">
        <v>0.67741935483871</v>
      </c>
      <c r="CB61" s="11" t="n">
        <v>0.483870967741936</v>
      </c>
      <c r="CC61" s="11" t="n">
        <v>0.548387096774194</v>
      </c>
      <c r="CD61" s="11" t="n">
        <v>0.629032258064516</v>
      </c>
      <c r="CE61" s="11" t="n">
        <v>0.563636363636364</v>
      </c>
      <c r="CF61" s="11" t="n">
        <v>5</v>
      </c>
      <c r="CG61" s="11" t="n">
        <v>0</v>
      </c>
      <c r="CH61" s="11" t="n">
        <v>0.67741935483871</v>
      </c>
      <c r="CI61" s="11" t="n">
        <v>0.548387096774194</v>
      </c>
      <c r="CJ61" s="11" t="n">
        <v>0.629032258064516</v>
      </c>
      <c r="CK61" s="11" t="n">
        <v>0</v>
      </c>
      <c r="CL61" s="11" t="n">
        <v>0</v>
      </c>
      <c r="CM61" s="11" t="n">
        <v>0</v>
      </c>
      <c r="CN61" s="11" t="n">
        <v>0</v>
      </c>
      <c r="CO61" s="11" t="n">
        <v>0</v>
      </c>
      <c r="CP61" s="11" t="n">
        <v>0</v>
      </c>
      <c r="CQ61" s="11" t="n">
        <v>0</v>
      </c>
      <c r="CR61" s="11" t="n">
        <v>0</v>
      </c>
      <c r="CS61" s="11" t="n">
        <v>0</v>
      </c>
      <c r="CT61" s="11" t="n">
        <v>0</v>
      </c>
      <c r="CU61" s="11" t="n">
        <v>0</v>
      </c>
      <c r="CV61" s="11" t="n">
        <v>0</v>
      </c>
      <c r="CW61" s="11" t="n">
        <v>0.0967741935483871</v>
      </c>
      <c r="CX61" s="11" t="n">
        <v>0.0161290322580645</v>
      </c>
      <c r="CY61" s="11" t="n">
        <v>-0.0381996170992203</v>
      </c>
      <c r="CZ61" s="11" t="n">
        <v>-0.147776475579711</v>
      </c>
      <c r="DA61" s="11" t="n">
        <v>6.83964695797687</v>
      </c>
      <c r="DB61" s="11" t="n">
        <v>-0.0988126964324021</v>
      </c>
      <c r="DC61" s="11" t="n">
        <v>12.5358664362996</v>
      </c>
      <c r="DD61" s="11" t="n">
        <v>0.445934912742382</v>
      </c>
      <c r="DE61" s="11" t="n">
        <v>0.409090909090909</v>
      </c>
      <c r="DF61" s="11" t="n">
        <v>-0.0846518994412784</v>
      </c>
      <c r="DG61" s="11" t="n">
        <v>-0.100366089003951</v>
      </c>
      <c r="DH61" s="11" t="n">
        <v>1.5714189562673</v>
      </c>
      <c r="DI61" s="11" t="n">
        <v>135.420003360134</v>
      </c>
      <c r="DJ61" s="11" t="n">
        <v>120.321298513795</v>
      </c>
      <c r="DK61" s="11" t="n">
        <v>12.2121377033014</v>
      </c>
      <c r="DL61" s="11" t="n">
        <v>49.05</v>
      </c>
      <c r="DM61" s="11" t="n">
        <v>0.5</v>
      </c>
      <c r="DN61" s="11" t="n">
        <v>0.118181818181818</v>
      </c>
      <c r="DO61" s="11" t="n">
        <v>-0.00711678120302414</v>
      </c>
      <c r="DP61" s="11" t="n">
        <v>0</v>
      </c>
      <c r="DQ61" s="11" t="n">
        <v>0</v>
      </c>
      <c r="DR61" s="11" t="n">
        <v>0</v>
      </c>
      <c r="DS61" s="11" t="n">
        <v>0</v>
      </c>
      <c r="DT61" s="11" t="n">
        <v>0</v>
      </c>
      <c r="DU61" s="11" t="n">
        <v>0</v>
      </c>
      <c r="DV61" s="11" t="n">
        <v>5</v>
      </c>
      <c r="DW61" s="11" t="s">
        <v>690</v>
      </c>
      <c r="DX61" s="11" t="n">
        <v>0.195506</v>
      </c>
      <c r="DY61" s="11" t="n">
        <v>0.158697195869243</v>
      </c>
      <c r="DZ61" s="11" t="n">
        <v>0.232314804130757</v>
      </c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 t="n">
        <v>11.0616233422866</v>
      </c>
      <c r="EP61" s="11" t="n">
        <v>86.3000847622722</v>
      </c>
      <c r="EQ61" s="11" t="n">
        <v>1914.14830330423</v>
      </c>
      <c r="ER61" s="11" t="n">
        <v>3.74298981903501</v>
      </c>
      <c r="ES61" s="11" t="n">
        <v>3.74298981903501</v>
      </c>
      <c r="ET61" s="11" t="n">
        <v>1.97741765544165</v>
      </c>
      <c r="EU61" s="11" t="n">
        <v>45.7174527267678</v>
      </c>
      <c r="EV61" s="11" t="n">
        <v>45.7174527267678</v>
      </c>
      <c r="EW61" s="11" t="n">
        <v>507.734273790993</v>
      </c>
      <c r="EX61" s="11" t="n">
        <v>615.561830692665</v>
      </c>
      <c r="EY61" s="11" t="n">
        <v>1.27297092256118</v>
      </c>
      <c r="EZ61" s="11" t="n">
        <v>0.742143252725923</v>
      </c>
      <c r="FA61" s="11" t="n">
        <v>0.0484702379789846</v>
      </c>
      <c r="FB61" s="11" t="n">
        <v>1</v>
      </c>
      <c r="FC61" s="11" t="n">
        <v>0</v>
      </c>
      <c r="FD61" s="11" t="n">
        <v>0</v>
      </c>
      <c r="FE61" s="11" t="s">
        <v>574</v>
      </c>
      <c r="FF61" s="11" t="s">
        <v>344</v>
      </c>
      <c r="FG61" s="11" t="n">
        <v>110</v>
      </c>
      <c r="FH61" s="11" t="s">
        <v>575</v>
      </c>
      <c r="FI61" s="11" t="s">
        <v>59</v>
      </c>
      <c r="FJ61" s="11" t="n">
        <v>0.2</v>
      </c>
      <c r="FK61" s="11" t="n">
        <v>0.198441896271655</v>
      </c>
      <c r="FL61" s="11" t="n">
        <v>0.114552232107542</v>
      </c>
      <c r="FM61" s="11" t="n">
        <v>0</v>
      </c>
      <c r="FN61" s="11" t="n">
        <v>1</v>
      </c>
      <c r="FO61" s="11" t="n">
        <v>0.698630830435876</v>
      </c>
      <c r="FP61" s="11" t="n">
        <v>0.283466502125161</v>
      </c>
      <c r="FQ61" s="11" t="n">
        <v>0.0431818181818182</v>
      </c>
      <c r="FR61" s="11" t="n">
        <v>0</v>
      </c>
      <c r="FS61" s="11" t="n">
        <v>0.694621860692944</v>
      </c>
      <c r="FT61" s="11" t="n">
        <v>0.276837966870759</v>
      </c>
      <c r="FU61" s="11" t="n">
        <v>1</v>
      </c>
      <c r="FV61" s="11" t="n">
        <v>10.9036739120849</v>
      </c>
      <c r="FW61" s="11" t="n">
        <v>263.880570241083</v>
      </c>
      <c r="FX61" s="11" t="n">
        <v>0.0321846756577567</v>
      </c>
      <c r="FY61" s="11" t="n">
        <v>1</v>
      </c>
      <c r="FZ61" s="11" t="n">
        <v>31</v>
      </c>
      <c r="GA61" s="11" t="n">
        <v>1</v>
      </c>
      <c r="GB61" s="11" t="s">
        <v>576</v>
      </c>
      <c r="GC61" s="11" t="n">
        <v>0.930371926047585</v>
      </c>
      <c r="GD61" s="11" t="n">
        <v>0.944868607954545</v>
      </c>
      <c r="GE61" s="11" t="n">
        <v>0.944691399332475</v>
      </c>
      <c r="GF61" s="11" t="n">
        <v>0.945454545454545</v>
      </c>
      <c r="GG61" s="11" t="n">
        <v>0</v>
      </c>
      <c r="GH61" s="11" t="n">
        <v>0</v>
      </c>
      <c r="GI61" s="11" t="n">
        <v>0.0258688974352977</v>
      </c>
      <c r="GJ61" s="11" t="n">
        <v>0.0390096180648966</v>
      </c>
      <c r="GK61" s="11" t="n">
        <v>0.0358500783426484</v>
      </c>
      <c r="GL61" s="11" t="n">
        <v>0.0421953279101713</v>
      </c>
      <c r="GM61" s="11" t="n">
        <v>0.00127180277247589</v>
      </c>
      <c r="GN61" s="11" t="n">
        <v>1.97901870706119E-005</v>
      </c>
      <c r="GO61" s="11" t="n">
        <v>0.943465909090909</v>
      </c>
      <c r="GP61" s="11" t="n">
        <v>0.945454545454545</v>
      </c>
      <c r="GQ61" s="11" t="n">
        <v>-0.0495847016572952</v>
      </c>
      <c r="GR61" s="11" t="n">
        <v>1</v>
      </c>
      <c r="GS61" s="11" t="n">
        <v>1</v>
      </c>
      <c r="GT61" s="11" t="n">
        <v>0</v>
      </c>
      <c r="GU61" s="11" t="n">
        <v>0</v>
      </c>
      <c r="GV61" s="11" t="n">
        <v>1</v>
      </c>
      <c r="GW61" s="11" t="n">
        <v>1</v>
      </c>
      <c r="GX61" s="11" t="n">
        <v>1</v>
      </c>
      <c r="GY61" s="11" t="n">
        <v>1</v>
      </c>
      <c r="GZ61" s="11" t="n">
        <v>1</v>
      </c>
      <c r="HA61" s="11" t="n">
        <v>1</v>
      </c>
      <c r="HB61" s="11" t="n">
        <v>1</v>
      </c>
      <c r="HC61" s="11" t="n">
        <v>1</v>
      </c>
      <c r="HD61" s="11" t="n">
        <v>1</v>
      </c>
      <c r="HE61" s="11" t="n">
        <v>1</v>
      </c>
      <c r="HF61" s="11" t="n">
        <v>1</v>
      </c>
      <c r="HG61" s="11" t="n">
        <v>1</v>
      </c>
      <c r="HH61" s="11" t="n">
        <v>1</v>
      </c>
      <c r="HI61" s="11" t="n">
        <v>1</v>
      </c>
      <c r="HJ61" s="11" t="n">
        <v>1</v>
      </c>
      <c r="HK61" s="11"/>
      <c r="HL61" s="11" t="s">
        <v>577</v>
      </c>
      <c r="HM61" s="11" t="n">
        <v>1</v>
      </c>
      <c r="HN61" s="11" t="s">
        <v>10</v>
      </c>
      <c r="HO61" s="11" t="s">
        <v>578</v>
      </c>
      <c r="HP61" s="11" t="s">
        <v>578</v>
      </c>
      <c r="HQ61" s="11" t="n">
        <v>0</v>
      </c>
      <c r="HR61" s="11" t="s">
        <v>189</v>
      </c>
      <c r="HS61" s="11" t="s">
        <v>579</v>
      </c>
      <c r="HT61" s="11" t="s">
        <v>579</v>
      </c>
      <c r="HU61" s="11" t="s">
        <v>1022</v>
      </c>
      <c r="HV61" s="11" t="s">
        <v>1022</v>
      </c>
      <c r="HW61" s="11" t="s">
        <v>1023</v>
      </c>
      <c r="HX61" s="11" t="s">
        <v>1024</v>
      </c>
      <c r="HY61" s="11" t="s">
        <v>583</v>
      </c>
      <c r="HZ61" s="11" t="s">
        <v>1025</v>
      </c>
      <c r="IA61" s="11" t="s">
        <v>1020</v>
      </c>
      <c r="IB61" s="11" t="s">
        <v>1026</v>
      </c>
      <c r="IC61" s="11" t="s">
        <v>344</v>
      </c>
      <c r="ID61" s="11" t="s">
        <v>1027</v>
      </c>
      <c r="IE61" s="11"/>
      <c r="IF61" s="11"/>
      <c r="IG61" s="11"/>
      <c r="IH61" s="11"/>
    </row>
    <row r="62" customFormat="false" ht="15" hidden="false" customHeight="false" outlineLevel="0" collapsed="false">
      <c r="A62" s="11" t="s">
        <v>112</v>
      </c>
      <c r="B62" s="11" t="s">
        <v>1028</v>
      </c>
      <c r="C62" s="11" t="s">
        <v>588</v>
      </c>
      <c r="D62" s="11" t="s">
        <v>570</v>
      </c>
      <c r="E62" s="11" t="s">
        <v>91</v>
      </c>
      <c r="F62" s="11"/>
      <c r="G62" s="11"/>
      <c r="H62" s="11" t="s">
        <v>1029</v>
      </c>
      <c r="I62" s="11" t="s">
        <v>343</v>
      </c>
      <c r="J62" s="11" t="n">
        <v>110</v>
      </c>
      <c r="K62" s="11" t="n">
        <v>3.66666666666667</v>
      </c>
      <c r="L62" s="11" t="n">
        <v>0.608949959278107</v>
      </c>
      <c r="M62" s="11" t="n">
        <v>0.775885999202728</v>
      </c>
      <c r="N62" s="11" t="n">
        <v>0</v>
      </c>
      <c r="O62" s="11" t="n">
        <v>0.881714621693822</v>
      </c>
      <c r="P62" s="11" t="n">
        <v>0.861528744177434</v>
      </c>
      <c r="Q62" s="11" t="n">
        <v>0.429284643206835</v>
      </c>
      <c r="R62" s="11" t="n">
        <v>0.327272727272727</v>
      </c>
      <c r="S62" s="11" t="n">
        <v>0.254545454545454</v>
      </c>
      <c r="T62" s="11" t="n">
        <v>0.0272727272727273</v>
      </c>
      <c r="U62" s="11" t="n">
        <v>0.0272727272727273</v>
      </c>
      <c r="V62" s="11" t="n">
        <v>0</v>
      </c>
      <c r="W62" s="11" t="n">
        <v>0.472727272727273</v>
      </c>
      <c r="X62" s="11" t="n">
        <v>0.272727272727273</v>
      </c>
      <c r="Y62" s="11" t="n">
        <v>0.336363636363636</v>
      </c>
      <c r="Z62" s="11" t="n">
        <v>0.445454545454545</v>
      </c>
      <c r="AA62" s="11" t="n">
        <v>0.136363636363636</v>
      </c>
      <c r="AB62" s="11" t="n">
        <v>0.0272727272727273</v>
      </c>
      <c r="AC62" s="11" t="n">
        <v>-0.00251051156595942</v>
      </c>
      <c r="AD62" s="11" t="n">
        <v>-0.0197727704339678</v>
      </c>
      <c r="AE62" s="11" t="n">
        <v>0.403508771929825</v>
      </c>
      <c r="AF62" s="11" t="n">
        <v>0.263157894736842</v>
      </c>
      <c r="AG62" s="11" t="n">
        <v>0.0526315789473684</v>
      </c>
      <c r="AH62" s="11" t="n">
        <v>0.2</v>
      </c>
      <c r="AI62" s="11" t="n">
        <v>0.136363636363636</v>
      </c>
      <c r="AJ62" s="11" t="n">
        <v>0.0272727272727273</v>
      </c>
      <c r="AK62" s="11" t="n">
        <v>0.157364093384924</v>
      </c>
      <c r="AL62" s="11" t="n">
        <v>0</v>
      </c>
      <c r="AM62" s="11" t="n">
        <v>0</v>
      </c>
      <c r="AN62" s="11" t="n">
        <v>0</v>
      </c>
      <c r="AO62" s="11"/>
      <c r="AP62" s="11"/>
      <c r="AQ62" s="11"/>
      <c r="AR62" s="11" t="n">
        <v>0</v>
      </c>
      <c r="AS62" s="11" t="n">
        <v>0.0272727272727273</v>
      </c>
      <c r="AT62" s="11" t="n">
        <v>0.00909090909090909</v>
      </c>
      <c r="AU62" s="11" t="n">
        <v>0.00909090909090909</v>
      </c>
      <c r="AV62" s="11" t="n">
        <v>0</v>
      </c>
      <c r="AW62" s="11" t="n">
        <v>0</v>
      </c>
      <c r="AX62" s="11" t="n">
        <v>0</v>
      </c>
      <c r="AY62" s="11" t="n">
        <v>0.00743399883936729</v>
      </c>
      <c r="AZ62" s="11" t="n">
        <v>0.0206623861976656</v>
      </c>
      <c r="BA62" s="11"/>
      <c r="BB62" s="11" t="n">
        <v>0.0272727272727273</v>
      </c>
      <c r="BC62" s="11" t="n">
        <v>0.590909090909091</v>
      </c>
      <c r="BD62" s="11" t="n">
        <v>0.163636363636364</v>
      </c>
      <c r="BE62" s="11" t="n">
        <v>0.609090909090909</v>
      </c>
      <c r="BF62" s="11" t="n">
        <v>0.536363636363636</v>
      </c>
      <c r="BG62" s="11" t="n">
        <v>0.609090909090909</v>
      </c>
      <c r="BH62" s="11" t="n">
        <v>0.572727272727273</v>
      </c>
      <c r="BI62" s="11" t="n">
        <v>0.627272727272727</v>
      </c>
      <c r="BJ62" s="11" t="n">
        <v>0.0876893535127047</v>
      </c>
      <c r="BK62" s="11" t="n">
        <v>0.0479505551681802</v>
      </c>
      <c r="BL62" s="11" t="n">
        <v>0.131027876099187</v>
      </c>
      <c r="BM62" s="11" t="n">
        <v>0.0170317049013634</v>
      </c>
      <c r="BN62" s="11" t="n">
        <v>0.4848869968051</v>
      </c>
      <c r="BO62" s="11" t="n">
        <v>0.135116046692942</v>
      </c>
      <c r="BP62" s="11" t="n">
        <v>0.0152069009716233</v>
      </c>
      <c r="BQ62" s="11" t="n">
        <v>0.00524499978510711</v>
      </c>
      <c r="BR62" s="11" t="n">
        <v>3.85104207282864</v>
      </c>
      <c r="BS62" s="11" t="n">
        <v>9.46121658040792</v>
      </c>
      <c r="BT62" s="11" t="n">
        <v>17.3270442255322</v>
      </c>
      <c r="BU62" s="11" t="n">
        <v>8.76893535127047</v>
      </c>
      <c r="BV62" s="11" t="n">
        <v>7.50734429904557</v>
      </c>
      <c r="BW62" s="11" t="n">
        <v>8.90407605693414</v>
      </c>
      <c r="BX62" s="11" t="n">
        <v>4.74006346951242</v>
      </c>
      <c r="BY62" s="11" t="n">
        <v>13.6769661712959</v>
      </c>
      <c r="BZ62" s="11" t="n">
        <v>0.563636363636364</v>
      </c>
      <c r="CA62" s="11" t="n">
        <v>0.806451612903226</v>
      </c>
      <c r="CB62" s="11" t="n">
        <v>0.451612903225806</v>
      </c>
      <c r="CC62" s="11" t="n">
        <v>0.564516129032258</v>
      </c>
      <c r="CD62" s="11" t="n">
        <v>0.758064516129032</v>
      </c>
      <c r="CE62" s="11" t="n">
        <v>0.563636363636364</v>
      </c>
      <c r="CF62" s="11" t="n">
        <v>5</v>
      </c>
      <c r="CG62" s="11" t="n">
        <v>0</v>
      </c>
      <c r="CH62" s="11" t="n">
        <v>0.806451612903226</v>
      </c>
      <c r="CI62" s="11" t="n">
        <v>0.564516129032258</v>
      </c>
      <c r="CJ62" s="11" t="n">
        <v>0.758064516129032</v>
      </c>
      <c r="CK62" s="11" t="n">
        <v>0.0416666666666667</v>
      </c>
      <c r="CL62" s="11" t="n">
        <v>0.0416666666666667</v>
      </c>
      <c r="CM62" s="11" t="n">
        <v>0.0416666666666667</v>
      </c>
      <c r="CN62" s="11" t="n">
        <v>0.0416666666666667</v>
      </c>
      <c r="CO62" s="11" t="n">
        <v>0</v>
      </c>
      <c r="CP62" s="11" t="n">
        <v>0</v>
      </c>
      <c r="CQ62" s="11" t="n">
        <v>0</v>
      </c>
      <c r="CR62" s="11" t="n">
        <v>0</v>
      </c>
      <c r="CS62" s="11" t="n">
        <v>0.0645161290322581</v>
      </c>
      <c r="CT62" s="11" t="n">
        <v>0.0645161290322581</v>
      </c>
      <c r="CU62" s="11" t="n">
        <v>0.0645161290322581</v>
      </c>
      <c r="CV62" s="11" t="n">
        <v>0.0645161290322581</v>
      </c>
      <c r="CW62" s="11" t="n">
        <v>0.0483870967741936</v>
      </c>
      <c r="CX62" s="11" t="n">
        <v>0.0483870967741936</v>
      </c>
      <c r="CY62" s="11" t="n">
        <v>0.00618103441713849</v>
      </c>
      <c r="CZ62" s="11" t="n">
        <v>-0.0692514189589105</v>
      </c>
      <c r="DA62" s="11" t="n">
        <v>6.16459852985501</v>
      </c>
      <c r="DB62" s="11" t="n">
        <v>-0.0281391170620023</v>
      </c>
      <c r="DC62" s="11" t="n">
        <v>12.7967389684134</v>
      </c>
      <c r="DD62" s="11" t="n">
        <v>0.354558245160333</v>
      </c>
      <c r="DE62" s="11" t="n">
        <v>0.409090909090909</v>
      </c>
      <c r="DF62" s="11" t="n">
        <v>-0.0431486082994537</v>
      </c>
      <c r="DG62" s="11" t="n">
        <v>-0.00179730190263623</v>
      </c>
      <c r="DH62" s="11" t="n">
        <v>-4.13513063968175</v>
      </c>
      <c r="DI62" s="11" t="n">
        <v>119.965176892922</v>
      </c>
      <c r="DJ62" s="11" t="n">
        <v>100.40597950084</v>
      </c>
      <c r="DK62" s="11" t="n">
        <v>21.771886727654</v>
      </c>
      <c r="DL62" s="11" t="n">
        <v>49.05</v>
      </c>
      <c r="DM62" s="11" t="n">
        <v>0.5</v>
      </c>
      <c r="DN62" s="11" t="n">
        <v>0.118181818181818</v>
      </c>
      <c r="DO62" s="11" t="n">
        <v>-0.00711678120302414</v>
      </c>
      <c r="DP62" s="11" t="n">
        <v>0.00909090909090909</v>
      </c>
      <c r="DQ62" s="11" t="n">
        <v>0.0272727272727273</v>
      </c>
      <c r="DR62" s="11" t="n">
        <v>0.0272727272727273</v>
      </c>
      <c r="DS62" s="11" t="n">
        <v>0.0272727272727273</v>
      </c>
      <c r="DT62" s="11" t="n">
        <v>0.0181818181818182</v>
      </c>
      <c r="DU62" s="11" t="n">
        <v>0</v>
      </c>
      <c r="DV62" s="11" t="n">
        <v>5</v>
      </c>
      <c r="DW62" s="11" t="s">
        <v>690</v>
      </c>
      <c r="DX62" s="11" t="n">
        <v>0.195506</v>
      </c>
      <c r="DY62" s="11" t="n">
        <v>0.158697195869243</v>
      </c>
      <c r="DZ62" s="11" t="n">
        <v>0.232314804130757</v>
      </c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 t="n">
        <v>11.6382111242339</v>
      </c>
      <c r="EP62" s="11" t="n">
        <v>93.3305866661281</v>
      </c>
      <c r="EQ62" s="11" t="n">
        <v>2054.96244990127</v>
      </c>
      <c r="ER62" s="11" t="n">
        <v>3.66219723590736</v>
      </c>
      <c r="ES62" s="11" t="n">
        <v>3.66219723590736</v>
      </c>
      <c r="ET62" s="11" t="n">
        <v>2.05176906411178</v>
      </c>
      <c r="EU62" s="11" t="n">
        <v>59.8027750663355</v>
      </c>
      <c r="EV62" s="11" t="n">
        <v>59.8027750663355</v>
      </c>
      <c r="EW62" s="11" t="n">
        <v>506.149941082216</v>
      </c>
      <c r="EX62" s="11" t="n">
        <v>602.924173154522</v>
      </c>
      <c r="EY62" s="11" t="n">
        <v>1.22031544992416</v>
      </c>
      <c r="EZ62" s="11" t="n">
        <v>0.964897953705799</v>
      </c>
      <c r="FA62" s="11" t="n">
        <v>0.046050254149858</v>
      </c>
      <c r="FB62" s="11" t="n">
        <v>1</v>
      </c>
      <c r="FC62" s="11" t="n">
        <v>0</v>
      </c>
      <c r="FD62" s="11" t="n">
        <v>0</v>
      </c>
      <c r="FE62" s="11" t="s">
        <v>574</v>
      </c>
      <c r="FF62" s="11" t="s">
        <v>344</v>
      </c>
      <c r="FG62" s="11" t="n">
        <v>110</v>
      </c>
      <c r="FH62" s="11" t="s">
        <v>575</v>
      </c>
      <c r="FI62" s="11" t="s">
        <v>59</v>
      </c>
      <c r="FJ62" s="11" t="n">
        <v>0.2</v>
      </c>
      <c r="FK62" s="11" t="n">
        <v>0.145337726334284</v>
      </c>
      <c r="FL62" s="11" t="n">
        <v>0.0911703419320004</v>
      </c>
      <c r="FM62" s="11" t="n">
        <v>0</v>
      </c>
      <c r="FN62" s="11" t="n">
        <v>1</v>
      </c>
      <c r="FO62" s="11" t="n">
        <v>0.45439874120887</v>
      </c>
      <c r="FP62" s="11" t="n">
        <v>0.255257950742472</v>
      </c>
      <c r="FQ62" s="11" t="n">
        <v>0.0386363636363636</v>
      </c>
      <c r="FR62" s="11" t="n">
        <v>0</v>
      </c>
      <c r="FS62" s="11" t="n">
        <v>0.454170673347341</v>
      </c>
      <c r="FT62" s="11" t="n">
        <v>0.255126326874665</v>
      </c>
      <c r="FU62" s="11" t="n">
        <v>1</v>
      </c>
      <c r="FV62" s="11" t="n">
        <v>10.5468197261432</v>
      </c>
      <c r="FW62" s="11" t="n">
        <v>271.527708873025</v>
      </c>
      <c r="FX62" s="11" t="n">
        <v>0.0343530251533496</v>
      </c>
      <c r="FY62" s="11" t="n">
        <v>1</v>
      </c>
      <c r="FZ62" s="11" t="n">
        <v>31</v>
      </c>
      <c r="GA62" s="11" t="n">
        <v>1</v>
      </c>
      <c r="GB62" s="11" t="s">
        <v>576</v>
      </c>
      <c r="GC62" s="11" t="n">
        <v>0.891969160600142</v>
      </c>
      <c r="GD62" s="11" t="n">
        <v>0.908416193181818</v>
      </c>
      <c r="GE62" s="11" t="n">
        <v>0.90552584807235</v>
      </c>
      <c r="GF62" s="11" t="n">
        <v>0.908645276589827</v>
      </c>
      <c r="GG62" s="11" t="n">
        <v>0.0346590909090909</v>
      </c>
      <c r="GH62" s="11" t="n">
        <v>0.0363636363636364</v>
      </c>
      <c r="GI62" s="11" t="n">
        <v>0.011056125113894</v>
      </c>
      <c r="GJ62" s="11" t="n">
        <v>0.0227023061026226</v>
      </c>
      <c r="GK62" s="11" t="n">
        <v>0.0198910688857684</v>
      </c>
      <c r="GL62" s="11" t="n">
        <v>0.0251569140575487</v>
      </c>
      <c r="GM62" s="11" t="n">
        <v>0.00510145262718424</v>
      </c>
      <c r="GN62" s="11" t="n">
        <v>0.00212032436604866</v>
      </c>
      <c r="GO62" s="11" t="n">
        <v>0.866193181818182</v>
      </c>
      <c r="GP62" s="11" t="n">
        <v>0.9</v>
      </c>
      <c r="GQ62" s="11" t="n">
        <v>-0.033607617020607</v>
      </c>
      <c r="GR62" s="11" t="n">
        <v>1</v>
      </c>
      <c r="GS62" s="11" t="n">
        <v>1</v>
      </c>
      <c r="GT62" s="11" t="n">
        <v>0</v>
      </c>
      <c r="GU62" s="11" t="n">
        <v>0</v>
      </c>
      <c r="GV62" s="11" t="n">
        <v>1</v>
      </c>
      <c r="GW62" s="11" t="n">
        <v>1</v>
      </c>
      <c r="GX62" s="11" t="n">
        <v>1</v>
      </c>
      <c r="GY62" s="11" t="n">
        <v>1</v>
      </c>
      <c r="GZ62" s="11" t="n">
        <v>1</v>
      </c>
      <c r="HA62" s="11" t="n">
        <v>1</v>
      </c>
      <c r="HB62" s="11" t="n">
        <v>1</v>
      </c>
      <c r="HC62" s="11" t="n">
        <v>1</v>
      </c>
      <c r="HD62" s="11" t="n">
        <v>1</v>
      </c>
      <c r="HE62" s="11" t="n">
        <v>1</v>
      </c>
      <c r="HF62" s="11" t="n">
        <v>1</v>
      </c>
      <c r="HG62" s="11" t="n">
        <v>0</v>
      </c>
      <c r="HH62" s="11" t="n">
        <v>1</v>
      </c>
      <c r="HI62" s="11" t="n">
        <v>0</v>
      </c>
      <c r="HJ62" s="11" t="n">
        <v>0</v>
      </c>
      <c r="HK62" s="11" t="s">
        <v>145</v>
      </c>
      <c r="HL62" s="11" t="s">
        <v>577</v>
      </c>
      <c r="HM62" s="11" t="n">
        <v>1</v>
      </c>
      <c r="HN62" s="11" t="s">
        <v>591</v>
      </c>
      <c r="HO62" s="11" t="s">
        <v>578</v>
      </c>
      <c r="HP62" s="11" t="s">
        <v>578</v>
      </c>
      <c r="HQ62" s="11" t="n">
        <v>0</v>
      </c>
      <c r="HR62" s="11" t="s">
        <v>189</v>
      </c>
      <c r="HS62" s="11" t="s">
        <v>300</v>
      </c>
      <c r="HT62" s="11" t="s">
        <v>300</v>
      </c>
      <c r="HU62" s="11" t="s">
        <v>1030</v>
      </c>
      <c r="HV62" s="11" t="s">
        <v>1030</v>
      </c>
      <c r="HW62" s="11" t="s">
        <v>1031</v>
      </c>
      <c r="HX62" s="11" t="s">
        <v>1024</v>
      </c>
      <c r="HY62" s="11" t="s">
        <v>583</v>
      </c>
      <c r="HZ62" s="11" t="s">
        <v>1032</v>
      </c>
      <c r="IA62" s="11" t="s">
        <v>1029</v>
      </c>
      <c r="IB62" s="11" t="s">
        <v>1033</v>
      </c>
      <c r="IC62" s="11" t="s">
        <v>344</v>
      </c>
      <c r="ID62" s="11" t="s">
        <v>1027</v>
      </c>
      <c r="IE62" s="11"/>
      <c r="IF62" s="11"/>
      <c r="IG62" s="11"/>
      <c r="IH62" s="11"/>
    </row>
    <row r="63" customFormat="false" ht="15" hidden="false" customHeight="false" outlineLevel="0" collapsed="false">
      <c r="A63" s="11" t="s">
        <v>50</v>
      </c>
      <c r="B63" s="11" t="s">
        <v>1034</v>
      </c>
      <c r="C63" s="11" t="s">
        <v>1035</v>
      </c>
      <c r="D63" s="11" t="s">
        <v>570</v>
      </c>
      <c r="E63" s="11" t="s">
        <v>51</v>
      </c>
      <c r="F63" s="11"/>
      <c r="G63" s="11"/>
      <c r="H63" s="11" t="s">
        <v>1036</v>
      </c>
      <c r="I63" s="11" t="s">
        <v>194</v>
      </c>
      <c r="J63" s="11" t="n">
        <v>157</v>
      </c>
      <c r="K63" s="11" t="n">
        <v>5.23333333333333</v>
      </c>
      <c r="L63" s="11" t="n">
        <v>0.751636326313019</v>
      </c>
      <c r="M63" s="11" t="n">
        <v>0.809898495674133</v>
      </c>
      <c r="N63" s="11" t="n">
        <v>0</v>
      </c>
      <c r="O63" s="11" t="n">
        <v>1.38993001083373</v>
      </c>
      <c r="P63" s="11" t="n">
        <v>1.51282496065471</v>
      </c>
      <c r="Q63" s="11" t="n">
        <v>0.335623632725303</v>
      </c>
      <c r="R63" s="11" t="n">
        <v>0.280254777070064</v>
      </c>
      <c r="S63" s="11" t="n">
        <v>0.299363057324841</v>
      </c>
      <c r="T63" s="11" t="n">
        <v>0.0318471337579618</v>
      </c>
      <c r="U63" s="11" t="n">
        <v>0</v>
      </c>
      <c r="V63" s="11" t="n">
        <v>0</v>
      </c>
      <c r="W63" s="11" t="n">
        <v>0.770700636942675</v>
      </c>
      <c r="X63" s="11" t="n">
        <v>0.420382165605096</v>
      </c>
      <c r="Y63" s="11" t="n">
        <v>0.56687898089172</v>
      </c>
      <c r="Z63" s="11" t="n">
        <v>0.668789808917197</v>
      </c>
      <c r="AA63" s="11" t="n">
        <v>0.203821656050955</v>
      </c>
      <c r="AB63" s="11" t="n">
        <v>0.101910828025478</v>
      </c>
      <c r="AC63" s="11" t="n">
        <v>-0.00227895273304416</v>
      </c>
      <c r="AD63" s="11" t="n">
        <v>-0.00864632317140734</v>
      </c>
      <c r="AE63" s="11" t="n">
        <v>0.435714285714286</v>
      </c>
      <c r="AF63" s="11" t="n">
        <v>0.228571428571429</v>
      </c>
      <c r="AG63" s="11" t="n">
        <v>0.114285714285714</v>
      </c>
      <c r="AH63" s="11" t="n">
        <v>0.35031847133758</v>
      </c>
      <c r="AI63" s="11" t="n">
        <v>0.203821656050955</v>
      </c>
      <c r="AJ63" s="11" t="n">
        <v>0.101910828025478</v>
      </c>
      <c r="AK63" s="11" t="n">
        <v>0.437492781705619</v>
      </c>
      <c r="AL63" s="11" t="n">
        <v>0</v>
      </c>
      <c r="AM63" s="11" t="n">
        <v>0</v>
      </c>
      <c r="AN63" s="11" t="n">
        <v>0</v>
      </c>
      <c r="AO63" s="11"/>
      <c r="AP63" s="11"/>
      <c r="AQ63" s="11"/>
      <c r="AR63" s="11" t="n">
        <v>0</v>
      </c>
      <c r="AS63" s="11" t="n">
        <v>0</v>
      </c>
      <c r="AT63" s="11" t="n">
        <v>0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0.00674590370984883</v>
      </c>
      <c r="AZ63" s="11" t="n">
        <v>0.0130432118868865</v>
      </c>
      <c r="BA63" s="11"/>
      <c r="BB63" s="11" t="n">
        <v>0.0127388535031847</v>
      </c>
      <c r="BC63" s="11" t="n">
        <v>0.910828025477707</v>
      </c>
      <c r="BD63" s="11" t="n">
        <v>0.503184713375796</v>
      </c>
      <c r="BE63" s="11" t="n">
        <v>0.917197452229299</v>
      </c>
      <c r="BF63" s="11" t="n">
        <v>0.770700636942675</v>
      </c>
      <c r="BG63" s="11" t="n">
        <v>0.923566878980892</v>
      </c>
      <c r="BH63" s="11" t="n">
        <v>0.853503184713376</v>
      </c>
      <c r="BI63" s="11" t="n">
        <v>0.929936305732484</v>
      </c>
      <c r="BJ63" s="11" t="n">
        <v>0.111964196594515</v>
      </c>
      <c r="BK63" s="11" t="n">
        <v>0.0617344927567519</v>
      </c>
      <c r="BL63" s="11" t="n">
        <v>0.0988197564627045</v>
      </c>
      <c r="BM63" s="11" t="n">
        <v>0.0281128448125914</v>
      </c>
      <c r="BN63" s="11" t="n">
        <v>0.437935270098136</v>
      </c>
      <c r="BO63" s="11" t="n">
        <v>0.428890437559334</v>
      </c>
      <c r="BP63" s="11" t="n">
        <v>0.00850425198043332</v>
      </c>
      <c r="BQ63" s="11" t="n">
        <v>0.00715436575181949</v>
      </c>
      <c r="BR63" s="11" t="n">
        <v>3.5345001344453</v>
      </c>
      <c r="BS63" s="11" t="n">
        <v>11.7401029482234</v>
      </c>
      <c r="BT63" s="11" t="n">
        <v>17.0847221834779</v>
      </c>
      <c r="BU63" s="11" t="n">
        <v>11.1964196594515</v>
      </c>
      <c r="BV63" s="11" t="n">
        <v>5.66195497782306</v>
      </c>
      <c r="BW63" s="11" t="n">
        <v>9.95216368427999</v>
      </c>
      <c r="BX63" s="11" t="n">
        <v>3.61416294347246</v>
      </c>
      <c r="BY63" s="11" t="n">
        <v>6.96665897321458</v>
      </c>
      <c r="BZ63" s="11" t="n">
        <v>0.808917197452229</v>
      </c>
      <c r="CA63" s="11" t="n">
        <v>0.921259842519685</v>
      </c>
      <c r="CB63" s="11" t="n">
        <v>0.503937007874016</v>
      </c>
      <c r="CC63" s="11" t="n">
        <v>0.669291338582677</v>
      </c>
      <c r="CD63" s="11" t="n">
        <v>0.795275590551181</v>
      </c>
      <c r="CE63" s="11" t="n">
        <v>0.834394904458599</v>
      </c>
      <c r="CF63" s="11" t="n">
        <v>5</v>
      </c>
      <c r="CG63" s="11" t="n">
        <v>4</v>
      </c>
      <c r="CH63" s="11" t="n">
        <v>0.923664122137405</v>
      </c>
      <c r="CI63" s="11" t="n">
        <v>0.679389312977099</v>
      </c>
      <c r="CJ63" s="11" t="n">
        <v>0.801526717557252</v>
      </c>
      <c r="CK63" s="11" t="n">
        <v>0.133333333333333</v>
      </c>
      <c r="CL63" s="11" t="n">
        <v>0.0666666666666667</v>
      </c>
      <c r="CM63" s="11" t="n">
        <v>0.133333333333333</v>
      </c>
      <c r="CN63" s="11" t="n">
        <v>0.133333333333333</v>
      </c>
      <c r="CO63" s="11" t="n">
        <v>0</v>
      </c>
      <c r="CP63" s="11" t="n">
        <v>0</v>
      </c>
      <c r="CQ63" s="11" t="n">
        <v>0</v>
      </c>
      <c r="CR63" s="11" t="n">
        <v>0</v>
      </c>
      <c r="CS63" s="11" t="n">
        <v>0</v>
      </c>
      <c r="CT63" s="11" t="n">
        <v>0</v>
      </c>
      <c r="CU63" s="11" t="n">
        <v>0</v>
      </c>
      <c r="CV63" s="11" t="n">
        <v>0</v>
      </c>
      <c r="CW63" s="11" t="n">
        <v>0.0393700787401575</v>
      </c>
      <c r="CX63" s="11" t="n">
        <v>0</v>
      </c>
      <c r="CY63" s="11" t="n">
        <v>0.00559667147778613</v>
      </c>
      <c r="CZ63" s="11" t="n">
        <v>-0.0499784906572312</v>
      </c>
      <c r="DA63" s="11" t="n">
        <v>8.42429844696416</v>
      </c>
      <c r="DB63" s="11" t="n">
        <v>-0.0079415972909605</v>
      </c>
      <c r="DC63" s="11" t="n">
        <v>11.1401322336589</v>
      </c>
      <c r="DD63" s="11" t="n">
        <v>0.244385202639138</v>
      </c>
      <c r="DE63" s="11" t="n">
        <v>0.67515923566879</v>
      </c>
      <c r="DF63" s="11" t="n">
        <v>-0.00943102839081267</v>
      </c>
      <c r="DG63" s="11" t="n">
        <v>-0.00449497052302655</v>
      </c>
      <c r="DH63" s="11" t="n">
        <v>-0.493605786778611</v>
      </c>
      <c r="DI63" s="11" t="n">
        <v>86.2887083848326</v>
      </c>
      <c r="DJ63" s="11" t="n">
        <v>64.1231266257263</v>
      </c>
      <c r="DK63" s="11" t="n">
        <v>13.5138653562671</v>
      </c>
      <c r="DL63" s="11" t="n">
        <v>49.05</v>
      </c>
      <c r="DM63" s="11" t="n">
        <v>0.745222929936306</v>
      </c>
      <c r="DN63" s="11" t="n">
        <v>0.56687898089172</v>
      </c>
      <c r="DO63" s="11" t="n">
        <v>-0.0116281527917613</v>
      </c>
      <c r="DP63" s="11" t="n">
        <v>0</v>
      </c>
      <c r="DQ63" s="11" t="n">
        <v>0.0191082802547771</v>
      </c>
      <c r="DR63" s="11" t="n">
        <v>0</v>
      </c>
      <c r="DS63" s="11" t="n">
        <v>0</v>
      </c>
      <c r="DT63" s="11" t="n">
        <v>0</v>
      </c>
      <c r="DU63" s="11" t="n">
        <v>0</v>
      </c>
      <c r="DV63" s="11" t="n">
        <v>5</v>
      </c>
      <c r="DW63" s="11" t="s">
        <v>573</v>
      </c>
      <c r="DX63" s="11" t="n">
        <v>0.406307</v>
      </c>
      <c r="DY63" s="11" t="n">
        <v>-0.0252562429857785</v>
      </c>
      <c r="DZ63" s="11" t="n">
        <v>0.837870242985778</v>
      </c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 t="n">
        <v>6.51653080495869</v>
      </c>
      <c r="EP63" s="11" t="n">
        <v>65.3866618453952</v>
      </c>
      <c r="EQ63" s="11" t="n">
        <v>1560.97909785048</v>
      </c>
      <c r="ER63" s="11" t="n">
        <v>2.91839265715496</v>
      </c>
      <c r="ES63" s="11" t="n">
        <v>2.91839265715496</v>
      </c>
      <c r="ET63" s="11" t="n">
        <v>1.33635981530348</v>
      </c>
      <c r="EU63" s="11" t="n">
        <v>45.9897503570007</v>
      </c>
      <c r="EV63" s="11" t="n">
        <v>45.9897503570007</v>
      </c>
      <c r="EW63" s="11" t="n">
        <v>361.218608912909</v>
      </c>
      <c r="EX63" s="11" t="n">
        <v>652.25682599439</v>
      </c>
      <c r="EY63" s="11" t="n">
        <v>0.777441851573251</v>
      </c>
      <c r="EZ63" s="11" t="n">
        <v>1.48965724077986</v>
      </c>
      <c r="FA63" s="11" t="n">
        <v>0.0429141427949037</v>
      </c>
      <c r="FB63" s="11" t="n">
        <v>1</v>
      </c>
      <c r="FC63" s="11" t="n">
        <v>0</v>
      </c>
      <c r="FD63" s="11" t="n">
        <v>0</v>
      </c>
      <c r="FE63" s="11" t="s">
        <v>574</v>
      </c>
      <c r="FF63" s="11" t="s">
        <v>195</v>
      </c>
      <c r="FG63" s="11" t="n">
        <v>157</v>
      </c>
      <c r="FH63" s="11" t="s">
        <v>575</v>
      </c>
      <c r="FI63" s="11" t="s">
        <v>59</v>
      </c>
      <c r="FJ63" s="11" t="n">
        <v>0.2</v>
      </c>
      <c r="FK63" s="11" t="n">
        <v>0.112214909643663</v>
      </c>
      <c r="FL63" s="11" t="n">
        <v>0.0656107570931524</v>
      </c>
      <c r="FM63" s="11" t="n">
        <v>0</v>
      </c>
      <c r="FN63" s="11" t="n">
        <v>1</v>
      </c>
      <c r="FO63" s="11" t="n">
        <v>0.442292015653606</v>
      </c>
      <c r="FP63" s="11" t="n">
        <v>0.283370350227778</v>
      </c>
      <c r="FQ63" s="11" t="n">
        <v>0.036624203821656</v>
      </c>
      <c r="FR63" s="11" t="n">
        <v>0</v>
      </c>
      <c r="FS63" s="11" t="n">
        <v>0.442235784309711</v>
      </c>
      <c r="FT63" s="11" t="n">
        <v>0.283294388898705</v>
      </c>
      <c r="FU63" s="11" t="n">
        <v>1</v>
      </c>
      <c r="FV63" s="11" t="n">
        <v>5.54856794756568</v>
      </c>
      <c r="FW63" s="11" t="n">
        <v>179.545169137467</v>
      </c>
      <c r="FX63" s="11" t="n">
        <v>0.0144355667584769</v>
      </c>
      <c r="FY63" s="11" t="n">
        <v>1</v>
      </c>
      <c r="FZ63" s="11" t="n">
        <v>10</v>
      </c>
      <c r="GA63" s="11" t="n">
        <v>1</v>
      </c>
      <c r="GB63" s="11" t="s">
        <v>576</v>
      </c>
      <c r="GC63" s="11" t="n">
        <v>0.952664126256469</v>
      </c>
      <c r="GD63" s="11" t="n">
        <v>0.961783439490446</v>
      </c>
      <c r="GE63" s="11" t="n">
        <v>0.961783439490446</v>
      </c>
      <c r="GF63" s="11" t="n">
        <v>0.961783439490446</v>
      </c>
      <c r="GG63" s="11" t="n">
        <v>0</v>
      </c>
      <c r="GH63" s="11" t="n">
        <v>0</v>
      </c>
      <c r="GI63" s="11" t="n">
        <v>0.0289511211523894</v>
      </c>
      <c r="GJ63" s="11" t="n">
        <v>0.046760373665791</v>
      </c>
      <c r="GK63" s="11" t="n">
        <v>0.0415410068174976</v>
      </c>
      <c r="GL63" s="11" t="n">
        <v>0.0505189849212054</v>
      </c>
      <c r="GM63" s="11" t="n">
        <v>0.000665340729900888</v>
      </c>
      <c r="GN63" s="11" t="n">
        <v>0</v>
      </c>
      <c r="GO63" s="11" t="n">
        <v>0.961783439490446</v>
      </c>
      <c r="GP63" s="11" t="n">
        <v>0.961783439490446</v>
      </c>
      <c r="GQ63" s="11" t="n">
        <v>-0.0249125882983208</v>
      </c>
      <c r="GR63" s="11" t="n">
        <v>1</v>
      </c>
      <c r="GS63" s="11" t="n">
        <v>1</v>
      </c>
      <c r="GT63" s="11" t="n">
        <v>0</v>
      </c>
      <c r="GU63" s="11" t="n">
        <v>0</v>
      </c>
      <c r="GV63" s="11" t="n">
        <v>1</v>
      </c>
      <c r="GW63" s="11" t="n">
        <v>1</v>
      </c>
      <c r="GX63" s="11" t="n">
        <v>1</v>
      </c>
      <c r="GY63" s="11" t="n">
        <v>1</v>
      </c>
      <c r="GZ63" s="11" t="n">
        <v>1</v>
      </c>
      <c r="HA63" s="11" t="n">
        <v>1</v>
      </c>
      <c r="HB63" s="11" t="n">
        <v>1</v>
      </c>
      <c r="HC63" s="11" t="n">
        <v>1</v>
      </c>
      <c r="HD63" s="11" t="n">
        <v>1</v>
      </c>
      <c r="HE63" s="11" t="n">
        <v>1</v>
      </c>
      <c r="HF63" s="11" t="n">
        <v>1</v>
      </c>
      <c r="HG63" s="11" t="n">
        <v>1</v>
      </c>
      <c r="HH63" s="11" t="n">
        <v>1</v>
      </c>
      <c r="HI63" s="11" t="n">
        <v>1</v>
      </c>
      <c r="HJ63" s="11" t="n">
        <v>1</v>
      </c>
      <c r="HK63" s="11"/>
      <c r="HL63" s="11" t="s">
        <v>577</v>
      </c>
      <c r="HM63" s="11" t="n">
        <v>1</v>
      </c>
      <c r="HN63" s="11" t="s">
        <v>1037</v>
      </c>
      <c r="HO63" s="11" t="s">
        <v>1038</v>
      </c>
      <c r="HP63" s="11" t="s">
        <v>1038</v>
      </c>
      <c r="HQ63" s="11" t="n">
        <v>0</v>
      </c>
      <c r="HR63" s="11" t="s">
        <v>189</v>
      </c>
      <c r="HS63" s="11" t="s">
        <v>190</v>
      </c>
      <c r="HT63" s="11" t="s">
        <v>190</v>
      </c>
      <c r="HU63" s="11" t="s">
        <v>1039</v>
      </c>
      <c r="HV63" s="11" t="s">
        <v>1039</v>
      </c>
      <c r="HW63" s="11" t="s">
        <v>593</v>
      </c>
      <c r="HX63" s="11" t="s">
        <v>582</v>
      </c>
      <c r="HY63" s="11" t="s">
        <v>583</v>
      </c>
      <c r="HZ63" s="11" t="s">
        <v>1040</v>
      </c>
      <c r="IA63" s="11" t="s">
        <v>1036</v>
      </c>
      <c r="IB63" s="11" t="s">
        <v>1041</v>
      </c>
      <c r="IC63" s="11" t="s">
        <v>195</v>
      </c>
      <c r="ID63" s="11" t="s">
        <v>586</v>
      </c>
      <c r="IE63" s="11" t="s">
        <v>198</v>
      </c>
      <c r="IF63" s="11" t="s">
        <v>191</v>
      </c>
      <c r="IG63" s="11" t="s">
        <v>197</v>
      </c>
      <c r="IH63" s="11" t="s">
        <v>1042</v>
      </c>
    </row>
    <row r="64" customFormat="false" ht="15" hidden="false" customHeight="false" outlineLevel="0" collapsed="false">
      <c r="A64" s="11" t="s">
        <v>84</v>
      </c>
      <c r="B64" s="11" t="s">
        <v>1043</v>
      </c>
      <c r="C64" s="11" t="s">
        <v>1035</v>
      </c>
      <c r="D64" s="11" t="s">
        <v>570</v>
      </c>
      <c r="E64" s="11" t="s">
        <v>51</v>
      </c>
      <c r="F64" s="11"/>
      <c r="G64" s="11"/>
      <c r="H64" s="11" t="s">
        <v>1044</v>
      </c>
      <c r="I64" s="11" t="s">
        <v>201</v>
      </c>
      <c r="J64" s="11" t="n">
        <v>126</v>
      </c>
      <c r="K64" s="11" t="n">
        <v>4.2</v>
      </c>
      <c r="L64" s="11" t="n">
        <v>0.744971096515656</v>
      </c>
      <c r="M64" s="11" t="n">
        <v>0.783656597137451</v>
      </c>
      <c r="N64" s="11" t="n">
        <v>0</v>
      </c>
      <c r="O64" s="11" t="n">
        <v>1.98871376720568</v>
      </c>
      <c r="P64" s="11" t="n">
        <v>1.93713986371189</v>
      </c>
      <c r="Q64" s="11" t="n">
        <v>0.297690935607876</v>
      </c>
      <c r="R64" s="11" t="n">
        <v>0.412698412698413</v>
      </c>
      <c r="S64" s="11" t="n">
        <v>0.214285714285714</v>
      </c>
      <c r="T64" s="11" t="n">
        <v>0.00793650793650794</v>
      </c>
      <c r="U64" s="11" t="n">
        <v>0</v>
      </c>
      <c r="V64" s="11" t="n">
        <v>0</v>
      </c>
      <c r="W64" s="11" t="n">
        <v>0.650793650793651</v>
      </c>
      <c r="X64" s="11" t="n">
        <v>0.396825396825397</v>
      </c>
      <c r="Y64" s="11" t="n">
        <v>0.5</v>
      </c>
      <c r="Z64" s="11" t="n">
        <v>0.619047619047619</v>
      </c>
      <c r="AA64" s="11" t="n">
        <v>0.150793650793651</v>
      </c>
      <c r="AB64" s="11" t="n">
        <v>0.0317460317460317</v>
      </c>
      <c r="AC64" s="11" t="n">
        <v>-0.00208474255753917</v>
      </c>
      <c r="AD64" s="11" t="n">
        <v>-0.00761168305391162</v>
      </c>
      <c r="AE64" s="11" t="n">
        <v>0.428571428571429</v>
      </c>
      <c r="AF64" s="11" t="n">
        <v>0.224489795918367</v>
      </c>
      <c r="AG64" s="11" t="n">
        <v>0.0408163265306122</v>
      </c>
      <c r="AH64" s="11" t="n">
        <v>0.253968253968254</v>
      </c>
      <c r="AI64" s="11" t="n">
        <v>0.150793650793651</v>
      </c>
      <c r="AJ64" s="11" t="n">
        <v>0.0317460317460317</v>
      </c>
      <c r="AK64" s="11" t="n">
        <v>0.395383506006614</v>
      </c>
      <c r="AL64" s="11" t="n">
        <v>0</v>
      </c>
      <c r="AM64" s="11" t="n">
        <v>0</v>
      </c>
      <c r="AN64" s="11" t="n">
        <v>0</v>
      </c>
      <c r="AO64" s="11"/>
      <c r="AP64" s="11"/>
      <c r="AQ64" s="11"/>
      <c r="AR64" s="11" t="n">
        <v>0</v>
      </c>
      <c r="AS64" s="11" t="n">
        <v>0</v>
      </c>
      <c r="AT64" s="11" t="n">
        <v>0</v>
      </c>
      <c r="AU64" s="11" t="n">
        <v>0</v>
      </c>
      <c r="AV64" s="11" t="n">
        <v>0</v>
      </c>
      <c r="AW64" s="11" t="n">
        <v>0</v>
      </c>
      <c r="AX64" s="11" t="n">
        <v>0</v>
      </c>
      <c r="AY64" s="11" t="n">
        <v>0.00899181455591451</v>
      </c>
      <c r="AZ64" s="11" t="n">
        <v>0.0250998532964714</v>
      </c>
      <c r="BA64" s="11"/>
      <c r="BB64" s="11" t="n">
        <v>0.214285714285714</v>
      </c>
      <c r="BC64" s="11" t="n">
        <v>0.714285714285714</v>
      </c>
      <c r="BD64" s="11" t="n">
        <v>0.309523809523809</v>
      </c>
      <c r="BE64" s="11" t="n">
        <v>0.73015873015873</v>
      </c>
      <c r="BF64" s="11" t="n">
        <v>0.634920634920635</v>
      </c>
      <c r="BG64" s="11" t="n">
        <v>0.738095238095238</v>
      </c>
      <c r="BH64" s="11" t="n">
        <v>0.722222222222222</v>
      </c>
      <c r="BI64" s="11" t="n">
        <v>0.753968253968254</v>
      </c>
      <c r="BJ64" s="11" t="n">
        <v>0.192285644453251</v>
      </c>
      <c r="BK64" s="11" t="n">
        <v>0.0461319022561273</v>
      </c>
      <c r="BL64" s="11" t="n">
        <v>0.131411307925113</v>
      </c>
      <c r="BM64" s="11" t="n">
        <v>0.0301439870540023</v>
      </c>
      <c r="BN64" s="11" t="n">
        <v>0.429079556089561</v>
      </c>
      <c r="BO64" s="11" t="n">
        <v>0.282958181229882</v>
      </c>
      <c r="BP64" s="11" t="n">
        <v>0.00994563152227858</v>
      </c>
      <c r="BQ64" s="11" t="n">
        <v>0.00276589054921498</v>
      </c>
      <c r="BR64" s="11" t="n">
        <v>3.35092446324988</v>
      </c>
      <c r="BS64" s="11" t="n">
        <v>17.3535515394764</v>
      </c>
      <c r="BT64" s="11" t="n">
        <v>16.6758576735218</v>
      </c>
      <c r="BU64" s="11" t="n">
        <v>19.2285644453251</v>
      </c>
      <c r="BV64" s="11" t="n">
        <v>7.52931332440241</v>
      </c>
      <c r="BW64" s="11" t="n">
        <v>12.3630500057378</v>
      </c>
      <c r="BX64" s="11" t="n">
        <v>3.53817455329645</v>
      </c>
      <c r="BY64" s="11" t="n">
        <v>6.90672707826861</v>
      </c>
      <c r="BZ64" s="11" t="n">
        <v>0.698412698412698</v>
      </c>
      <c r="CA64" s="11" t="n">
        <v>0.931818181818182</v>
      </c>
      <c r="CB64" s="11" t="n">
        <v>0.568181818181818</v>
      </c>
      <c r="CC64" s="11" t="n">
        <v>0.715909090909091</v>
      </c>
      <c r="CD64" s="11" t="n">
        <v>0.886363636363636</v>
      </c>
      <c r="CE64" s="11" t="n">
        <v>0.698412698412698</v>
      </c>
      <c r="CF64" s="11" t="n">
        <v>5</v>
      </c>
      <c r="CG64" s="11" t="n">
        <v>0</v>
      </c>
      <c r="CH64" s="11" t="n">
        <v>0.931818181818182</v>
      </c>
      <c r="CI64" s="11" t="n">
        <v>0.715909090909091</v>
      </c>
      <c r="CJ64" s="11" t="n">
        <v>0.886363636363636</v>
      </c>
      <c r="CK64" s="11" t="n">
        <v>0</v>
      </c>
      <c r="CL64" s="11" t="n">
        <v>0</v>
      </c>
      <c r="CM64" s="11" t="n">
        <v>0</v>
      </c>
      <c r="CN64" s="11" t="n">
        <v>0</v>
      </c>
      <c r="CO64" s="11" t="n">
        <v>0</v>
      </c>
      <c r="CP64" s="11" t="n">
        <v>0</v>
      </c>
      <c r="CQ64" s="11" t="n">
        <v>0</v>
      </c>
      <c r="CR64" s="11" t="n">
        <v>0</v>
      </c>
      <c r="CS64" s="11" t="n">
        <v>0</v>
      </c>
      <c r="CT64" s="11" t="n">
        <v>0</v>
      </c>
      <c r="CU64" s="11" t="n">
        <v>0</v>
      </c>
      <c r="CV64" s="11" t="n">
        <v>0</v>
      </c>
      <c r="CW64" s="11" t="n">
        <v>0.0113636363636364</v>
      </c>
      <c r="CX64" s="11" t="n">
        <v>0</v>
      </c>
      <c r="CY64" s="11" t="n">
        <v>0.00370338283004006</v>
      </c>
      <c r="CZ64" s="11" t="n">
        <v>-0.072529889943477</v>
      </c>
      <c r="DA64" s="11" t="n">
        <v>10.7561691428045</v>
      </c>
      <c r="DB64" s="11" t="n">
        <v>-0.0235048035144635</v>
      </c>
      <c r="DC64" s="11" t="n">
        <v>19.9624654690612</v>
      </c>
      <c r="DD64" s="11" t="n">
        <v>0.175864585014989</v>
      </c>
      <c r="DE64" s="11" t="n">
        <v>0.476190476190476</v>
      </c>
      <c r="DF64" s="11" t="n">
        <v>-0.0285618678306069</v>
      </c>
      <c r="DG64" s="11" t="n">
        <v>-0.0313963683591073</v>
      </c>
      <c r="DH64" s="11" t="n">
        <v>0.283450052850041</v>
      </c>
      <c r="DI64" s="11" t="n">
        <v>155.349131293101</v>
      </c>
      <c r="DJ64" s="11" t="n">
        <v>72.5374796945565</v>
      </c>
      <c r="DK64" s="11" t="n">
        <v>18.6009954761942</v>
      </c>
      <c r="DL64" s="11" t="n">
        <v>49.05</v>
      </c>
      <c r="DM64" s="11" t="n">
        <v>0.706349206349206</v>
      </c>
      <c r="DN64" s="11" t="n">
        <v>0.666666666666667</v>
      </c>
      <c r="DO64" s="11" t="n">
        <v>-0.0127989153777993</v>
      </c>
      <c r="DP64" s="11" t="n">
        <v>0</v>
      </c>
      <c r="DQ64" s="11" t="n">
        <v>0</v>
      </c>
      <c r="DR64" s="11" t="n">
        <v>0</v>
      </c>
      <c r="DS64" s="11" t="n">
        <v>0</v>
      </c>
      <c r="DT64" s="11" t="n">
        <v>0</v>
      </c>
      <c r="DU64" s="11" t="n">
        <v>0</v>
      </c>
      <c r="DV64" s="11" t="n">
        <v>5</v>
      </c>
      <c r="DW64" s="11" t="s">
        <v>573</v>
      </c>
      <c r="DX64" s="11" t="n">
        <v>0.406307</v>
      </c>
      <c r="DY64" s="11" t="n">
        <v>-0.0183191164261581</v>
      </c>
      <c r="DZ64" s="11" t="n">
        <v>0.830933116426158</v>
      </c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 t="n">
        <v>6.31234995125299</v>
      </c>
      <c r="EP64" s="11" t="n">
        <v>69.6133225411501</v>
      </c>
      <c r="EQ64" s="11" t="n">
        <v>1578.1305906517</v>
      </c>
      <c r="ER64" s="11" t="n">
        <v>3.91637499138485</v>
      </c>
      <c r="ES64" s="11" t="n">
        <v>3.91637499138485</v>
      </c>
      <c r="ET64" s="11" t="n">
        <v>2.03234520862655</v>
      </c>
      <c r="EU64" s="11" t="n">
        <v>56.5695708139549</v>
      </c>
      <c r="EV64" s="11" t="n">
        <v>56.5695708139549</v>
      </c>
      <c r="EW64" s="11" t="n">
        <v>437.391926671671</v>
      </c>
      <c r="EX64" s="11" t="n">
        <v>559.82745586527</v>
      </c>
      <c r="EY64" s="11" t="n">
        <v>1.4939746477583</v>
      </c>
      <c r="EZ64" s="11" t="n">
        <v>0.583344142617268</v>
      </c>
      <c r="FA64" s="11" t="n">
        <v>0.0481265438580572</v>
      </c>
      <c r="FB64" s="11" t="n">
        <v>1</v>
      </c>
      <c r="FC64" s="11" t="n">
        <v>0</v>
      </c>
      <c r="FD64" s="11" t="n">
        <v>0</v>
      </c>
      <c r="FE64" s="11" t="s">
        <v>574</v>
      </c>
      <c r="FF64" s="11" t="s">
        <v>202</v>
      </c>
      <c r="FG64" s="11" t="n">
        <v>126</v>
      </c>
      <c r="FH64" s="11" t="s">
        <v>575</v>
      </c>
      <c r="FI64" s="11" t="s">
        <v>59</v>
      </c>
      <c r="FJ64" s="11" t="n">
        <v>0.2</v>
      </c>
      <c r="FK64" s="11" t="n">
        <v>0.1429289675328</v>
      </c>
      <c r="FL64" s="11" t="n">
        <v>0.0769166720121647</v>
      </c>
      <c r="FM64" s="11" t="n">
        <v>0</v>
      </c>
      <c r="FN64" s="11" t="n">
        <v>1</v>
      </c>
      <c r="FO64" s="11" t="n">
        <v>0.666527406765036</v>
      </c>
      <c r="FP64" s="11" t="n">
        <v>0.492366974868864</v>
      </c>
      <c r="FQ64" s="11" t="n">
        <v>0.261904761904762</v>
      </c>
      <c r="FR64" s="11" t="n">
        <v>0</v>
      </c>
      <c r="FS64" s="11" t="n">
        <v>0.665615396150491</v>
      </c>
      <c r="FT64" s="11" t="n">
        <v>0.492288439303348</v>
      </c>
      <c r="FU64" s="11" t="n">
        <v>1</v>
      </c>
      <c r="FV64" s="11" t="n">
        <v>6.76046636258545</v>
      </c>
      <c r="FW64" s="11" t="n">
        <v>228.003779822149</v>
      </c>
      <c r="FX64" s="11" t="n">
        <v>0.0174572503780224</v>
      </c>
      <c r="FY64" s="11" t="n">
        <v>1</v>
      </c>
      <c r="FZ64" s="11" t="n">
        <v>21</v>
      </c>
      <c r="GA64" s="11" t="n">
        <v>1</v>
      </c>
      <c r="GB64" s="11" t="s">
        <v>576</v>
      </c>
      <c r="GC64" s="11" t="n">
        <v>0.951129973880828</v>
      </c>
      <c r="GD64" s="11" t="n">
        <v>0.952380952380952</v>
      </c>
      <c r="GE64" s="11" t="n">
        <v>0.952380952380952</v>
      </c>
      <c r="GF64" s="11" t="n">
        <v>0.952380952380952</v>
      </c>
      <c r="GG64" s="11" t="n">
        <v>0</v>
      </c>
      <c r="GH64" s="11" t="n">
        <v>0</v>
      </c>
      <c r="GI64" s="11" t="n">
        <v>0.0616656206909702</v>
      </c>
      <c r="GJ64" s="11" t="n">
        <v>0.072944420766795</v>
      </c>
      <c r="GK64" s="11" t="n">
        <v>0.0701066818524158</v>
      </c>
      <c r="GL64" s="11" t="n">
        <v>0.0745949019485759</v>
      </c>
      <c r="GM64" s="11" t="n">
        <v>9.41362366945885E-005</v>
      </c>
      <c r="GN64" s="11" t="n">
        <v>0</v>
      </c>
      <c r="GO64" s="11" t="n">
        <v>0.952380952380952</v>
      </c>
      <c r="GP64" s="11" t="n">
        <v>0.952380952380952</v>
      </c>
      <c r="GQ64" s="11" t="n">
        <v>-0.0291998349130154</v>
      </c>
      <c r="GR64" s="11" t="n">
        <v>1</v>
      </c>
      <c r="GS64" s="11" t="n">
        <v>1</v>
      </c>
      <c r="GT64" s="11" t="n">
        <v>0</v>
      </c>
      <c r="GU64" s="11" t="n">
        <v>0</v>
      </c>
      <c r="GV64" s="11" t="n">
        <v>1</v>
      </c>
      <c r="GW64" s="11" t="n">
        <v>1</v>
      </c>
      <c r="GX64" s="11" t="n">
        <v>1</v>
      </c>
      <c r="GY64" s="11" t="n">
        <v>1</v>
      </c>
      <c r="GZ64" s="11" t="n">
        <v>1</v>
      </c>
      <c r="HA64" s="11" t="n">
        <v>1</v>
      </c>
      <c r="HB64" s="11" t="n">
        <v>1</v>
      </c>
      <c r="HC64" s="11" t="n">
        <v>1</v>
      </c>
      <c r="HD64" s="11" t="n">
        <v>1</v>
      </c>
      <c r="HE64" s="11" t="n">
        <v>1</v>
      </c>
      <c r="HF64" s="11" t="n">
        <v>1</v>
      </c>
      <c r="HG64" s="11" t="n">
        <v>1</v>
      </c>
      <c r="HH64" s="11" t="n">
        <v>1</v>
      </c>
      <c r="HI64" s="11" t="n">
        <v>1</v>
      </c>
      <c r="HJ64" s="11" t="n">
        <v>1</v>
      </c>
      <c r="HK64" s="11"/>
      <c r="HL64" s="11" t="s">
        <v>577</v>
      </c>
      <c r="HM64" s="11" t="n">
        <v>1</v>
      </c>
      <c r="HN64" s="11" t="s">
        <v>1037</v>
      </c>
      <c r="HO64" s="11" t="s">
        <v>1038</v>
      </c>
      <c r="HP64" s="11" t="s">
        <v>1038</v>
      </c>
      <c r="HQ64" s="11" t="n">
        <v>0</v>
      </c>
      <c r="HR64" s="11" t="s">
        <v>189</v>
      </c>
      <c r="HS64" s="11" t="s">
        <v>190</v>
      </c>
      <c r="HT64" s="11" t="s">
        <v>190</v>
      </c>
      <c r="HU64" s="11" t="s">
        <v>1045</v>
      </c>
      <c r="HV64" s="11" t="s">
        <v>1045</v>
      </c>
      <c r="HW64" s="11" t="s">
        <v>608</v>
      </c>
      <c r="HX64" s="11" t="s">
        <v>601</v>
      </c>
      <c r="HY64" s="11" t="s">
        <v>583</v>
      </c>
      <c r="HZ64" s="11" t="s">
        <v>1046</v>
      </c>
      <c r="IA64" s="11" t="s">
        <v>1044</v>
      </c>
      <c r="IB64" s="11" t="s">
        <v>1047</v>
      </c>
      <c r="IC64" s="11" t="s">
        <v>202</v>
      </c>
      <c r="ID64" s="11" t="s">
        <v>604</v>
      </c>
      <c r="IE64" s="11" t="s">
        <v>198</v>
      </c>
      <c r="IF64" s="11" t="s">
        <v>191</v>
      </c>
      <c r="IG64" s="11" t="s">
        <v>197</v>
      </c>
      <c r="IH64" s="11" t="s">
        <v>1048</v>
      </c>
    </row>
    <row r="65" customFormat="false" ht="15" hidden="false" customHeight="false" outlineLevel="0" collapsed="false">
      <c r="A65" s="11" t="s">
        <v>85</v>
      </c>
      <c r="B65" s="11" t="s">
        <v>1049</v>
      </c>
      <c r="C65" s="11" t="s">
        <v>1035</v>
      </c>
      <c r="D65" s="11" t="s">
        <v>570</v>
      </c>
      <c r="E65" s="11" t="s">
        <v>51</v>
      </c>
      <c r="F65" s="11"/>
      <c r="G65" s="11"/>
      <c r="H65" s="11" t="s">
        <v>1050</v>
      </c>
      <c r="I65" s="11" t="s">
        <v>208</v>
      </c>
      <c r="J65" s="11" t="n">
        <v>147</v>
      </c>
      <c r="K65" s="11" t="n">
        <v>4.9</v>
      </c>
      <c r="L65" s="11" t="n">
        <v>0.755521595478058</v>
      </c>
      <c r="M65" s="11" t="n">
        <v>0.815855383872986</v>
      </c>
      <c r="N65" s="11" t="n">
        <v>0</v>
      </c>
      <c r="O65" s="11" t="n">
        <v>2.15625585590634</v>
      </c>
      <c r="P65" s="11" t="n">
        <v>1.86531283173144</v>
      </c>
      <c r="Q65" s="11" t="n">
        <v>0.686537501565433</v>
      </c>
      <c r="R65" s="11" t="n">
        <v>0.319727891156463</v>
      </c>
      <c r="S65" s="11" t="n">
        <v>0.45578231292517</v>
      </c>
      <c r="T65" s="11" t="n">
        <v>0.0476190476190476</v>
      </c>
      <c r="U65" s="11" t="n">
        <v>0.0136054421768708</v>
      </c>
      <c r="V65" s="11" t="n">
        <v>0</v>
      </c>
      <c r="W65" s="11" t="n">
        <v>0.707482993197279</v>
      </c>
      <c r="X65" s="11" t="n">
        <v>0.183673469387755</v>
      </c>
      <c r="Y65" s="11" t="n">
        <v>0.312925170068027</v>
      </c>
      <c r="Z65" s="11" t="n">
        <v>0.578231292517007</v>
      </c>
      <c r="AA65" s="11" t="n">
        <v>0.394557823129252</v>
      </c>
      <c r="AB65" s="11" t="n">
        <v>0.129251700680272</v>
      </c>
      <c r="AC65" s="11" t="n">
        <v>-0.00306574515962696</v>
      </c>
      <c r="AD65" s="11" t="n">
        <v>-0.00921982310967206</v>
      </c>
      <c r="AE65" s="11" t="n">
        <v>0.691176470588235</v>
      </c>
      <c r="AF65" s="11" t="n">
        <v>0.492647058823529</v>
      </c>
      <c r="AG65" s="11" t="n">
        <v>0.139705882352941</v>
      </c>
      <c r="AH65" s="11" t="n">
        <v>0.523809523809524</v>
      </c>
      <c r="AI65" s="11" t="n">
        <v>0.394557823129252</v>
      </c>
      <c r="AJ65" s="11" t="n">
        <v>0.129251700680272</v>
      </c>
      <c r="AK65" s="11" t="n">
        <v>0.431339058856008</v>
      </c>
      <c r="AL65" s="11" t="n">
        <v>0</v>
      </c>
      <c r="AM65" s="11" t="n">
        <v>0</v>
      </c>
      <c r="AN65" s="11" t="n">
        <v>0</v>
      </c>
      <c r="AO65" s="11"/>
      <c r="AP65" s="11"/>
      <c r="AQ65" s="11"/>
      <c r="AR65" s="11" t="n">
        <v>0</v>
      </c>
      <c r="AS65" s="11" t="n">
        <v>0.0204081632653061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0.00975368911548503</v>
      </c>
      <c r="AZ65" s="11" t="n">
        <v>0.0250956248942263</v>
      </c>
      <c r="BA65" s="11"/>
      <c r="BB65" s="11" t="n">
        <v>0.0952380952380952</v>
      </c>
      <c r="BC65" s="11" t="n">
        <v>0.897959183673469</v>
      </c>
      <c r="BD65" s="11" t="n">
        <v>0.224489795918367</v>
      </c>
      <c r="BE65" s="11" t="n">
        <v>0.925170068027211</v>
      </c>
      <c r="BF65" s="11" t="n">
        <v>0.63265306122449</v>
      </c>
      <c r="BG65" s="11" t="n">
        <v>0.979591836734694</v>
      </c>
      <c r="BH65" s="11" t="n">
        <v>0.789115646258503</v>
      </c>
      <c r="BI65" s="11" t="n">
        <v>0.979591836734694</v>
      </c>
      <c r="BJ65" s="11" t="n">
        <v>0.208503489556087</v>
      </c>
      <c r="BK65" s="11" t="n">
        <v>0.0882508927110255</v>
      </c>
      <c r="BL65" s="11" t="n">
        <v>0.163939888089173</v>
      </c>
      <c r="BM65" s="11" t="n">
        <v>0.0419640689481364</v>
      </c>
      <c r="BN65" s="11" t="n">
        <v>0.459340511316704</v>
      </c>
      <c r="BO65" s="11" t="n">
        <v>0.303745907844059</v>
      </c>
      <c r="BP65" s="11" t="n">
        <v>0.0112107356652982</v>
      </c>
      <c r="BQ65" s="11" t="n">
        <v>0.00625499083466941</v>
      </c>
      <c r="BR65" s="11" t="n">
        <v>3.76516772754105</v>
      </c>
      <c r="BS65" s="11" t="n">
        <v>19.6199481971568</v>
      </c>
      <c r="BT65" s="11" t="n">
        <v>18.8382491487654</v>
      </c>
      <c r="BU65" s="11" t="n">
        <v>20.8503489556087</v>
      </c>
      <c r="BV65" s="11" t="n">
        <v>9.39306368135618</v>
      </c>
      <c r="BW65" s="11" t="n">
        <v>12.4471952480457</v>
      </c>
      <c r="BX65" s="11" t="n">
        <v>5.79353534680794</v>
      </c>
      <c r="BY65" s="11" t="n">
        <v>9.56374373068242</v>
      </c>
      <c r="BZ65" s="11" t="n">
        <v>0.789115646258503</v>
      </c>
      <c r="CA65" s="11" t="n">
        <v>0.844827586206896</v>
      </c>
      <c r="CB65" s="11" t="n">
        <v>0.21551724137931</v>
      </c>
      <c r="CC65" s="11" t="n">
        <v>0.370689655172414</v>
      </c>
      <c r="CD65" s="11" t="n">
        <v>0.706896551724138</v>
      </c>
      <c r="CE65" s="11" t="n">
        <v>0.789115646258503</v>
      </c>
      <c r="CF65" s="11" t="n">
        <v>5</v>
      </c>
      <c r="CG65" s="11" t="n">
        <v>0</v>
      </c>
      <c r="CH65" s="11" t="n">
        <v>0.844827586206896</v>
      </c>
      <c r="CI65" s="11" t="n">
        <v>0.370689655172414</v>
      </c>
      <c r="CJ65" s="11" t="n">
        <v>0.706896551724138</v>
      </c>
      <c r="CK65" s="11" t="n">
        <v>0.193548387096774</v>
      </c>
      <c r="CL65" s="11" t="n">
        <v>0.0645161290322581</v>
      </c>
      <c r="CM65" s="11" t="n">
        <v>0.0967741935483871</v>
      </c>
      <c r="CN65" s="11" t="n">
        <v>0.0967741935483871</v>
      </c>
      <c r="CO65" s="11" t="n">
        <v>0.3125</v>
      </c>
      <c r="CP65" s="11" t="n">
        <v>0.0625</v>
      </c>
      <c r="CQ65" s="11" t="n">
        <v>0.125</v>
      </c>
      <c r="CR65" s="11" t="n">
        <v>0.125</v>
      </c>
      <c r="CS65" s="11" t="n">
        <v>0.0666666666666667</v>
      </c>
      <c r="CT65" s="11" t="n">
        <v>0.0666666666666667</v>
      </c>
      <c r="CU65" s="11" t="n">
        <v>0.0666666666666667</v>
      </c>
      <c r="CV65" s="11" t="n">
        <v>0.0666666666666667</v>
      </c>
      <c r="CW65" s="11" t="n">
        <v>0.0344827586206896</v>
      </c>
      <c r="CX65" s="11" t="n">
        <v>0</v>
      </c>
      <c r="CY65" s="11" t="n">
        <v>0.00143798590267855</v>
      </c>
      <c r="CZ65" s="11" t="n">
        <v>-0.0937573541049912</v>
      </c>
      <c r="DA65" s="11" t="n">
        <v>9.83209834546109</v>
      </c>
      <c r="DB65" s="11" t="n">
        <v>-0.0149883663356842</v>
      </c>
      <c r="DC65" s="11" t="n">
        <v>14.8385641323889</v>
      </c>
      <c r="DD65" s="11" t="n">
        <v>0.339516812002777</v>
      </c>
      <c r="DE65" s="11" t="n">
        <v>0.619047619047619</v>
      </c>
      <c r="DF65" s="11" t="n">
        <v>0.00934297043594204</v>
      </c>
      <c r="DG65" s="11" t="n">
        <v>-0.0337865693600413</v>
      </c>
      <c r="DH65" s="11" t="n">
        <v>4.31295397959833</v>
      </c>
      <c r="DI65" s="11" t="n">
        <v>169.977506420197</v>
      </c>
      <c r="DJ65" s="11" t="n">
        <v>60.7932676072114</v>
      </c>
      <c r="DK65" s="11" t="n">
        <v>23.109900815705</v>
      </c>
      <c r="DL65" s="11" t="n">
        <v>49.05</v>
      </c>
      <c r="DM65" s="11" t="n">
        <v>0.63265306122449</v>
      </c>
      <c r="DN65" s="11" t="n">
        <v>0.557823129251701</v>
      </c>
      <c r="DO65" s="11" t="n">
        <v>-0.0127779286108692</v>
      </c>
      <c r="DP65" s="11" t="n">
        <v>0</v>
      </c>
      <c r="DQ65" s="11" t="n">
        <v>0.0136054421768708</v>
      </c>
      <c r="DR65" s="11" t="n">
        <v>0</v>
      </c>
      <c r="DS65" s="11" t="n">
        <v>0</v>
      </c>
      <c r="DT65" s="11" t="n">
        <v>0</v>
      </c>
      <c r="DU65" s="11" t="n">
        <v>0</v>
      </c>
      <c r="DV65" s="11" t="n">
        <v>5</v>
      </c>
      <c r="DW65" s="11" t="s">
        <v>573</v>
      </c>
      <c r="DX65" s="11" t="n">
        <v>0.406307</v>
      </c>
      <c r="DY65" s="11" t="n">
        <v>0.013591812862106</v>
      </c>
      <c r="DZ65" s="11" t="n">
        <v>0.799022187137894</v>
      </c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 t="n">
        <v>6.99863507146115</v>
      </c>
      <c r="EP65" s="11" t="n">
        <v>82.1005653737918</v>
      </c>
      <c r="EQ65" s="11" t="n">
        <v>1805.32109542057</v>
      </c>
      <c r="ER65" s="11" t="n">
        <v>4.3316780723405</v>
      </c>
      <c r="ES65" s="11" t="n">
        <v>4.3316780723405</v>
      </c>
      <c r="ET65" s="11" t="n">
        <v>2.20560323845997</v>
      </c>
      <c r="EU65" s="11" t="n">
        <v>50.4145588288019</v>
      </c>
      <c r="EV65" s="11" t="n">
        <v>50.4145588288019</v>
      </c>
      <c r="EW65" s="11" t="n">
        <v>487.89108877344</v>
      </c>
      <c r="EX65" s="11" t="n">
        <v>621.346725866929</v>
      </c>
      <c r="EY65" s="11" t="n">
        <v>1.50548342766415</v>
      </c>
      <c r="EZ65" s="11" t="n">
        <v>1.38873928157637</v>
      </c>
      <c r="FA65" s="11" t="n">
        <v>0.0493381871459685</v>
      </c>
      <c r="FB65" s="11" t="n">
        <v>1</v>
      </c>
      <c r="FC65" s="11" t="n">
        <v>0</v>
      </c>
      <c r="FD65" s="11" t="n">
        <v>0</v>
      </c>
      <c r="FE65" s="11" t="s">
        <v>574</v>
      </c>
      <c r="FF65" s="11" t="s">
        <v>209</v>
      </c>
      <c r="FG65" s="11" t="n">
        <v>147</v>
      </c>
      <c r="FH65" s="11" t="s">
        <v>575</v>
      </c>
      <c r="FI65" s="11" t="s">
        <v>59</v>
      </c>
      <c r="FJ65" s="11" t="n">
        <v>0.2</v>
      </c>
      <c r="FK65" s="11" t="n">
        <v>0.172196053921118</v>
      </c>
      <c r="FL65" s="11" t="n">
        <v>0.0850061740937786</v>
      </c>
      <c r="FM65" s="11" t="n">
        <v>0</v>
      </c>
      <c r="FN65" s="11" t="n">
        <v>1</v>
      </c>
      <c r="FO65" s="11" t="n">
        <v>0.904137540568236</v>
      </c>
      <c r="FP65" s="11" t="n">
        <v>0.640669155315478</v>
      </c>
      <c r="FQ65" s="11" t="n">
        <v>0.270408163265306</v>
      </c>
      <c r="FR65" s="11" t="n">
        <v>0</v>
      </c>
      <c r="FS65" s="11" t="n">
        <v>0.903046916118335</v>
      </c>
      <c r="FT65" s="11" t="n">
        <v>0.63706924282946</v>
      </c>
      <c r="FU65" s="11" t="n">
        <v>1</v>
      </c>
      <c r="FV65" s="11" t="n">
        <v>7.78750737238154</v>
      </c>
      <c r="FW65" s="11" t="n">
        <v>264.540381437662</v>
      </c>
      <c r="FX65" s="11" t="n">
        <v>0.0162951273758412</v>
      </c>
      <c r="FY65" s="11" t="n">
        <v>1</v>
      </c>
      <c r="FZ65" s="11" t="n">
        <v>15</v>
      </c>
      <c r="GA65" s="11" t="n">
        <v>1</v>
      </c>
      <c r="GB65" s="11" t="s">
        <v>576</v>
      </c>
      <c r="GC65" s="11" t="n">
        <v>0.957851695365646</v>
      </c>
      <c r="GD65" s="11" t="n">
        <v>0.959183673469388</v>
      </c>
      <c r="GE65" s="11" t="n">
        <v>0.959183673469388</v>
      </c>
      <c r="GF65" s="11" t="n">
        <v>0.959183673469388</v>
      </c>
      <c r="GG65" s="11" t="n">
        <v>0</v>
      </c>
      <c r="GH65" s="11" t="n">
        <v>0</v>
      </c>
      <c r="GI65" s="11" t="n">
        <v>0.0508350165325041</v>
      </c>
      <c r="GJ65" s="11" t="n">
        <v>0.060307279888059</v>
      </c>
      <c r="GK65" s="11" t="n">
        <v>0.0577051613228993</v>
      </c>
      <c r="GL65" s="11" t="n">
        <v>0.0620065532675406</v>
      </c>
      <c r="GM65" s="11" t="n">
        <v>0.000108264745962311</v>
      </c>
      <c r="GN65" s="11" t="n">
        <v>0</v>
      </c>
      <c r="GO65" s="11" t="n">
        <v>0.959183673469388</v>
      </c>
      <c r="GP65" s="11" t="n">
        <v>0.959183673469388</v>
      </c>
      <c r="GQ65" s="11" t="n">
        <v>-0.0220128819346428</v>
      </c>
      <c r="GR65" s="11" t="n">
        <v>1</v>
      </c>
      <c r="GS65" s="11" t="n">
        <v>1</v>
      </c>
      <c r="GT65" s="11" t="n">
        <v>0</v>
      </c>
      <c r="GU65" s="11" t="n">
        <v>0</v>
      </c>
      <c r="GV65" s="11" t="n">
        <v>1</v>
      </c>
      <c r="GW65" s="11" t="n">
        <v>1</v>
      </c>
      <c r="GX65" s="11" t="n">
        <v>1</v>
      </c>
      <c r="GY65" s="11" t="n">
        <v>1</v>
      </c>
      <c r="GZ65" s="11" t="n">
        <v>0</v>
      </c>
      <c r="HA65" s="11" t="n">
        <v>1</v>
      </c>
      <c r="HB65" s="11" t="n">
        <v>0</v>
      </c>
      <c r="HC65" s="11" t="n">
        <v>1</v>
      </c>
      <c r="HD65" s="11" t="n">
        <v>1</v>
      </c>
      <c r="HE65" s="11" t="n">
        <v>1</v>
      </c>
      <c r="HF65" s="11" t="n">
        <v>1</v>
      </c>
      <c r="HG65" s="11" t="n">
        <v>1</v>
      </c>
      <c r="HH65" s="11" t="n">
        <v>0</v>
      </c>
      <c r="HI65" s="11" t="n">
        <v>0</v>
      </c>
      <c r="HJ65" s="11" t="n">
        <v>0</v>
      </c>
      <c r="HK65" s="11" t="s">
        <v>1051</v>
      </c>
      <c r="HL65" s="11" t="s">
        <v>577</v>
      </c>
      <c r="HM65" s="11" t="n">
        <v>1</v>
      </c>
      <c r="HN65" s="11" t="s">
        <v>1037</v>
      </c>
      <c r="HO65" s="11" t="s">
        <v>1038</v>
      </c>
      <c r="HP65" s="11" t="s">
        <v>1038</v>
      </c>
      <c r="HQ65" s="11" t="n">
        <v>0</v>
      </c>
      <c r="HR65" s="11" t="s">
        <v>204</v>
      </c>
      <c r="HS65" s="11" t="s">
        <v>190</v>
      </c>
      <c r="HT65" s="11" t="s">
        <v>190</v>
      </c>
      <c r="HU65" s="11" t="s">
        <v>1052</v>
      </c>
      <c r="HV65" s="11" t="s">
        <v>1052</v>
      </c>
      <c r="HW65" s="11" t="s">
        <v>623</v>
      </c>
      <c r="HX65" s="11" t="s">
        <v>616</v>
      </c>
      <c r="HY65" s="11" t="s">
        <v>583</v>
      </c>
      <c r="HZ65" s="11" t="s">
        <v>1053</v>
      </c>
      <c r="IA65" s="11" t="s">
        <v>1050</v>
      </c>
      <c r="IB65" s="11" t="s">
        <v>1054</v>
      </c>
      <c r="IC65" s="11" t="s">
        <v>209</v>
      </c>
      <c r="ID65" s="11" t="s">
        <v>619</v>
      </c>
      <c r="IE65" s="11" t="s">
        <v>198</v>
      </c>
      <c r="IF65" s="11" t="s">
        <v>205</v>
      </c>
      <c r="IG65" s="11" t="s">
        <v>211</v>
      </c>
      <c r="IH65" s="11" t="s">
        <v>1048</v>
      </c>
    </row>
    <row r="66" customFormat="false" ht="15" hidden="false" customHeight="false" outlineLevel="0" collapsed="false">
      <c r="A66" s="11" t="s">
        <v>86</v>
      </c>
      <c r="B66" s="11" t="s">
        <v>1055</v>
      </c>
      <c r="C66" s="11" t="s">
        <v>1035</v>
      </c>
      <c r="D66" s="11" t="s">
        <v>570</v>
      </c>
      <c r="E66" s="11" t="s">
        <v>51</v>
      </c>
      <c r="F66" s="11"/>
      <c r="G66" s="11"/>
      <c r="H66" s="11" t="s">
        <v>1056</v>
      </c>
      <c r="I66" s="11" t="s">
        <v>214</v>
      </c>
      <c r="J66" s="11" t="n">
        <v>110</v>
      </c>
      <c r="K66" s="11" t="n">
        <v>3.66666666666667</v>
      </c>
      <c r="L66" s="11" t="n">
        <v>0.749966442584991</v>
      </c>
      <c r="M66" s="11" t="n">
        <v>0.816674947738647</v>
      </c>
      <c r="N66" s="11" t="n">
        <v>0</v>
      </c>
      <c r="O66" s="11" t="n">
        <v>1.60804123216002</v>
      </c>
      <c r="P66" s="11" t="n">
        <v>1.57509897026663</v>
      </c>
      <c r="Q66" s="11" t="n">
        <v>0.226051000179927</v>
      </c>
      <c r="R66" s="11" t="n">
        <v>0.327272727272727</v>
      </c>
      <c r="S66" s="11" t="n">
        <v>0.345454545454545</v>
      </c>
      <c r="T66" s="11" t="n">
        <v>0.1</v>
      </c>
      <c r="U66" s="11" t="n">
        <v>0</v>
      </c>
      <c r="V66" s="11" t="n">
        <v>0</v>
      </c>
      <c r="W66" s="11" t="n">
        <v>0.681818181818182</v>
      </c>
      <c r="X66" s="11" t="n">
        <v>0.227272727272727</v>
      </c>
      <c r="Y66" s="11" t="n">
        <v>0.3</v>
      </c>
      <c r="Z66" s="11" t="n">
        <v>0.481818181818182</v>
      </c>
      <c r="AA66" s="11" t="n">
        <v>0.381818181818182</v>
      </c>
      <c r="AB66" s="11" t="n">
        <v>0.2</v>
      </c>
      <c r="AC66" s="11" t="n">
        <v>-0.00405079824795427</v>
      </c>
      <c r="AD66" s="11" t="n">
        <v>-0.00914478857987301</v>
      </c>
      <c r="AE66" s="11" t="n">
        <v>0.745283018867924</v>
      </c>
      <c r="AF66" s="11" t="n">
        <v>0.660377358490566</v>
      </c>
      <c r="AG66" s="11" t="n">
        <v>0.330188679245283</v>
      </c>
      <c r="AH66" s="11" t="n">
        <v>0.454545454545454</v>
      </c>
      <c r="AI66" s="11" t="n">
        <v>0.381818181818182</v>
      </c>
      <c r="AJ66" s="11" t="n">
        <v>0.2</v>
      </c>
      <c r="AK66" s="11" t="n">
        <v>0.448412244213974</v>
      </c>
      <c r="AL66" s="11" t="n">
        <v>0</v>
      </c>
      <c r="AM66" s="11" t="n">
        <v>0</v>
      </c>
      <c r="AN66" s="11" t="n">
        <v>0</v>
      </c>
      <c r="AO66" s="11"/>
      <c r="AP66" s="11"/>
      <c r="AQ66" s="11"/>
      <c r="AR66" s="11" t="n">
        <v>0</v>
      </c>
      <c r="AS66" s="11" t="n">
        <v>0.109090909090909</v>
      </c>
      <c r="AT66" s="11" t="n">
        <v>0</v>
      </c>
      <c r="AU66" s="11" t="n">
        <v>0</v>
      </c>
      <c r="AV66" s="11" t="n">
        <v>0</v>
      </c>
      <c r="AW66" s="11" t="n">
        <v>0</v>
      </c>
      <c r="AX66" s="11" t="n">
        <v>0</v>
      </c>
      <c r="AY66" s="11" t="n">
        <v>0.00847750162301899</v>
      </c>
      <c r="AZ66" s="11" t="n">
        <v>0.0235302002164966</v>
      </c>
      <c r="BA66" s="11"/>
      <c r="BB66" s="11" t="n">
        <v>0.281818181818182</v>
      </c>
      <c r="BC66" s="11" t="n">
        <v>0.754545454545455</v>
      </c>
      <c r="BD66" s="11" t="n">
        <v>0.572727272727273</v>
      </c>
      <c r="BE66" s="11" t="n">
        <v>0.763636363636364</v>
      </c>
      <c r="BF66" s="11" t="n">
        <v>0.745454545454545</v>
      </c>
      <c r="BG66" s="11" t="n">
        <v>0.8</v>
      </c>
      <c r="BH66" s="11" t="n">
        <v>0.763636363636364</v>
      </c>
      <c r="BI66" s="11" t="n">
        <v>0.918181818181818</v>
      </c>
      <c r="BJ66" s="11" t="n">
        <v>0.140301509135268</v>
      </c>
      <c r="BK66" s="11" t="n">
        <v>0.0378039835249508</v>
      </c>
      <c r="BL66" s="11" t="n">
        <v>0.11263183827771</v>
      </c>
      <c r="BM66" s="11" t="n">
        <v>0.0398711714418931</v>
      </c>
      <c r="BN66" s="11" t="n">
        <v>0.425761267495718</v>
      </c>
      <c r="BO66" s="11" t="n">
        <v>0.345785655644173</v>
      </c>
      <c r="BP66" s="11" t="n">
        <v>0.0106515639509961</v>
      </c>
      <c r="BQ66" s="11" t="n">
        <v>0.0175100186656592</v>
      </c>
      <c r="BR66" s="11" t="n">
        <v>3.33276587901947</v>
      </c>
      <c r="BS66" s="11" t="n">
        <v>14.0442994709192</v>
      </c>
      <c r="BT66" s="11" t="n">
        <v>12.9291732333735</v>
      </c>
      <c r="BU66" s="11" t="n">
        <v>14.0301509135268</v>
      </c>
      <c r="BV66" s="11" t="n">
        <v>6.45332897211201</v>
      </c>
      <c r="BW66" s="11" t="n">
        <v>10.2051472058464</v>
      </c>
      <c r="BX66" s="11" t="n">
        <v>2.84908771401716</v>
      </c>
      <c r="BY66" s="11" t="n">
        <v>4.50192889073157</v>
      </c>
      <c r="BZ66" s="11" t="n">
        <v>0.727272727272727</v>
      </c>
      <c r="CA66" s="11" t="n">
        <v>0.925</v>
      </c>
      <c r="CB66" s="11" t="n">
        <v>0.3125</v>
      </c>
      <c r="CC66" s="11" t="n">
        <v>0.4</v>
      </c>
      <c r="CD66" s="11" t="n">
        <v>0.65</v>
      </c>
      <c r="CE66" s="11" t="n">
        <v>0.727272727272727</v>
      </c>
      <c r="CF66" s="11" t="n">
        <v>5</v>
      </c>
      <c r="CG66" s="11" t="n">
        <v>0</v>
      </c>
      <c r="CH66" s="11" t="n">
        <v>0.925</v>
      </c>
      <c r="CI66" s="11" t="n">
        <v>0.4</v>
      </c>
      <c r="CJ66" s="11" t="n">
        <v>0.65</v>
      </c>
      <c r="CK66" s="11" t="n">
        <v>0.0333333333333333</v>
      </c>
      <c r="CL66" s="11" t="n">
        <v>0</v>
      </c>
      <c r="CM66" s="11" t="n">
        <v>0.0333333333333333</v>
      </c>
      <c r="CN66" s="11" t="n">
        <v>0.0333333333333333</v>
      </c>
      <c r="CO66" s="11" t="n">
        <v>0</v>
      </c>
      <c r="CP66" s="11" t="n">
        <v>0</v>
      </c>
      <c r="CQ66" s="11" t="n">
        <v>0</v>
      </c>
      <c r="CR66" s="11" t="n">
        <v>0</v>
      </c>
      <c r="CS66" s="11" t="n">
        <v>0.0769230769230769</v>
      </c>
      <c r="CT66" s="11" t="n">
        <v>0</v>
      </c>
      <c r="CU66" s="11" t="n">
        <v>0.0769230769230769</v>
      </c>
      <c r="CV66" s="11" t="n">
        <v>0.0769230769230769</v>
      </c>
      <c r="CW66" s="11" t="n">
        <v>0.1375</v>
      </c>
      <c r="CX66" s="11" t="n">
        <v>0</v>
      </c>
      <c r="CY66" s="11" t="n">
        <v>0.00647921707057826</v>
      </c>
      <c r="CZ66" s="11" t="n">
        <v>-0.0521205417108786</v>
      </c>
      <c r="DA66" s="11" t="n">
        <v>9.02490939811903</v>
      </c>
      <c r="DB66" s="11" t="n">
        <v>-0.00527627631168719</v>
      </c>
      <c r="DC66" s="11" t="n">
        <v>15.7669141395333</v>
      </c>
      <c r="DD66" s="11" t="n">
        <v>0.184563759100894</v>
      </c>
      <c r="DE66" s="11" t="n">
        <v>0.527272727272727</v>
      </c>
      <c r="DF66" s="11" t="n">
        <v>-0.0207775031118978</v>
      </c>
      <c r="DG66" s="11" t="n">
        <v>0.00778240117618437</v>
      </c>
      <c r="DH66" s="11" t="n">
        <v>-2.85599042880821</v>
      </c>
      <c r="DI66" s="11" t="n">
        <v>132.974559263303</v>
      </c>
      <c r="DJ66" s="11" t="n">
        <v>51.477047804325</v>
      </c>
      <c r="DK66" s="11" t="n">
        <v>7.41959921693092</v>
      </c>
      <c r="DL66" s="11" t="n">
        <v>49.05</v>
      </c>
      <c r="DM66" s="11" t="n">
        <v>0.645454545454546</v>
      </c>
      <c r="DN66" s="11" t="n">
        <v>0.363636363636364</v>
      </c>
      <c r="DO66" s="11" t="n">
        <v>-0.0101196396454842</v>
      </c>
      <c r="DP66" s="11" t="n">
        <v>0</v>
      </c>
      <c r="DQ66" s="11" t="n">
        <v>0.0363636363636364</v>
      </c>
      <c r="DR66" s="11" t="n">
        <v>0</v>
      </c>
      <c r="DS66" s="11" t="n">
        <v>0</v>
      </c>
      <c r="DT66" s="11" t="n">
        <v>0</v>
      </c>
      <c r="DU66" s="11" t="n">
        <v>0</v>
      </c>
      <c r="DV66" s="11" t="n">
        <v>5</v>
      </c>
      <c r="DW66" s="11" t="s">
        <v>573</v>
      </c>
      <c r="DX66" s="11" t="n">
        <v>0.406307</v>
      </c>
      <c r="DY66" s="11" t="n">
        <v>0.0318730604789077</v>
      </c>
      <c r="DZ66" s="11" t="n">
        <v>0.780740939521092</v>
      </c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 t="n">
        <v>5.82531486800384</v>
      </c>
      <c r="EP66" s="11" t="n">
        <v>62.5086218276315</v>
      </c>
      <c r="EQ66" s="11" t="n">
        <v>1407.91210656239</v>
      </c>
      <c r="ER66" s="11" t="n">
        <v>3.8535190161761</v>
      </c>
      <c r="ES66" s="11" t="n">
        <v>3.8535190161761</v>
      </c>
      <c r="ET66" s="11" t="n">
        <v>1.70710468238052</v>
      </c>
      <c r="EU66" s="11" t="n">
        <v>33.2779830680946</v>
      </c>
      <c r="EV66" s="11" t="n">
        <v>33.2779830680946</v>
      </c>
      <c r="EW66" s="11" t="n">
        <v>396.655928219161</v>
      </c>
      <c r="EX66" s="11" t="n">
        <v>485.00280859324</v>
      </c>
      <c r="EY66" s="11" t="n">
        <v>1.41399559829565</v>
      </c>
      <c r="EZ66" s="11" t="n">
        <v>0.683634788956765</v>
      </c>
      <c r="FA66" s="11" t="n">
        <v>0.049696412341165</v>
      </c>
      <c r="FB66" s="11" t="n">
        <v>0.990909090909091</v>
      </c>
      <c r="FC66" s="11" t="n">
        <v>0</v>
      </c>
      <c r="FD66" s="11" t="n">
        <v>0</v>
      </c>
      <c r="FE66" s="11" t="s">
        <v>574</v>
      </c>
      <c r="FF66" s="11" t="s">
        <v>215</v>
      </c>
      <c r="FG66" s="11" t="n">
        <v>110</v>
      </c>
      <c r="FH66" s="11" t="s">
        <v>575</v>
      </c>
      <c r="FI66" s="11" t="s">
        <v>59</v>
      </c>
      <c r="FJ66" s="11" t="n">
        <v>0.2</v>
      </c>
      <c r="FK66" s="11" t="n">
        <v>0.0966060793107439</v>
      </c>
      <c r="FL66" s="11" t="n">
        <v>0.0663327311680867</v>
      </c>
      <c r="FM66" s="11" t="n">
        <v>0</v>
      </c>
      <c r="FN66" s="11" t="n">
        <v>1</v>
      </c>
      <c r="FO66" s="11" t="n">
        <v>0.76190249191562</v>
      </c>
      <c r="FP66" s="11" t="n">
        <v>0.459119228149815</v>
      </c>
      <c r="FQ66" s="11" t="n">
        <v>0.197727272727273</v>
      </c>
      <c r="FR66" s="11" t="n">
        <v>0</v>
      </c>
      <c r="FS66" s="11" t="n">
        <v>0.760151615453328</v>
      </c>
      <c r="FT66" s="11" t="n">
        <v>0.45811909306388</v>
      </c>
      <c r="FU66" s="11" t="n">
        <v>1</v>
      </c>
      <c r="FV66" s="11" t="n">
        <v>6.79658344488793</v>
      </c>
      <c r="FW66" s="11" t="n">
        <v>212.677682239738</v>
      </c>
      <c r="FX66" s="11" t="n">
        <v>0.0128627958619727</v>
      </c>
      <c r="FY66" s="11" t="n">
        <v>1</v>
      </c>
      <c r="FZ66" s="11" t="n">
        <v>13</v>
      </c>
      <c r="GA66" s="11" t="n">
        <v>1</v>
      </c>
      <c r="GB66" s="11" t="s">
        <v>576</v>
      </c>
      <c r="GC66" s="11" t="n">
        <v>0.94326338334517</v>
      </c>
      <c r="GD66" s="11" t="n">
        <v>0.945454545454545</v>
      </c>
      <c r="GE66" s="11" t="n">
        <v>0.945454545454545</v>
      </c>
      <c r="GF66" s="11" t="n">
        <v>0.945454545454545</v>
      </c>
      <c r="GG66" s="11" t="n">
        <v>0</v>
      </c>
      <c r="GH66" s="11" t="n">
        <v>0</v>
      </c>
      <c r="GI66" s="11" t="n">
        <v>0.072743196705216</v>
      </c>
      <c r="GJ66" s="11" t="n">
        <v>0.0854782420633869</v>
      </c>
      <c r="GK66" s="11" t="n">
        <v>0.0821431877385004</v>
      </c>
      <c r="GL66" s="11" t="n">
        <v>0.0870269434314899</v>
      </c>
      <c r="GM66" s="11" t="n">
        <v>0.000278391994447702</v>
      </c>
      <c r="GN66" s="11" t="n">
        <v>0</v>
      </c>
      <c r="GO66" s="11" t="n">
        <v>0.945454545454545</v>
      </c>
      <c r="GP66" s="11" t="n">
        <v>0.945454545454545</v>
      </c>
      <c r="GQ66" s="11" t="n">
        <v>-0.0300339870154858</v>
      </c>
      <c r="GR66" s="11" t="n">
        <v>1</v>
      </c>
      <c r="GS66" s="11" t="n">
        <v>1</v>
      </c>
      <c r="GT66" s="11" t="n">
        <v>0</v>
      </c>
      <c r="GU66" s="11" t="n">
        <v>0</v>
      </c>
      <c r="GV66" s="11" t="n">
        <v>1</v>
      </c>
      <c r="GW66" s="11" t="n">
        <v>1</v>
      </c>
      <c r="GX66" s="11" t="n">
        <v>1</v>
      </c>
      <c r="GY66" s="11" t="n">
        <v>1</v>
      </c>
      <c r="GZ66" s="11" t="n">
        <v>0</v>
      </c>
      <c r="HA66" s="11" t="n">
        <v>1</v>
      </c>
      <c r="HB66" s="11" t="n">
        <v>1</v>
      </c>
      <c r="HC66" s="11" t="n">
        <v>1</v>
      </c>
      <c r="HD66" s="11" t="n">
        <v>1</v>
      </c>
      <c r="HE66" s="11" t="n">
        <v>1</v>
      </c>
      <c r="HF66" s="11" t="n">
        <v>1</v>
      </c>
      <c r="HG66" s="11" t="n">
        <v>1</v>
      </c>
      <c r="HH66" s="11" t="n">
        <v>0</v>
      </c>
      <c r="HI66" s="11" t="n">
        <v>0</v>
      </c>
      <c r="HJ66" s="11" t="n">
        <v>0</v>
      </c>
      <c r="HK66" s="11" t="s">
        <v>138</v>
      </c>
      <c r="HL66" s="11" t="s">
        <v>577</v>
      </c>
      <c r="HM66" s="11" t="n">
        <v>1</v>
      </c>
      <c r="HN66" s="11" t="s">
        <v>1037</v>
      </c>
      <c r="HO66" s="11" t="s">
        <v>1038</v>
      </c>
      <c r="HP66" s="11" t="s">
        <v>1038</v>
      </c>
      <c r="HQ66" s="11" t="n">
        <v>0</v>
      </c>
      <c r="HR66" s="11" t="s">
        <v>189</v>
      </c>
      <c r="HS66" s="11" t="s">
        <v>190</v>
      </c>
      <c r="HT66" s="11" t="s">
        <v>190</v>
      </c>
      <c r="HU66" s="11" t="s">
        <v>1057</v>
      </c>
      <c r="HV66" s="11" t="s">
        <v>1057</v>
      </c>
      <c r="HW66" s="11" t="s">
        <v>638</v>
      </c>
      <c r="HX66" s="11" t="s">
        <v>631</v>
      </c>
      <c r="HY66" s="11" t="s">
        <v>583</v>
      </c>
      <c r="HZ66" s="11" t="s">
        <v>1058</v>
      </c>
      <c r="IA66" s="11" t="s">
        <v>1056</v>
      </c>
      <c r="IB66" s="11" t="s">
        <v>1059</v>
      </c>
      <c r="IC66" s="11" t="s">
        <v>215</v>
      </c>
      <c r="ID66" s="11" t="s">
        <v>634</v>
      </c>
      <c r="IE66" s="11" t="s">
        <v>198</v>
      </c>
      <c r="IF66" s="11" t="s">
        <v>191</v>
      </c>
      <c r="IG66" s="11" t="s">
        <v>197</v>
      </c>
      <c r="IH66" s="11" t="s">
        <v>1048</v>
      </c>
    </row>
    <row r="67" customFormat="false" ht="15" hidden="false" customHeight="false" outlineLevel="0" collapsed="false">
      <c r="A67" s="11" t="s">
        <v>87</v>
      </c>
      <c r="B67" s="11" t="s">
        <v>1060</v>
      </c>
      <c r="C67" s="11" t="s">
        <v>1035</v>
      </c>
      <c r="D67" s="11" t="s">
        <v>570</v>
      </c>
      <c r="E67" s="11" t="s">
        <v>51</v>
      </c>
      <c r="F67" s="11"/>
      <c r="G67" s="11"/>
      <c r="H67" s="11" t="s">
        <v>1061</v>
      </c>
      <c r="I67" s="11" t="s">
        <v>219</v>
      </c>
      <c r="J67" s="11" t="n">
        <v>100</v>
      </c>
      <c r="K67" s="11" t="n">
        <v>3.33333333333333</v>
      </c>
      <c r="L67" s="11" t="n">
        <v>0.767269968986511</v>
      </c>
      <c r="M67" s="11" t="n">
        <v>0.804406225681305</v>
      </c>
      <c r="N67" s="11" t="n">
        <v>0</v>
      </c>
      <c r="O67" s="11" t="n">
        <v>0.620904673440148</v>
      </c>
      <c r="P67" s="11" t="n">
        <v>0.712027737953762</v>
      </c>
      <c r="Q67" s="11" t="n">
        <v>0.148844987913521</v>
      </c>
      <c r="R67" s="11" t="n">
        <v>0.46</v>
      </c>
      <c r="S67" s="11" t="n">
        <v>0.24</v>
      </c>
      <c r="T67" s="11" t="n">
        <v>0</v>
      </c>
      <c r="U67" s="11" t="n">
        <v>0</v>
      </c>
      <c r="V67" s="11" t="n">
        <v>0</v>
      </c>
      <c r="W67" s="11" t="n">
        <v>0.76</v>
      </c>
      <c r="X67" s="11" t="n">
        <v>0.49</v>
      </c>
      <c r="Y67" s="11" t="n">
        <v>0.62</v>
      </c>
      <c r="Z67" s="11" t="n">
        <v>0.74</v>
      </c>
      <c r="AA67" s="11" t="n">
        <v>0.14</v>
      </c>
      <c r="AB67" s="11" t="n">
        <v>0.02</v>
      </c>
      <c r="AC67" s="11" t="n">
        <v>-0.00184319196940137</v>
      </c>
      <c r="AD67" s="11" t="n">
        <v>-0.00832559867443085</v>
      </c>
      <c r="AE67" s="11" t="n">
        <v>0.345238095238095</v>
      </c>
      <c r="AF67" s="11" t="n">
        <v>0.190476190476191</v>
      </c>
      <c r="AG67" s="11" t="n">
        <v>0.0476190476190476</v>
      </c>
      <c r="AH67" s="11" t="n">
        <v>0.27</v>
      </c>
      <c r="AI67" s="11" t="n">
        <v>0.14</v>
      </c>
      <c r="AJ67" s="11" t="n">
        <v>0.02</v>
      </c>
      <c r="AK67" s="11" t="n">
        <v>0.468554394811324</v>
      </c>
      <c r="AL67" s="11" t="n">
        <v>0</v>
      </c>
      <c r="AM67" s="11" t="n">
        <v>0</v>
      </c>
      <c r="AN67" s="11" t="n">
        <v>0</v>
      </c>
      <c r="AO67" s="11"/>
      <c r="AP67" s="11"/>
      <c r="AQ67" s="11"/>
      <c r="AR67" s="11" t="n">
        <v>0</v>
      </c>
      <c r="AS67" s="11" t="n">
        <v>0.01</v>
      </c>
      <c r="AT67" s="11" t="n">
        <v>0</v>
      </c>
      <c r="AU67" s="11" t="n">
        <v>0</v>
      </c>
      <c r="AV67" s="11" t="n">
        <v>0</v>
      </c>
      <c r="AW67" s="11" t="n">
        <v>0</v>
      </c>
      <c r="AX67" s="11" t="n">
        <v>0</v>
      </c>
      <c r="AY67" s="11" t="n">
        <v>0.00469491585478686</v>
      </c>
      <c r="AZ67" s="11" t="n">
        <v>0.0141210113902791</v>
      </c>
      <c r="BA67" s="11"/>
      <c r="BB67" s="11" t="n">
        <v>0.66</v>
      </c>
      <c r="BC67" s="11" t="n">
        <v>0.83</v>
      </c>
      <c r="BD67" s="11" t="n">
        <v>0.67</v>
      </c>
      <c r="BE67" s="11" t="n">
        <v>0.86</v>
      </c>
      <c r="BF67" s="11" t="n">
        <v>0.7</v>
      </c>
      <c r="BG67" s="11" t="n">
        <v>1</v>
      </c>
      <c r="BH67" s="11" t="n">
        <v>0.74</v>
      </c>
      <c r="BI67" s="11" t="n">
        <v>1</v>
      </c>
      <c r="BJ67" s="11" t="n">
        <v>0.0840169741501524</v>
      </c>
      <c r="BK67" s="11" t="n">
        <v>0.0640423309619191</v>
      </c>
      <c r="BL67" s="11" t="n">
        <v>0.081064452738875</v>
      </c>
      <c r="BM67" s="11" t="n">
        <v>0.0325340816965273</v>
      </c>
      <c r="BN67" s="11" t="n">
        <v>0.355629573822156</v>
      </c>
      <c r="BO67" s="11" t="n">
        <v>0.329476911055283</v>
      </c>
      <c r="BP67" s="11" t="n">
        <v>0.00873847229529805</v>
      </c>
      <c r="BQ67" s="11" t="n">
        <v>0.00992513096866086</v>
      </c>
      <c r="BR67" s="11" t="n">
        <v>2.89671985940084</v>
      </c>
      <c r="BS67" s="11" t="n">
        <v>9.17095432310895</v>
      </c>
      <c r="BT67" s="11" t="n">
        <v>14.4136588252987</v>
      </c>
      <c r="BU67" s="11" t="n">
        <v>8.40169741501524</v>
      </c>
      <c r="BV67" s="11" t="n">
        <v>4.6446510104739</v>
      </c>
      <c r="BW67" s="11" t="n">
        <v>6.30933408679101</v>
      </c>
      <c r="BX67" s="11" t="n">
        <v>3.14024583772467</v>
      </c>
      <c r="BY67" s="11" t="n">
        <v>4.99641548995724</v>
      </c>
      <c r="BZ67" s="11" t="n">
        <v>0.63</v>
      </c>
      <c r="CA67" s="11" t="n">
        <v>0.952380952380952</v>
      </c>
      <c r="CB67" s="11" t="n">
        <v>0.587301587301587</v>
      </c>
      <c r="CC67" s="11" t="n">
        <v>0.777777777777778</v>
      </c>
      <c r="CD67" s="11" t="n">
        <v>0.920634920634921</v>
      </c>
      <c r="CE67" s="11" t="n">
        <v>0.63</v>
      </c>
      <c r="CF67" s="11" t="n">
        <v>5</v>
      </c>
      <c r="CG67" s="11" t="n">
        <v>0</v>
      </c>
      <c r="CH67" s="11" t="n">
        <v>0.952380952380952</v>
      </c>
      <c r="CI67" s="11" t="n">
        <v>0.777777777777778</v>
      </c>
      <c r="CJ67" s="11" t="n">
        <v>0.920634920634921</v>
      </c>
      <c r="CK67" s="11" t="n">
        <v>0.432432432432432</v>
      </c>
      <c r="CL67" s="11" t="n">
        <v>0.324324324324324</v>
      </c>
      <c r="CM67" s="11" t="n">
        <v>0.351351351351351</v>
      </c>
      <c r="CN67" s="11" t="n">
        <v>0.432432432432432</v>
      </c>
      <c r="CO67" s="11" t="n">
        <v>0</v>
      </c>
      <c r="CP67" s="11" t="n">
        <v>0</v>
      </c>
      <c r="CQ67" s="11" t="n">
        <v>0</v>
      </c>
      <c r="CR67" s="11" t="n">
        <v>0</v>
      </c>
      <c r="CS67" s="11" t="n">
        <v>0.761904761904762</v>
      </c>
      <c r="CT67" s="11" t="n">
        <v>0.571428571428571</v>
      </c>
      <c r="CU67" s="11" t="n">
        <v>0.619047619047619</v>
      </c>
      <c r="CV67" s="11" t="n">
        <v>0.761904761904762</v>
      </c>
      <c r="CW67" s="11" t="n">
        <v>0</v>
      </c>
      <c r="CX67" s="11" t="n">
        <v>0</v>
      </c>
      <c r="CY67" s="11" t="n">
        <v>0.0159805225374777</v>
      </c>
      <c r="CZ67" s="11" t="n">
        <v>-0.0323571239320993</v>
      </c>
      <c r="DA67" s="11" t="n">
        <v>4.95545122637369</v>
      </c>
      <c r="DB67" s="11" t="n">
        <v>-0.0128965364783842</v>
      </c>
      <c r="DC67" s="11" t="n">
        <v>11.5209603472187</v>
      </c>
      <c r="DD67" s="11" t="n">
        <v>0.24603391344232</v>
      </c>
      <c r="DE67" s="11" t="n">
        <v>0.3</v>
      </c>
      <c r="DF67" s="11" t="n">
        <v>-0.0125742870733095</v>
      </c>
      <c r="DG67" s="11" t="n">
        <v>0.00539275513409212</v>
      </c>
      <c r="DH67" s="11" t="n">
        <v>-1.79670422074016</v>
      </c>
      <c r="DI67" s="11" t="n">
        <v>87.8872218756268</v>
      </c>
      <c r="DJ67" s="11" t="n">
        <v>40.1791317367325</v>
      </c>
      <c r="DK67" s="11" t="n">
        <v>5.89922689465216</v>
      </c>
      <c r="DL67" s="11" t="n">
        <v>49.05</v>
      </c>
      <c r="DM67" s="11" t="n">
        <v>0.65</v>
      </c>
      <c r="DN67" s="11" t="n">
        <v>0.44</v>
      </c>
      <c r="DO67" s="11" t="n">
        <v>-0.00926860158441706</v>
      </c>
      <c r="DP67" s="11" t="n">
        <v>0</v>
      </c>
      <c r="DQ67" s="11" t="n">
        <v>0.01</v>
      </c>
      <c r="DR67" s="11" t="n">
        <v>0</v>
      </c>
      <c r="DS67" s="11" t="n">
        <v>0</v>
      </c>
      <c r="DT67" s="11" t="n">
        <v>0</v>
      </c>
      <c r="DU67" s="11" t="n">
        <v>0</v>
      </c>
      <c r="DV67" s="11" t="n">
        <v>5</v>
      </c>
      <c r="DW67" s="11" t="s">
        <v>573</v>
      </c>
      <c r="DX67" s="11" t="n">
        <v>0.406307</v>
      </c>
      <c r="DY67" s="11" t="n">
        <v>-0.000328289320646769</v>
      </c>
      <c r="DZ67" s="11" t="n">
        <v>0.812942289320647</v>
      </c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 t="n">
        <v>5.48180315412613</v>
      </c>
      <c r="EP67" s="11" t="n">
        <v>59.5593946997013</v>
      </c>
      <c r="EQ67" s="11" t="n">
        <v>1368.62158063425</v>
      </c>
      <c r="ER67" s="11" t="n">
        <v>2.36687386134269</v>
      </c>
      <c r="ES67" s="11" t="n">
        <v>2.36687386134269</v>
      </c>
      <c r="ET67" s="11" t="n">
        <v>1.48016977397549</v>
      </c>
      <c r="EU67" s="11" t="n">
        <v>35.1499388306486</v>
      </c>
      <c r="EV67" s="11" t="n">
        <v>35.1499388306486</v>
      </c>
      <c r="EW67" s="11" t="n">
        <v>267.277891495164</v>
      </c>
      <c r="EX67" s="11" t="n">
        <v>340.524552199068</v>
      </c>
      <c r="EY67" s="11" t="n">
        <v>0.847387312001661</v>
      </c>
      <c r="EZ67" s="11" t="n">
        <v>0.704554865261095</v>
      </c>
      <c r="FA67" s="11" t="n">
        <v>0.0492151624760932</v>
      </c>
      <c r="FB67" s="11" t="n">
        <v>1</v>
      </c>
      <c r="FC67" s="11" t="n">
        <v>0</v>
      </c>
      <c r="FD67" s="11" t="n">
        <v>0</v>
      </c>
      <c r="FE67" s="11" t="s">
        <v>574</v>
      </c>
      <c r="FF67" s="11" t="s">
        <v>220</v>
      </c>
      <c r="FG67" s="11" t="n">
        <v>100</v>
      </c>
      <c r="FH67" s="11" t="s">
        <v>575</v>
      </c>
      <c r="FI67" s="11" t="s">
        <v>59</v>
      </c>
      <c r="FJ67" s="11" t="n">
        <v>0.2</v>
      </c>
      <c r="FK67" s="11" t="n">
        <v>0.0856886446351857</v>
      </c>
      <c r="FL67" s="11" t="n">
        <v>0.0594420715533116</v>
      </c>
      <c r="FM67" s="11" t="n">
        <v>0</v>
      </c>
      <c r="FN67" s="11" t="n">
        <v>1</v>
      </c>
      <c r="FO67" s="11" t="n">
        <v>0.61215126589444</v>
      </c>
      <c r="FP67" s="11" t="n">
        <v>0.266281708342627</v>
      </c>
      <c r="FQ67" s="11" t="n">
        <v>0.045</v>
      </c>
      <c r="FR67" s="11" t="n">
        <v>0</v>
      </c>
      <c r="FS67" s="11" t="n">
        <v>0.607832051465108</v>
      </c>
      <c r="FT67" s="11" t="n">
        <v>0.265956165515082</v>
      </c>
      <c r="FU67" s="11" t="n">
        <v>1</v>
      </c>
      <c r="FV67" s="11" t="n">
        <v>3.80932665244422</v>
      </c>
      <c r="FW67" s="11" t="n">
        <v>122.850786529558</v>
      </c>
      <c r="FX67" s="11" t="n">
        <v>0.0102285523259587</v>
      </c>
      <c r="FY67" s="11" t="n">
        <v>1</v>
      </c>
      <c r="FZ67" s="11" t="n">
        <v>21</v>
      </c>
      <c r="GA67" s="11" t="n">
        <v>1</v>
      </c>
      <c r="GB67" s="11" t="s">
        <v>576</v>
      </c>
      <c r="GC67" s="11" t="n">
        <v>0.939690246582031</v>
      </c>
      <c r="GD67" s="11" t="n">
        <v>0.94</v>
      </c>
      <c r="GE67" s="11" t="n">
        <v>0.94</v>
      </c>
      <c r="GF67" s="11" t="n">
        <v>0.94</v>
      </c>
      <c r="GG67" s="11" t="n">
        <v>0</v>
      </c>
      <c r="GH67" s="11" t="n">
        <v>0</v>
      </c>
      <c r="GI67" s="11" t="n">
        <v>0.0474372697991203</v>
      </c>
      <c r="GJ67" s="11" t="n">
        <v>0.0532658674288541</v>
      </c>
      <c r="GK67" s="11" t="n">
        <v>0.0522020554522896</v>
      </c>
      <c r="GL67" s="11" t="n">
        <v>0.0546209216304123</v>
      </c>
      <c r="GM67" s="11" t="n">
        <v>2.28945421071103E-005</v>
      </c>
      <c r="GN67" s="11" t="n">
        <v>0</v>
      </c>
      <c r="GO67" s="11" t="n">
        <v>0.94</v>
      </c>
      <c r="GP67" s="11" t="n">
        <v>0.94</v>
      </c>
      <c r="GQ67" s="11" t="n">
        <v>-0.023154828697443</v>
      </c>
      <c r="GR67" s="11" t="n">
        <v>1</v>
      </c>
      <c r="GS67" s="11" t="n">
        <v>1</v>
      </c>
      <c r="GT67" s="11" t="n">
        <v>0</v>
      </c>
      <c r="GU67" s="11" t="n">
        <v>0</v>
      </c>
      <c r="GV67" s="11" t="n">
        <v>1</v>
      </c>
      <c r="GW67" s="11" t="n">
        <v>1</v>
      </c>
      <c r="GX67" s="11" t="n">
        <v>1</v>
      </c>
      <c r="GY67" s="11" t="n">
        <v>0</v>
      </c>
      <c r="GZ67" s="11" t="n">
        <v>1</v>
      </c>
      <c r="HA67" s="11" t="n">
        <v>1</v>
      </c>
      <c r="HB67" s="11" t="n">
        <v>1</v>
      </c>
      <c r="HC67" s="11" t="n">
        <v>1</v>
      </c>
      <c r="HD67" s="11" t="n">
        <v>1</v>
      </c>
      <c r="HE67" s="11" t="n">
        <v>1</v>
      </c>
      <c r="HF67" s="11" t="n">
        <v>1</v>
      </c>
      <c r="HG67" s="11" t="n">
        <v>1</v>
      </c>
      <c r="HH67" s="11" t="n">
        <v>0</v>
      </c>
      <c r="HI67" s="11" t="n">
        <v>0</v>
      </c>
      <c r="HJ67" s="11" t="n">
        <v>0</v>
      </c>
      <c r="HK67" s="11" t="s">
        <v>137</v>
      </c>
      <c r="HL67" s="11" t="s">
        <v>577</v>
      </c>
      <c r="HM67" s="11" t="n">
        <v>1</v>
      </c>
      <c r="HN67" s="11" t="s">
        <v>1037</v>
      </c>
      <c r="HO67" s="11" t="s">
        <v>1038</v>
      </c>
      <c r="HP67" s="11" t="s">
        <v>1038</v>
      </c>
      <c r="HQ67" s="11" t="n">
        <v>0</v>
      </c>
      <c r="HR67" s="11" t="s">
        <v>204</v>
      </c>
      <c r="HS67" s="11" t="s">
        <v>190</v>
      </c>
      <c r="HT67" s="11" t="s">
        <v>190</v>
      </c>
      <c r="HU67" s="11" t="s">
        <v>1062</v>
      </c>
      <c r="HV67" s="11" t="s">
        <v>1062</v>
      </c>
      <c r="HW67" s="11" t="s">
        <v>653</v>
      </c>
      <c r="HX67" s="11" t="s">
        <v>646</v>
      </c>
      <c r="HY67" s="11" t="s">
        <v>583</v>
      </c>
      <c r="HZ67" s="11" t="s">
        <v>1063</v>
      </c>
      <c r="IA67" s="11" t="s">
        <v>1061</v>
      </c>
      <c r="IB67" s="11" t="s">
        <v>1064</v>
      </c>
      <c r="IC67" s="11" t="s">
        <v>220</v>
      </c>
      <c r="ID67" s="11" t="s">
        <v>649</v>
      </c>
      <c r="IE67" s="11" t="s">
        <v>198</v>
      </c>
      <c r="IF67" s="11" t="s">
        <v>191</v>
      </c>
      <c r="IG67" s="11" t="s">
        <v>197</v>
      </c>
      <c r="IH67" s="11" t="s">
        <v>1048</v>
      </c>
    </row>
    <row r="68" customFormat="false" ht="15" hidden="false" customHeight="false" outlineLevel="0" collapsed="false">
      <c r="A68" s="11" t="s">
        <v>88</v>
      </c>
      <c r="B68" s="11" t="s">
        <v>1065</v>
      </c>
      <c r="C68" s="11" t="s">
        <v>1035</v>
      </c>
      <c r="D68" s="11" t="s">
        <v>570</v>
      </c>
      <c r="E68" s="11" t="s">
        <v>51</v>
      </c>
      <c r="F68" s="11"/>
      <c r="G68" s="11"/>
      <c r="H68" s="11" t="s">
        <v>1066</v>
      </c>
      <c r="I68" s="11" t="s">
        <v>224</v>
      </c>
      <c r="J68" s="11" t="n">
        <v>97</v>
      </c>
      <c r="K68" s="11" t="n">
        <v>3.23333333333333</v>
      </c>
      <c r="L68" s="11" t="n">
        <v>0.749117732048035</v>
      </c>
      <c r="M68" s="11" t="n">
        <v>0.801421821117401</v>
      </c>
      <c r="N68" s="11" t="n">
        <v>0</v>
      </c>
      <c r="O68" s="11" t="n">
        <v>1.36250818154015</v>
      </c>
      <c r="P68" s="11" t="n">
        <v>1.50281613511461</v>
      </c>
      <c r="Q68" s="11" t="n">
        <v>0.263943035118638</v>
      </c>
      <c r="R68" s="11" t="n">
        <v>0.175257731958763</v>
      </c>
      <c r="S68" s="11" t="n">
        <v>0.195876288659794</v>
      </c>
      <c r="T68" s="11" t="n">
        <v>0.0206185567010309</v>
      </c>
      <c r="U68" s="11" t="n">
        <v>0</v>
      </c>
      <c r="V68" s="11" t="n">
        <v>0</v>
      </c>
      <c r="W68" s="11" t="n">
        <v>0.742268041237113</v>
      </c>
      <c r="X68" s="11" t="n">
        <v>0.247422680412371</v>
      </c>
      <c r="Y68" s="11" t="n">
        <v>0.422680412371134</v>
      </c>
      <c r="Z68" s="11" t="n">
        <v>0.618556701030928</v>
      </c>
      <c r="AA68" s="11" t="n">
        <v>0.319587628865979</v>
      </c>
      <c r="AB68" s="11" t="n">
        <v>0.123711340206186</v>
      </c>
      <c r="AC68" s="11" t="n">
        <v>-0.00298102913918397</v>
      </c>
      <c r="AD68" s="11" t="n">
        <v>-0.00652784384668752</v>
      </c>
      <c r="AE68" s="11" t="n">
        <v>0.686746987951807</v>
      </c>
      <c r="AF68" s="11" t="n">
        <v>0.481927710843373</v>
      </c>
      <c r="AG68" s="11" t="n">
        <v>0.144578313253012</v>
      </c>
      <c r="AH68" s="11" t="n">
        <v>0.494845360824742</v>
      </c>
      <c r="AI68" s="11" t="n">
        <v>0.319587628865979</v>
      </c>
      <c r="AJ68" s="11" t="n">
        <v>0.123711340206186</v>
      </c>
      <c r="AK68" s="11" t="n">
        <v>0.413460749379301</v>
      </c>
      <c r="AL68" s="11" t="n">
        <v>0</v>
      </c>
      <c r="AM68" s="11" t="n">
        <v>0</v>
      </c>
      <c r="AN68" s="11" t="n">
        <v>0</v>
      </c>
      <c r="AO68" s="11"/>
      <c r="AP68" s="11"/>
      <c r="AQ68" s="11"/>
      <c r="AR68" s="11" t="n">
        <v>0</v>
      </c>
      <c r="AS68" s="11" t="n">
        <v>0</v>
      </c>
      <c r="AT68" s="11" t="n">
        <v>0</v>
      </c>
      <c r="AU68" s="11" t="n">
        <v>0</v>
      </c>
      <c r="AV68" s="11" t="n">
        <v>0</v>
      </c>
      <c r="AW68" s="11" t="n">
        <v>0</v>
      </c>
      <c r="AX68" s="11" t="n">
        <v>0</v>
      </c>
      <c r="AY68" s="11" t="n">
        <v>0.00956591946782628</v>
      </c>
      <c r="AZ68" s="11" t="n">
        <v>0.0224284697245417</v>
      </c>
      <c r="BA68" s="11"/>
      <c r="BB68" s="11" t="n">
        <v>0.54639175257732</v>
      </c>
      <c r="BC68" s="11" t="n">
        <v>0.814432989690722</v>
      </c>
      <c r="BD68" s="11" t="n">
        <v>0.639175257731959</v>
      </c>
      <c r="BE68" s="11" t="n">
        <v>0.824742268041237</v>
      </c>
      <c r="BF68" s="11" t="n">
        <v>0.670103092783505</v>
      </c>
      <c r="BG68" s="11" t="n">
        <v>0.845360824742268</v>
      </c>
      <c r="BH68" s="11" t="n">
        <v>0.742268041237113</v>
      </c>
      <c r="BI68" s="11" t="n">
        <v>0.88659793814433</v>
      </c>
      <c r="BJ68" s="11" t="n">
        <v>0.197290199545233</v>
      </c>
      <c r="BK68" s="11" t="n">
        <v>0.118683523764429</v>
      </c>
      <c r="BL68" s="11" t="n">
        <v>0.194655292017185</v>
      </c>
      <c r="BM68" s="11" t="n">
        <v>0.135949632356551</v>
      </c>
      <c r="BN68" s="11" t="n">
        <v>0.492123911885261</v>
      </c>
      <c r="BO68" s="11" t="n">
        <v>0.431817906374371</v>
      </c>
      <c r="BP68" s="11" t="n">
        <v>0.0120809304158237</v>
      </c>
      <c r="BQ68" s="11" t="n">
        <v>0.00719449161853028</v>
      </c>
      <c r="BR68" s="11" t="n">
        <v>3.94993466454896</v>
      </c>
      <c r="BS68" s="11" t="n">
        <v>17.9889146119319</v>
      </c>
      <c r="BT68" s="11" t="n">
        <v>20.0241935151846</v>
      </c>
      <c r="BU68" s="11" t="n">
        <v>19.7290199545233</v>
      </c>
      <c r="BV68" s="11" t="n">
        <v>11.152926692471</v>
      </c>
      <c r="BW68" s="11" t="n">
        <v>11.2444174245255</v>
      </c>
      <c r="BX68" s="11" t="n">
        <v>3.00682125020302</v>
      </c>
      <c r="BY68" s="11" t="n">
        <v>7.80884802466926</v>
      </c>
      <c r="BZ68" s="11" t="n">
        <v>0.742268041237113</v>
      </c>
      <c r="CA68" s="11" t="n">
        <v>0.916666666666667</v>
      </c>
      <c r="CB68" s="11" t="n">
        <v>0.305555555555556</v>
      </c>
      <c r="CC68" s="11" t="n">
        <v>0.541666666666667</v>
      </c>
      <c r="CD68" s="11" t="n">
        <v>0.75</v>
      </c>
      <c r="CE68" s="11" t="n">
        <v>0.742268041237113</v>
      </c>
      <c r="CF68" s="11" t="n">
        <v>5</v>
      </c>
      <c r="CG68" s="11" t="n">
        <v>0</v>
      </c>
      <c r="CH68" s="11" t="n">
        <v>0.916666666666667</v>
      </c>
      <c r="CI68" s="11" t="n">
        <v>0.541666666666667</v>
      </c>
      <c r="CJ68" s="11" t="n">
        <v>0.75</v>
      </c>
      <c r="CK68" s="11" t="n">
        <v>0.24</v>
      </c>
      <c r="CL68" s="11" t="n">
        <v>0.08</v>
      </c>
      <c r="CM68" s="11" t="n">
        <v>0.08</v>
      </c>
      <c r="CN68" s="11" t="n">
        <v>0.24</v>
      </c>
      <c r="CO68" s="11" t="n">
        <v>0</v>
      </c>
      <c r="CP68" s="11" t="n">
        <v>0</v>
      </c>
      <c r="CQ68" s="11" t="n">
        <v>0</v>
      </c>
      <c r="CR68" s="11" t="n">
        <v>0</v>
      </c>
      <c r="CS68" s="11" t="n">
        <v>0.5</v>
      </c>
      <c r="CT68" s="11" t="n">
        <v>0.166666666666667</v>
      </c>
      <c r="CU68" s="11" t="n">
        <v>0.166666666666667</v>
      </c>
      <c r="CV68" s="11" t="n">
        <v>0.5</v>
      </c>
      <c r="CW68" s="11" t="n">
        <v>0.0277777777777778</v>
      </c>
      <c r="CX68" s="11" t="n">
        <v>0</v>
      </c>
      <c r="CY68" s="11" t="n">
        <v>0.00671739304331617</v>
      </c>
      <c r="CZ68" s="11" t="n">
        <v>-0.0532456288139503</v>
      </c>
      <c r="DA68" s="11" t="n">
        <v>10.1692258655306</v>
      </c>
      <c r="DB68" s="11" t="n">
        <v>-0.00191164499795431</v>
      </c>
      <c r="DC68" s="11" t="n">
        <v>17.0501840218396</v>
      </c>
      <c r="DD68" s="11" t="n">
        <v>0.189267714607047</v>
      </c>
      <c r="DE68" s="11" t="n">
        <v>0.54639175257732</v>
      </c>
      <c r="DF68" s="11" t="n">
        <v>-0.00916129821645489</v>
      </c>
      <c r="DG68" s="11" t="n">
        <v>-0.0122111759650445</v>
      </c>
      <c r="DH68" s="11" t="n">
        <v>0.304987774858963</v>
      </c>
      <c r="DI68" s="11" t="n">
        <v>121.650590772833</v>
      </c>
      <c r="DJ68" s="11" t="n">
        <v>45.9323613591175</v>
      </c>
      <c r="DK68" s="11" t="n">
        <v>17.924611029817</v>
      </c>
      <c r="DL68" s="11" t="n">
        <v>49.05</v>
      </c>
      <c r="DM68" s="11" t="n">
        <v>0.701030927835051</v>
      </c>
      <c r="DN68" s="11" t="n">
        <v>0.649484536082474</v>
      </c>
      <c r="DO68" s="11" t="n">
        <v>-0.0120031081173676</v>
      </c>
      <c r="DP68" s="11" t="n">
        <v>0</v>
      </c>
      <c r="DQ68" s="11" t="n">
        <v>0</v>
      </c>
      <c r="DR68" s="11" t="n">
        <v>0</v>
      </c>
      <c r="DS68" s="11" t="n">
        <v>0</v>
      </c>
      <c r="DT68" s="11" t="n">
        <v>0</v>
      </c>
      <c r="DU68" s="11" t="n">
        <v>0</v>
      </c>
      <c r="DV68" s="11" t="n">
        <v>5</v>
      </c>
      <c r="DW68" s="11" t="s">
        <v>573</v>
      </c>
      <c r="DX68" s="11" t="n">
        <v>0.406307</v>
      </c>
      <c r="DY68" s="11" t="n">
        <v>0.0391298790520282</v>
      </c>
      <c r="DZ68" s="11" t="n">
        <v>0.773484120947972</v>
      </c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 t="n">
        <v>5.91103574419513</v>
      </c>
      <c r="EP68" s="11" t="n">
        <v>71.3780613054899</v>
      </c>
      <c r="EQ68" s="11" t="n">
        <v>1630.06616637908</v>
      </c>
      <c r="ER68" s="11" t="n">
        <v>4.71503201686867</v>
      </c>
      <c r="ES68" s="11" t="n">
        <v>4.71503201686867</v>
      </c>
      <c r="ET68" s="11" t="n">
        <v>2.20469245390616</v>
      </c>
      <c r="EU68" s="11" t="n">
        <v>52.7329429834502</v>
      </c>
      <c r="EV68" s="11" t="n">
        <v>52.7329429834502</v>
      </c>
      <c r="EW68" s="11" t="n">
        <v>473.719882928575</v>
      </c>
      <c r="EX68" s="11" t="n">
        <v>663.567335374482</v>
      </c>
      <c r="EY68" s="11" t="n">
        <v>1.33200523502731</v>
      </c>
      <c r="EZ68" s="11" t="n">
        <v>0.891252087896848</v>
      </c>
      <c r="FA68" s="11" t="n">
        <v>0.0498768318686703</v>
      </c>
      <c r="FB68" s="11" t="n">
        <v>1</v>
      </c>
      <c r="FC68" s="11" t="n">
        <v>0</v>
      </c>
      <c r="FD68" s="11" t="n">
        <v>0</v>
      </c>
      <c r="FE68" s="11" t="s">
        <v>574</v>
      </c>
      <c r="FF68" s="11" t="s">
        <v>225</v>
      </c>
      <c r="FG68" s="11" t="n">
        <v>97</v>
      </c>
      <c r="FH68" s="11" t="s">
        <v>575</v>
      </c>
      <c r="FI68" s="11" t="s">
        <v>59</v>
      </c>
      <c r="FJ68" s="11" t="n">
        <v>0.2</v>
      </c>
      <c r="FK68" s="11" t="n">
        <v>0.137744606602261</v>
      </c>
      <c r="FL68" s="11" t="n">
        <v>0.0763261641983731</v>
      </c>
      <c r="FM68" s="11" t="n">
        <v>0</v>
      </c>
      <c r="FN68" s="11" t="n">
        <v>1</v>
      </c>
      <c r="FO68" s="11" t="n">
        <v>0.741749979459755</v>
      </c>
      <c r="FP68" s="11" t="n">
        <v>0.588372249829665</v>
      </c>
      <c r="FQ68" s="11" t="n">
        <v>0.286082474226804</v>
      </c>
      <c r="FR68" s="11" t="n">
        <v>0</v>
      </c>
      <c r="FS68" s="11" t="n">
        <v>0.740009095026387</v>
      </c>
      <c r="FT68" s="11" t="n">
        <v>0.585679853290912</v>
      </c>
      <c r="FU68" s="11" t="n">
        <v>1</v>
      </c>
      <c r="FV68" s="11" t="n">
        <v>9.514529699441</v>
      </c>
      <c r="FW68" s="11" t="n">
        <v>248.173434373224</v>
      </c>
      <c r="FX68" s="11" t="n">
        <v>0.0210381877523195</v>
      </c>
      <c r="FY68" s="11" t="n">
        <v>1</v>
      </c>
      <c r="FZ68" s="11" t="n">
        <v>12</v>
      </c>
      <c r="GA68" s="11" t="n">
        <v>1</v>
      </c>
      <c r="GB68" s="11" t="s">
        <v>576</v>
      </c>
      <c r="GC68" s="11" t="n">
        <v>0.936289993758054</v>
      </c>
      <c r="GD68" s="11" t="n">
        <v>0.938134262242268</v>
      </c>
      <c r="GE68" s="11" t="n">
        <v>0.938144329896907</v>
      </c>
      <c r="GF68" s="11" t="n">
        <v>0.938144329896907</v>
      </c>
      <c r="GG68" s="11" t="n">
        <v>0</v>
      </c>
      <c r="GH68" s="11" t="n">
        <v>0</v>
      </c>
      <c r="GI68" s="11" t="n">
        <v>0.0775174091416459</v>
      </c>
      <c r="GJ68" s="11" t="n">
        <v>0.088648253302906</v>
      </c>
      <c r="GK68" s="11" t="n">
        <v>0.0866030407493416</v>
      </c>
      <c r="GL68" s="11" t="n">
        <v>0.0918079445272991</v>
      </c>
      <c r="GM68" s="11" t="n">
        <v>0.000176682101875799</v>
      </c>
      <c r="GN68" s="11" t="n">
        <v>6.29228414948454E-007</v>
      </c>
      <c r="GO68" s="11" t="n">
        <v>0.938144329896907</v>
      </c>
      <c r="GP68" s="11" t="n">
        <v>0.938144329896907</v>
      </c>
      <c r="GQ68" s="11" t="n">
        <v>-0.0374828539788723</v>
      </c>
      <c r="GR68" s="11" t="n">
        <v>1</v>
      </c>
      <c r="GS68" s="11" t="n">
        <v>1</v>
      </c>
      <c r="GT68" s="11" t="n">
        <v>0</v>
      </c>
      <c r="GU68" s="11" t="n">
        <v>0</v>
      </c>
      <c r="GV68" s="11" t="n">
        <v>1</v>
      </c>
      <c r="GW68" s="11" t="n">
        <v>1</v>
      </c>
      <c r="GX68" s="11" t="n">
        <v>1</v>
      </c>
      <c r="GY68" s="11" t="n">
        <v>1</v>
      </c>
      <c r="GZ68" s="11" t="n">
        <v>0</v>
      </c>
      <c r="HA68" s="11" t="n">
        <v>1</v>
      </c>
      <c r="HB68" s="11" t="n">
        <v>1</v>
      </c>
      <c r="HC68" s="11" t="n">
        <v>1</v>
      </c>
      <c r="HD68" s="11" t="n">
        <v>1</v>
      </c>
      <c r="HE68" s="11" t="n">
        <v>0</v>
      </c>
      <c r="HF68" s="11" t="n">
        <v>1</v>
      </c>
      <c r="HG68" s="11" t="n">
        <v>1</v>
      </c>
      <c r="HH68" s="11" t="n">
        <v>0</v>
      </c>
      <c r="HI68" s="11" t="n">
        <v>0</v>
      </c>
      <c r="HJ68" s="11" t="n">
        <v>0</v>
      </c>
      <c r="HK68" s="11" t="s">
        <v>1067</v>
      </c>
      <c r="HL68" s="11" t="s">
        <v>577</v>
      </c>
      <c r="HM68" s="11" t="n">
        <v>1</v>
      </c>
      <c r="HN68" s="11" t="s">
        <v>1037</v>
      </c>
      <c r="HO68" s="11" t="s">
        <v>1038</v>
      </c>
      <c r="HP68" s="11" t="s">
        <v>1038</v>
      </c>
      <c r="HQ68" s="11" t="n">
        <v>0</v>
      </c>
      <c r="HR68" s="11" t="s">
        <v>189</v>
      </c>
      <c r="HS68" s="11" t="s">
        <v>190</v>
      </c>
      <c r="HT68" s="11" t="s">
        <v>190</v>
      </c>
      <c r="HU68" s="11" t="s">
        <v>1068</v>
      </c>
      <c r="HV68" s="11" t="s">
        <v>1068</v>
      </c>
      <c r="HW68" s="11" t="s">
        <v>669</v>
      </c>
      <c r="HX68" s="11" t="s">
        <v>661</v>
      </c>
      <c r="HY68" s="11" t="s">
        <v>583</v>
      </c>
      <c r="HZ68" s="11" t="s">
        <v>1069</v>
      </c>
      <c r="IA68" s="11" t="s">
        <v>1066</v>
      </c>
      <c r="IB68" s="11" t="s">
        <v>1070</v>
      </c>
      <c r="IC68" s="11" t="s">
        <v>225</v>
      </c>
      <c r="ID68" s="11" t="s">
        <v>664</v>
      </c>
      <c r="IE68" s="11" t="s">
        <v>198</v>
      </c>
      <c r="IF68" s="11" t="s">
        <v>191</v>
      </c>
      <c r="IG68" s="11" t="s">
        <v>197</v>
      </c>
      <c r="IH68" s="11" t="s">
        <v>1048</v>
      </c>
    </row>
    <row r="69" customFormat="false" ht="15" hidden="false" customHeight="false" outlineLevel="0" collapsed="false">
      <c r="A69" s="11" t="s">
        <v>89</v>
      </c>
      <c r="B69" s="11" t="s">
        <v>1071</v>
      </c>
      <c r="C69" s="11" t="s">
        <v>1035</v>
      </c>
      <c r="D69" s="11" t="s">
        <v>570</v>
      </c>
      <c r="E69" s="11" t="s">
        <v>51</v>
      </c>
      <c r="F69" s="11"/>
      <c r="G69" s="11"/>
      <c r="H69" s="11" t="s">
        <v>1072</v>
      </c>
      <c r="I69" s="11" t="s">
        <v>229</v>
      </c>
      <c r="J69" s="11" t="n">
        <v>110</v>
      </c>
      <c r="K69" s="11" t="n">
        <v>3.66666666666667</v>
      </c>
      <c r="L69" s="11" t="n">
        <v>0.744912266731262</v>
      </c>
      <c r="M69" s="11" t="n">
        <v>0.797955393791199</v>
      </c>
      <c r="N69" s="11" t="n">
        <v>0</v>
      </c>
      <c r="O69" s="11" t="n">
        <v>1.11034015162982</v>
      </c>
      <c r="P69" s="11" t="n">
        <v>1.08344017811689</v>
      </c>
      <c r="Q69" s="11" t="n">
        <v>0.248277191314303</v>
      </c>
      <c r="R69" s="11" t="n">
        <v>0.218181818181818</v>
      </c>
      <c r="S69" s="11" t="n">
        <v>0.309090909090909</v>
      </c>
      <c r="T69" s="11" t="n">
        <v>0</v>
      </c>
      <c r="U69" s="11" t="n">
        <v>0</v>
      </c>
      <c r="V69" s="11" t="n">
        <v>0</v>
      </c>
      <c r="W69" s="11" t="n">
        <v>0.709090909090909</v>
      </c>
      <c r="X69" s="11" t="n">
        <v>0.4</v>
      </c>
      <c r="Y69" s="11" t="n">
        <v>0.545454545454545</v>
      </c>
      <c r="Z69" s="11" t="n">
        <v>0.7</v>
      </c>
      <c r="AA69" s="11" t="n">
        <v>0.163636363636364</v>
      </c>
      <c r="AB69" s="11" t="n">
        <v>0.00909090909090909</v>
      </c>
      <c r="AC69" s="11" t="n">
        <v>-0.00200014830029753</v>
      </c>
      <c r="AD69" s="11" t="n">
        <v>-0.00743762375082899</v>
      </c>
      <c r="AE69" s="11" t="n">
        <v>0.477777777777778</v>
      </c>
      <c r="AF69" s="11" t="n">
        <v>0.255555555555555</v>
      </c>
      <c r="AG69" s="11" t="n">
        <v>0.0111111111111111</v>
      </c>
      <c r="AH69" s="11" t="n">
        <v>0.309090909090909</v>
      </c>
      <c r="AI69" s="11" t="n">
        <v>0.163636363636364</v>
      </c>
      <c r="AJ69" s="11" t="n">
        <v>0.00909090909090909</v>
      </c>
      <c r="AK69" s="11" t="n">
        <v>0.409174322278668</v>
      </c>
      <c r="AL69" s="11" t="n">
        <v>0</v>
      </c>
      <c r="AM69" s="11" t="n">
        <v>0</v>
      </c>
      <c r="AN69" s="11" t="n">
        <v>0</v>
      </c>
      <c r="AO69" s="11"/>
      <c r="AP69" s="11"/>
      <c r="AQ69" s="11"/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0.00619025819574997</v>
      </c>
      <c r="AZ69" s="11" t="n">
        <v>0.0148200867941165</v>
      </c>
      <c r="BA69" s="11"/>
      <c r="BB69" s="11" t="n">
        <v>0.690909090909091</v>
      </c>
      <c r="BC69" s="11" t="n">
        <v>0.836363636363636</v>
      </c>
      <c r="BD69" s="11" t="n">
        <v>0.781818181818182</v>
      </c>
      <c r="BE69" s="11" t="n">
        <v>0.872727272727273</v>
      </c>
      <c r="BF69" s="11" t="n">
        <v>0.827272727272727</v>
      </c>
      <c r="BG69" s="11" t="n">
        <v>0.945454545454545</v>
      </c>
      <c r="BH69" s="11" t="n">
        <v>0.909090909090909</v>
      </c>
      <c r="BI69" s="11" t="n">
        <v>0.990909090909091</v>
      </c>
      <c r="BJ69" s="11" t="n">
        <v>0.122971898370632</v>
      </c>
      <c r="BK69" s="11" t="n">
        <v>0.0709639829354731</v>
      </c>
      <c r="BL69" s="11" t="n">
        <v>0.121749674061968</v>
      </c>
      <c r="BM69" s="11" t="n">
        <v>0.0618204883942871</v>
      </c>
      <c r="BN69" s="11" t="n">
        <v>0.389596636422306</v>
      </c>
      <c r="BO69" s="11" t="n">
        <v>0.337386734124091</v>
      </c>
      <c r="BP69" s="11" t="n">
        <v>0.00793916471998241</v>
      </c>
      <c r="BQ69" s="11" t="n">
        <v>0.00577083693877886</v>
      </c>
      <c r="BR69" s="11" t="n">
        <v>3.0357299927688</v>
      </c>
      <c r="BS69" s="11" t="n">
        <v>11.6294700182978</v>
      </c>
      <c r="BT69" s="11" t="n">
        <v>13.018311344865</v>
      </c>
      <c r="BU69" s="11" t="n">
        <v>12.2971898370632</v>
      </c>
      <c r="BV69" s="11" t="n">
        <v>6.97574248084369</v>
      </c>
      <c r="BW69" s="11" t="n">
        <v>7.68449182659746</v>
      </c>
      <c r="BX69" s="11" t="n">
        <v>3.31180988139504</v>
      </c>
      <c r="BY69" s="11" t="n">
        <v>2.97191084637045</v>
      </c>
      <c r="BZ69" s="11" t="n">
        <v>0.618181818181818</v>
      </c>
      <c r="CA69" s="11" t="n">
        <v>0.838235294117647</v>
      </c>
      <c r="CB69" s="11" t="n">
        <v>0.5</v>
      </c>
      <c r="CC69" s="11" t="n">
        <v>0.676470588235294</v>
      </c>
      <c r="CD69" s="11" t="n">
        <v>0.838235294117647</v>
      </c>
      <c r="CE69" s="11" t="n">
        <v>0.618181818181818</v>
      </c>
      <c r="CF69" s="11" t="n">
        <v>5</v>
      </c>
      <c r="CG69" s="11" t="n">
        <v>0</v>
      </c>
      <c r="CH69" s="11" t="n">
        <v>0.838235294117647</v>
      </c>
      <c r="CI69" s="11" t="n">
        <v>0.676470588235294</v>
      </c>
      <c r="CJ69" s="11" t="n">
        <v>0.838235294117647</v>
      </c>
      <c r="CK69" s="11" t="n">
        <v>0.5</v>
      </c>
      <c r="CL69" s="11" t="n">
        <v>0.238095238095238</v>
      </c>
      <c r="CM69" s="11" t="n">
        <v>0.333333333333333</v>
      </c>
      <c r="CN69" s="11" t="n">
        <v>0.476190476190476</v>
      </c>
      <c r="CO69" s="11" t="n">
        <v>0</v>
      </c>
      <c r="CP69" s="11" t="n">
        <v>0</v>
      </c>
      <c r="CQ69" s="11" t="n">
        <v>0</v>
      </c>
      <c r="CR69" s="11" t="n">
        <v>0</v>
      </c>
      <c r="CS69" s="11" t="n">
        <v>0.84</v>
      </c>
      <c r="CT69" s="11" t="n">
        <v>0.4</v>
      </c>
      <c r="CU69" s="11" t="n">
        <v>0.56</v>
      </c>
      <c r="CV69" s="11" t="n">
        <v>0.8</v>
      </c>
      <c r="CW69" s="11" t="n">
        <v>0</v>
      </c>
      <c r="CX69" s="11" t="n">
        <v>0</v>
      </c>
      <c r="CY69" s="11" t="n">
        <v>0.00786992736400769</v>
      </c>
      <c r="CZ69" s="11" t="n">
        <v>-0.0554805087432686</v>
      </c>
      <c r="DA69" s="11" t="n">
        <v>6.13578695982768</v>
      </c>
      <c r="DB69" s="11" t="n">
        <v>-0.00642554195545382</v>
      </c>
      <c r="DC69" s="11" t="n">
        <v>11.7016682094798</v>
      </c>
      <c r="DD69" s="11" t="n">
        <v>0.305022185482911</v>
      </c>
      <c r="DE69" s="11" t="n">
        <v>0.418181818181818</v>
      </c>
      <c r="DF69" s="11" t="n">
        <v>-0.00558599175873937</v>
      </c>
      <c r="DG69" s="11" t="n">
        <v>-0.00638804395371156</v>
      </c>
      <c r="DH69" s="11" t="n">
        <v>0.0802052194972193</v>
      </c>
      <c r="DI69" s="11" t="n">
        <v>97.537358377557</v>
      </c>
      <c r="DJ69" s="11" t="n">
        <v>56.2569578357221</v>
      </c>
      <c r="DK69" s="11" t="n">
        <v>4.84926885722833</v>
      </c>
      <c r="DL69" s="11" t="n">
        <v>49.05</v>
      </c>
      <c r="DM69" s="11" t="n">
        <v>0.6</v>
      </c>
      <c r="DN69" s="11" t="n">
        <v>0.490909090909091</v>
      </c>
      <c r="DO69" s="11" t="n">
        <v>-0.0144575755561275</v>
      </c>
      <c r="DP69" s="11" t="n">
        <v>0</v>
      </c>
      <c r="DQ69" s="11" t="n">
        <v>0</v>
      </c>
      <c r="DR69" s="11" t="n">
        <v>0</v>
      </c>
      <c r="DS69" s="11" t="n">
        <v>0</v>
      </c>
      <c r="DT69" s="11" t="n">
        <v>0</v>
      </c>
      <c r="DU69" s="11" t="n">
        <v>0</v>
      </c>
      <c r="DV69" s="11" t="n">
        <v>5</v>
      </c>
      <c r="DW69" s="11" t="s">
        <v>573</v>
      </c>
      <c r="DX69" s="11" t="n">
        <v>0.406307</v>
      </c>
      <c r="DY69" s="11" t="n">
        <v>0.0331925404707268</v>
      </c>
      <c r="DZ69" s="11" t="n">
        <v>0.779421459529273</v>
      </c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 t="n">
        <v>4.97407642846587</v>
      </c>
      <c r="EP69" s="11" t="n">
        <v>58.3527969454514</v>
      </c>
      <c r="EQ69" s="11" t="n">
        <v>1383.15443341</v>
      </c>
      <c r="ER69" s="11" t="n">
        <v>2.97979216087803</v>
      </c>
      <c r="ES69" s="11" t="n">
        <v>2.97979216087803</v>
      </c>
      <c r="ET69" s="11" t="n">
        <v>1.19833732136165</v>
      </c>
      <c r="EU69" s="11" t="n">
        <v>37.9779425208889</v>
      </c>
      <c r="EV69" s="11" t="n">
        <v>37.9779425208889</v>
      </c>
      <c r="EW69" s="11" t="n">
        <v>391.192356722912</v>
      </c>
      <c r="EX69" s="11" t="n">
        <v>527.147386418284</v>
      </c>
      <c r="EY69" s="11" t="n">
        <v>0.871426062158413</v>
      </c>
      <c r="EZ69" s="11" t="n">
        <v>0.716658452378736</v>
      </c>
      <c r="FA69" s="11" t="n">
        <v>0.0490998789159133</v>
      </c>
      <c r="FB69" s="11" t="n">
        <v>1</v>
      </c>
      <c r="FC69" s="11" t="n">
        <v>0</v>
      </c>
      <c r="FD69" s="11" t="n">
        <v>0</v>
      </c>
      <c r="FE69" s="11" t="s">
        <v>574</v>
      </c>
      <c r="FF69" s="11" t="s">
        <v>230</v>
      </c>
      <c r="FG69" s="11" t="n">
        <v>110</v>
      </c>
      <c r="FH69" s="11" t="s">
        <v>575</v>
      </c>
      <c r="FI69" s="11" t="s">
        <v>59</v>
      </c>
      <c r="FJ69" s="11" t="n">
        <v>0.2</v>
      </c>
      <c r="FK69" s="11" t="n">
        <v>0.123344420275915</v>
      </c>
      <c r="FL69" s="11" t="n">
        <v>0.0748552420230094</v>
      </c>
      <c r="FM69" s="11" t="n">
        <v>0</v>
      </c>
      <c r="FN69" s="11" t="n">
        <v>1</v>
      </c>
      <c r="FO69" s="11" t="n">
        <v>0.490814415204982</v>
      </c>
      <c r="FP69" s="11" t="n">
        <v>0.393940735860523</v>
      </c>
      <c r="FQ69" s="11" t="n">
        <v>0.0909090909090909</v>
      </c>
      <c r="FR69" s="11" t="n">
        <v>0</v>
      </c>
      <c r="FS69" s="11" t="n">
        <v>0.48771291896909</v>
      </c>
      <c r="FT69" s="11" t="n">
        <v>0.393929355277356</v>
      </c>
      <c r="FU69" s="11" t="n">
        <v>1</v>
      </c>
      <c r="FV69" s="11" t="n">
        <v>6.79461063809676</v>
      </c>
      <c r="FW69" s="11" t="n">
        <v>212.309362408183</v>
      </c>
      <c r="FX69" s="11" t="n">
        <v>0.0142379287512456</v>
      </c>
      <c r="FY69" s="11" t="n">
        <v>1</v>
      </c>
      <c r="FZ69" s="11" t="n">
        <v>25</v>
      </c>
      <c r="GA69" s="11" t="n">
        <v>1</v>
      </c>
      <c r="GB69" s="11" t="s">
        <v>576</v>
      </c>
      <c r="GC69" s="11" t="n">
        <v>0.944629183682528</v>
      </c>
      <c r="GD69" s="11" t="n">
        <v>0.945454545454545</v>
      </c>
      <c r="GE69" s="11" t="n">
        <v>0.945454545454545</v>
      </c>
      <c r="GF69" s="11" t="n">
        <v>0.945454545454545</v>
      </c>
      <c r="GG69" s="11" t="n">
        <v>0</v>
      </c>
      <c r="GH69" s="11" t="n">
        <v>0</v>
      </c>
      <c r="GI69" s="11" t="n">
        <v>0.0683435432221979</v>
      </c>
      <c r="GJ69" s="11" t="n">
        <v>0.0815868691964583</v>
      </c>
      <c r="GK69" s="11" t="n">
        <v>0.0787378228520207</v>
      </c>
      <c r="GL69" s="11" t="n">
        <v>0.0831152734092691</v>
      </c>
      <c r="GM69" s="11" t="n">
        <v>0.000114735694602463</v>
      </c>
      <c r="GN69" s="11" t="n">
        <v>0</v>
      </c>
      <c r="GO69" s="11" t="n">
        <v>0.945454545454545</v>
      </c>
      <c r="GP69" s="11" t="n">
        <v>0.945454545454545</v>
      </c>
      <c r="GQ69" s="11" t="n">
        <v>-0.0319663845002651</v>
      </c>
      <c r="GR69" s="11" t="n">
        <v>1</v>
      </c>
      <c r="GS69" s="11" t="n">
        <v>1</v>
      </c>
      <c r="GT69" s="11" t="n">
        <v>0</v>
      </c>
      <c r="GU69" s="11" t="n">
        <v>0</v>
      </c>
      <c r="GV69" s="11" t="n">
        <v>1</v>
      </c>
      <c r="GW69" s="11" t="n">
        <v>1</v>
      </c>
      <c r="GX69" s="11" t="n">
        <v>1</v>
      </c>
      <c r="GY69" s="11" t="n">
        <v>0</v>
      </c>
      <c r="GZ69" s="11" t="n">
        <v>1</v>
      </c>
      <c r="HA69" s="11" t="n">
        <v>1</v>
      </c>
      <c r="HB69" s="11" t="n">
        <v>1</v>
      </c>
      <c r="HC69" s="11" t="n">
        <v>1</v>
      </c>
      <c r="HD69" s="11" t="n">
        <v>1</v>
      </c>
      <c r="HE69" s="11" t="n">
        <v>1</v>
      </c>
      <c r="HF69" s="11" t="n">
        <v>1</v>
      </c>
      <c r="HG69" s="11" t="n">
        <v>1</v>
      </c>
      <c r="HH69" s="11" t="n">
        <v>0</v>
      </c>
      <c r="HI69" s="11" t="n">
        <v>0</v>
      </c>
      <c r="HJ69" s="11" t="n">
        <v>0</v>
      </c>
      <c r="HK69" s="11" t="s">
        <v>137</v>
      </c>
      <c r="HL69" s="11" t="s">
        <v>577</v>
      </c>
      <c r="HM69" s="11" t="n">
        <v>1</v>
      </c>
      <c r="HN69" s="11" t="s">
        <v>1037</v>
      </c>
      <c r="HO69" s="11" t="s">
        <v>1038</v>
      </c>
      <c r="HP69" s="11" t="s">
        <v>1038</v>
      </c>
      <c r="HQ69" s="11" t="n">
        <v>0</v>
      </c>
      <c r="HR69" s="11" t="s">
        <v>189</v>
      </c>
      <c r="HS69" s="11" t="s">
        <v>190</v>
      </c>
      <c r="HT69" s="11" t="s">
        <v>190</v>
      </c>
      <c r="HU69" s="11" t="s">
        <v>1073</v>
      </c>
      <c r="HV69" s="11" t="s">
        <v>1073</v>
      </c>
      <c r="HW69" s="11" t="s">
        <v>684</v>
      </c>
      <c r="HX69" s="11" t="s">
        <v>677</v>
      </c>
      <c r="HY69" s="11" t="s">
        <v>583</v>
      </c>
      <c r="HZ69" s="11" t="s">
        <v>1074</v>
      </c>
      <c r="IA69" s="11" t="s">
        <v>1072</v>
      </c>
      <c r="IB69" s="11" t="s">
        <v>1075</v>
      </c>
      <c r="IC69" s="11" t="s">
        <v>230</v>
      </c>
      <c r="ID69" s="11" t="s">
        <v>680</v>
      </c>
      <c r="IE69" s="11" t="s">
        <v>198</v>
      </c>
      <c r="IF69" s="11" t="s">
        <v>205</v>
      </c>
      <c r="IG69" s="11" t="s">
        <v>211</v>
      </c>
      <c r="IH69" s="11" t="s">
        <v>1048</v>
      </c>
    </row>
    <row r="70" customFormat="false" ht="15" hidden="false" customHeight="false" outlineLevel="0" collapsed="false">
      <c r="A70" s="11" t="s">
        <v>90</v>
      </c>
      <c r="B70" s="11" t="s">
        <v>1076</v>
      </c>
      <c r="C70" s="11" t="s">
        <v>1035</v>
      </c>
      <c r="D70" s="11" t="s">
        <v>570</v>
      </c>
      <c r="E70" s="11" t="s">
        <v>91</v>
      </c>
      <c r="F70" s="11"/>
      <c r="G70" s="11"/>
      <c r="H70" s="11" t="s">
        <v>1077</v>
      </c>
      <c r="I70" s="11" t="s">
        <v>234</v>
      </c>
      <c r="J70" s="11" t="n">
        <v>79</v>
      </c>
      <c r="K70" s="11" t="n">
        <v>2.63333333333333</v>
      </c>
      <c r="L70" s="11" t="n">
        <v>0.639270782470703</v>
      </c>
      <c r="M70" s="11" t="n">
        <v>0.829357147216797</v>
      </c>
      <c r="N70" s="11" t="n">
        <v>0</v>
      </c>
      <c r="O70" s="11" t="n">
        <v>0.59298614179423</v>
      </c>
      <c r="P70" s="11" t="n">
        <v>0.508654150170067</v>
      </c>
      <c r="Q70" s="11" t="n">
        <v>0.362898308282791</v>
      </c>
      <c r="R70" s="11" t="n">
        <v>0.30379746835443</v>
      </c>
      <c r="S70" s="11" t="n">
        <v>0.367088607594937</v>
      </c>
      <c r="T70" s="11" t="n">
        <v>0.0253164556962025</v>
      </c>
      <c r="U70" s="11" t="n">
        <v>0</v>
      </c>
      <c r="V70" s="11" t="n">
        <v>0</v>
      </c>
      <c r="W70" s="11" t="n">
        <v>0.468354430379747</v>
      </c>
      <c r="X70" s="11" t="n">
        <v>0.443037974683544</v>
      </c>
      <c r="Y70" s="11" t="n">
        <v>0.443037974683544</v>
      </c>
      <c r="Z70" s="11" t="n">
        <v>0.468354430379747</v>
      </c>
      <c r="AA70" s="11" t="n">
        <v>0.0253164556962025</v>
      </c>
      <c r="AB70" s="11" t="n">
        <v>0</v>
      </c>
      <c r="AC70" s="11" t="n">
        <v>-0.000870865505861396</v>
      </c>
      <c r="AD70" s="11" t="n">
        <v>-0.0036036684897171</v>
      </c>
      <c r="AE70" s="11" t="n">
        <v>0.0540540540540541</v>
      </c>
      <c r="AF70" s="11" t="n">
        <v>0.0540540540540541</v>
      </c>
      <c r="AG70" s="11" t="n">
        <v>0</v>
      </c>
      <c r="AH70" s="11" t="n">
        <v>0.0253164556962025</v>
      </c>
      <c r="AI70" s="11" t="n">
        <v>0.0253164556962025</v>
      </c>
      <c r="AJ70" s="11" t="n">
        <v>0</v>
      </c>
      <c r="AK70" s="11" t="n">
        <v>0.137809353852381</v>
      </c>
      <c r="AL70" s="11" t="n">
        <v>0</v>
      </c>
      <c r="AM70" s="11" t="n">
        <v>0</v>
      </c>
      <c r="AN70" s="11" t="n">
        <v>0</v>
      </c>
      <c r="AO70" s="11"/>
      <c r="AP70" s="11"/>
      <c r="AQ70" s="11"/>
      <c r="AR70" s="11" t="n">
        <v>0</v>
      </c>
      <c r="AS70" s="11" t="n">
        <v>0</v>
      </c>
      <c r="AT70" s="11" t="n">
        <v>0</v>
      </c>
      <c r="AU70" s="11" t="n">
        <v>0</v>
      </c>
      <c r="AV70" s="11" t="n">
        <v>0</v>
      </c>
      <c r="AW70" s="11" t="n">
        <v>0</v>
      </c>
      <c r="AX70" s="11" t="n">
        <v>0</v>
      </c>
      <c r="AY70" s="11" t="n">
        <v>0.00614355152718223</v>
      </c>
      <c r="AZ70" s="11" t="n">
        <v>0.017454827373982</v>
      </c>
      <c r="BA70" s="11"/>
      <c r="BB70" s="11" t="n">
        <v>0</v>
      </c>
      <c r="BC70" s="11" t="n">
        <v>0.556962025316456</v>
      </c>
      <c r="BD70" s="11" t="n">
        <v>0</v>
      </c>
      <c r="BE70" s="11" t="n">
        <v>0.569620253164557</v>
      </c>
      <c r="BF70" s="11" t="n">
        <v>0.367088607594937</v>
      </c>
      <c r="BG70" s="11" t="n">
        <v>0.582278481012658</v>
      </c>
      <c r="BH70" s="11" t="n">
        <v>0.518987341772152</v>
      </c>
      <c r="BI70" s="11" t="n">
        <v>0.594936708860759</v>
      </c>
      <c r="BJ70" s="11" t="n">
        <v>0.0855354936958212</v>
      </c>
      <c r="BK70" s="11" t="n">
        <v>0.0301518600239551</v>
      </c>
      <c r="BL70" s="11" t="n">
        <v>0.148978035164372</v>
      </c>
      <c r="BM70" s="11" t="n">
        <v>0.0644833286509703</v>
      </c>
      <c r="BN70" s="11" t="n">
        <v>0.555465389506464</v>
      </c>
      <c r="BO70" s="11" t="n">
        <v>0.395535046325765</v>
      </c>
      <c r="BP70" s="11" t="n">
        <v>0.0187859406837546</v>
      </c>
      <c r="BQ70" s="11" t="n">
        <v>0.00924850099916812</v>
      </c>
      <c r="BR70" s="11" t="n">
        <v>4.15908397901748</v>
      </c>
      <c r="BS70" s="11" t="n">
        <v>10.534699672416</v>
      </c>
      <c r="BT70" s="11" t="n">
        <v>12.6264834537271</v>
      </c>
      <c r="BU70" s="11" t="n">
        <v>8.55354936958212</v>
      </c>
      <c r="BV70" s="11" t="n">
        <v>8.53581265506937</v>
      </c>
      <c r="BW70" s="11" t="n">
        <v>8.80393198943889</v>
      </c>
      <c r="BX70" s="11" t="n">
        <v>5.63277967439114</v>
      </c>
      <c r="BY70" s="11" t="n">
        <v>4.61279418973698</v>
      </c>
      <c r="BZ70" s="11" t="n">
        <v>0.620253164556962</v>
      </c>
      <c r="CA70" s="11" t="n">
        <v>0.755102040816326</v>
      </c>
      <c r="CB70" s="11" t="n">
        <v>0.714285714285714</v>
      </c>
      <c r="CC70" s="11" t="n">
        <v>0.714285714285714</v>
      </c>
      <c r="CD70" s="11" t="n">
        <v>0.755102040816326</v>
      </c>
      <c r="CE70" s="11" t="n">
        <v>0.620253164556962</v>
      </c>
      <c r="CF70" s="11" t="n">
        <v>5</v>
      </c>
      <c r="CG70" s="11" t="n">
        <v>0</v>
      </c>
      <c r="CH70" s="11" t="n">
        <v>0.755102040816326</v>
      </c>
      <c r="CI70" s="11" t="n">
        <v>0.714285714285714</v>
      </c>
      <c r="CJ70" s="11" t="n">
        <v>0.755102040816326</v>
      </c>
      <c r="CK70" s="11" t="n">
        <v>0</v>
      </c>
      <c r="CL70" s="11" t="n">
        <v>0</v>
      </c>
      <c r="CM70" s="11" t="n">
        <v>0</v>
      </c>
      <c r="CN70" s="11" t="n">
        <v>0</v>
      </c>
      <c r="CO70" s="11" t="n">
        <v>0</v>
      </c>
      <c r="CP70" s="11" t="n">
        <v>0</v>
      </c>
      <c r="CQ70" s="11" t="n">
        <v>0</v>
      </c>
      <c r="CR70" s="11" t="n">
        <v>0</v>
      </c>
      <c r="CS70" s="11" t="n">
        <v>0</v>
      </c>
      <c r="CT70" s="11" t="n">
        <v>0</v>
      </c>
      <c r="CU70" s="11" t="n">
        <v>0</v>
      </c>
      <c r="CV70" s="11" t="n">
        <v>0</v>
      </c>
      <c r="CW70" s="11" t="n">
        <v>0.0408163265306122</v>
      </c>
      <c r="CX70" s="11" t="n">
        <v>0</v>
      </c>
      <c r="CY70" s="11" t="n">
        <v>-0.000913637197414535</v>
      </c>
      <c r="CZ70" s="11" t="n">
        <v>-0.146549237332303</v>
      </c>
      <c r="DA70" s="11" t="n">
        <v>5.76630132603387</v>
      </c>
      <c r="DB70" s="11" t="n">
        <v>-0.0413150603849606</v>
      </c>
      <c r="DC70" s="11" t="n">
        <v>11.6000521389639</v>
      </c>
      <c r="DD70" s="11" t="n">
        <v>0.498267706516902</v>
      </c>
      <c r="DE70" s="11" t="n">
        <v>0.354430379746835</v>
      </c>
      <c r="DF70" s="11" t="n">
        <v>-0.0294037568806813</v>
      </c>
      <c r="DG70" s="11" t="n">
        <v>-0.048718560373465</v>
      </c>
      <c r="DH70" s="11" t="n">
        <v>1.93148034927836</v>
      </c>
      <c r="DI70" s="11" t="n">
        <v>103.030390525207</v>
      </c>
      <c r="DJ70" s="11" t="n">
        <v>100.142159391101</v>
      </c>
      <c r="DK70" s="11" t="n">
        <v>9.96157905943771</v>
      </c>
      <c r="DL70" s="11" t="n">
        <v>49.05</v>
      </c>
      <c r="DM70" s="11" t="n">
        <v>0.253164556962025</v>
      </c>
      <c r="DN70" s="11" t="n">
        <v>0.0253164556962025</v>
      </c>
      <c r="DO70" s="11" t="n">
        <v>-0.00455305306521348</v>
      </c>
      <c r="DP70" s="11" t="n">
        <v>0</v>
      </c>
      <c r="DQ70" s="11" t="n">
        <v>0</v>
      </c>
      <c r="DR70" s="11" t="n">
        <v>0</v>
      </c>
      <c r="DS70" s="11" t="n">
        <v>0</v>
      </c>
      <c r="DT70" s="11" t="n">
        <v>0</v>
      </c>
      <c r="DU70" s="11" t="n">
        <v>0</v>
      </c>
      <c r="DV70" s="11" t="n">
        <v>5</v>
      </c>
      <c r="DW70" s="11" t="s">
        <v>690</v>
      </c>
      <c r="DX70" s="11" t="n">
        <v>0.195506</v>
      </c>
      <c r="DY70" s="11" t="n">
        <v>-0.0750600903209566</v>
      </c>
      <c r="DZ70" s="11" t="n">
        <v>0.466072090320957</v>
      </c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 t="n">
        <v>11.6017863494571</v>
      </c>
      <c r="EP70" s="11" t="n">
        <v>70.5890732161951</v>
      </c>
      <c r="EQ70" s="11" t="n">
        <v>1718.75813270978</v>
      </c>
      <c r="ER70" s="11" t="n">
        <v>2.09221498884626</v>
      </c>
      <c r="ES70" s="11" t="n">
        <v>1.93644745746363</v>
      </c>
      <c r="ET70" s="11" t="n">
        <v>2.09221498884626</v>
      </c>
      <c r="EU70" s="11" t="n">
        <v>45.8251736137518</v>
      </c>
      <c r="EV70" s="11" t="n">
        <v>45.8251736137518</v>
      </c>
      <c r="EW70" s="11" t="n">
        <v>594.980665827868</v>
      </c>
      <c r="EX70" s="11" t="n">
        <v>669.841203477205</v>
      </c>
      <c r="EY70" s="11" t="n">
        <v>1.04225058042589</v>
      </c>
      <c r="EZ70" s="11" t="n">
        <v>0.618991268136043</v>
      </c>
      <c r="FA70" s="11" t="n">
        <v>0.0494213660903925</v>
      </c>
      <c r="FB70" s="11" t="n">
        <v>0.873417721518987</v>
      </c>
      <c r="FC70" s="11" t="n">
        <v>0</v>
      </c>
      <c r="FD70" s="11" t="n">
        <v>0</v>
      </c>
      <c r="FE70" s="11" t="s">
        <v>574</v>
      </c>
      <c r="FF70" s="11" t="s">
        <v>235</v>
      </c>
      <c r="FG70" s="11" t="n">
        <v>79</v>
      </c>
      <c r="FH70" s="11" t="s">
        <v>575</v>
      </c>
      <c r="FI70" s="11" t="s">
        <v>59</v>
      </c>
      <c r="FJ70" s="11" t="n">
        <v>0.2</v>
      </c>
      <c r="FK70" s="11" t="n">
        <v>0.155696188709625</v>
      </c>
      <c r="FL70" s="11" t="n">
        <v>0.11383148336184</v>
      </c>
      <c r="FM70" s="11" t="n">
        <v>0</v>
      </c>
      <c r="FN70" s="11" t="n">
        <v>1</v>
      </c>
      <c r="FO70" s="11" t="n">
        <v>0.270691412770229</v>
      </c>
      <c r="FP70" s="11" t="n">
        <v>0.212995103530804</v>
      </c>
      <c r="FQ70" s="11" t="n">
        <v>0</v>
      </c>
      <c r="FR70" s="11" t="n">
        <v>1</v>
      </c>
      <c r="FS70" s="11" t="n">
        <v>0.270654474725469</v>
      </c>
      <c r="FT70" s="11" t="n">
        <v>0.200332788891977</v>
      </c>
      <c r="FU70" s="11" t="n">
        <v>0</v>
      </c>
      <c r="FV70" s="11" t="n">
        <v>10.3421064319407</v>
      </c>
      <c r="FW70" s="11" t="n">
        <v>300.981564905324</v>
      </c>
      <c r="FX70" s="11" t="n">
        <v>0.0338332082840491</v>
      </c>
      <c r="FY70" s="11" t="n">
        <v>1</v>
      </c>
      <c r="FZ70" s="11" t="n">
        <v>14</v>
      </c>
      <c r="GA70" s="11" t="n">
        <v>1</v>
      </c>
      <c r="GB70" s="11" t="s">
        <v>576</v>
      </c>
      <c r="GC70" s="11" t="n">
        <v>0.924050632911392</v>
      </c>
      <c r="GD70" s="11" t="n">
        <v>0.924050632911392</v>
      </c>
      <c r="GE70" s="11" t="n">
        <v>0.924050632911392</v>
      </c>
      <c r="GF70" s="11" t="n">
        <v>0.924050632911392</v>
      </c>
      <c r="GG70" s="11" t="n">
        <v>0</v>
      </c>
      <c r="GH70" s="11" t="n">
        <v>0</v>
      </c>
      <c r="GI70" s="11" t="n">
        <v>0.209523743444382</v>
      </c>
      <c r="GJ70" s="11" t="n">
        <v>0.228338266003735</v>
      </c>
      <c r="GK70" s="11" t="n">
        <v>0.222821199668194</v>
      </c>
      <c r="GL70" s="11" t="n">
        <v>0.232004827242109</v>
      </c>
      <c r="GM70" s="11" t="n">
        <v>0</v>
      </c>
      <c r="GN70" s="11" t="n">
        <v>0</v>
      </c>
      <c r="GO70" s="11" t="n">
        <v>0.924050632911392</v>
      </c>
      <c r="GP70" s="11" t="n">
        <v>0.924050632911392</v>
      </c>
      <c r="GQ70" s="11" t="n">
        <v>0</v>
      </c>
      <c r="GR70" s="11" t="n">
        <v>1</v>
      </c>
      <c r="GS70" s="11" t="n">
        <v>1</v>
      </c>
      <c r="GT70" s="11" t="n">
        <v>0</v>
      </c>
      <c r="GU70" s="11" t="n">
        <v>0</v>
      </c>
      <c r="GV70" s="11" t="n">
        <v>1</v>
      </c>
      <c r="GW70" s="11" t="n">
        <v>1</v>
      </c>
      <c r="GX70" s="11" t="n">
        <v>1</v>
      </c>
      <c r="GY70" s="11" t="n">
        <v>1</v>
      </c>
      <c r="GZ70" s="11" t="n">
        <v>1</v>
      </c>
      <c r="HA70" s="11" t="n">
        <v>1</v>
      </c>
      <c r="HB70" s="11" t="n">
        <v>1</v>
      </c>
      <c r="HC70" s="11" t="n">
        <v>1</v>
      </c>
      <c r="HD70" s="11" t="n">
        <v>1</v>
      </c>
      <c r="HE70" s="11" t="n">
        <v>1</v>
      </c>
      <c r="HF70" s="11" t="n">
        <v>1</v>
      </c>
      <c r="HG70" s="11" t="n">
        <v>1</v>
      </c>
      <c r="HH70" s="11" t="n">
        <v>1</v>
      </c>
      <c r="HI70" s="11" t="n">
        <v>1</v>
      </c>
      <c r="HJ70" s="11" t="n">
        <v>1</v>
      </c>
      <c r="HK70" s="11"/>
      <c r="HL70" s="11" t="s">
        <v>577</v>
      </c>
      <c r="HM70" s="11" t="n">
        <v>1</v>
      </c>
      <c r="HN70" s="11" t="s">
        <v>1037</v>
      </c>
      <c r="HO70" s="11" t="s">
        <v>1038</v>
      </c>
      <c r="HP70" s="11" t="s">
        <v>1038</v>
      </c>
      <c r="HQ70" s="11" t="n">
        <v>0</v>
      </c>
      <c r="HR70" s="11" t="s">
        <v>189</v>
      </c>
      <c r="HS70" s="11" t="s">
        <v>190</v>
      </c>
      <c r="HT70" s="11" t="s">
        <v>190</v>
      </c>
      <c r="HU70" s="11" t="s">
        <v>1078</v>
      </c>
      <c r="HV70" s="11" t="s">
        <v>1078</v>
      </c>
      <c r="HW70" s="11" t="s">
        <v>700</v>
      </c>
      <c r="HX70" s="11" t="s">
        <v>693</v>
      </c>
      <c r="HY70" s="11" t="s">
        <v>583</v>
      </c>
      <c r="HZ70" s="11" t="s">
        <v>1079</v>
      </c>
      <c r="IA70" s="11" t="s">
        <v>1077</v>
      </c>
      <c r="IB70" s="11" t="s">
        <v>1080</v>
      </c>
      <c r="IC70" s="11" t="s">
        <v>235</v>
      </c>
      <c r="ID70" s="11" t="s">
        <v>696</v>
      </c>
      <c r="IE70" s="11" t="s">
        <v>198</v>
      </c>
      <c r="IF70" s="11" t="s">
        <v>191</v>
      </c>
      <c r="IG70" s="11" t="s">
        <v>237</v>
      </c>
      <c r="IH70" s="11" t="s">
        <v>1048</v>
      </c>
    </row>
    <row r="71" customFormat="false" ht="15" hidden="false" customHeight="false" outlineLevel="0" collapsed="false">
      <c r="A71" s="11" t="s">
        <v>92</v>
      </c>
      <c r="B71" s="11" t="s">
        <v>1081</v>
      </c>
      <c r="C71" s="11" t="s">
        <v>1035</v>
      </c>
      <c r="D71" s="11" t="s">
        <v>570</v>
      </c>
      <c r="E71" s="11" t="s">
        <v>91</v>
      </c>
      <c r="F71" s="11"/>
      <c r="G71" s="11"/>
      <c r="H71" s="11" t="s">
        <v>1082</v>
      </c>
      <c r="I71" s="11" t="s">
        <v>240</v>
      </c>
      <c r="J71" s="11" t="n">
        <v>130</v>
      </c>
      <c r="K71" s="11" t="n">
        <v>4.33333333333333</v>
      </c>
      <c r="L71" s="11" t="n">
        <v>0.599956691265106</v>
      </c>
      <c r="M71" s="11" t="n">
        <v>0.841828048229218</v>
      </c>
      <c r="N71" s="11" t="n">
        <v>0</v>
      </c>
      <c r="O71" s="11" t="n">
        <v>1.81076845706529</v>
      </c>
      <c r="P71" s="11" t="n">
        <v>1.78903381200025</v>
      </c>
      <c r="Q71" s="11" t="n">
        <v>0.493564653351382</v>
      </c>
      <c r="R71" s="11" t="n">
        <v>0.315384615384615</v>
      </c>
      <c r="S71" s="11" t="n">
        <v>0.307692307692308</v>
      </c>
      <c r="T71" s="11" t="n">
        <v>0.00769230769230769</v>
      </c>
      <c r="U71" s="11" t="n">
        <v>0</v>
      </c>
      <c r="V71" s="11" t="n">
        <v>0</v>
      </c>
      <c r="W71" s="11" t="n">
        <v>0.4</v>
      </c>
      <c r="X71" s="11" t="n">
        <v>0.361538461538461</v>
      </c>
      <c r="Y71" s="11" t="n">
        <v>0.384615384615385</v>
      </c>
      <c r="Z71" s="11" t="n">
        <v>0.392307692307692</v>
      </c>
      <c r="AA71" s="11" t="n">
        <v>0.0153846153846154</v>
      </c>
      <c r="AB71" s="11" t="n">
        <v>0.00769230769230769</v>
      </c>
      <c r="AC71" s="11" t="n">
        <v>-0.00105071278310801</v>
      </c>
      <c r="AD71" s="11" t="n">
        <v>-0.00528747796665586</v>
      </c>
      <c r="AE71" s="11" t="n">
        <v>0.0943396226415094</v>
      </c>
      <c r="AF71" s="11" t="n">
        <v>0.0377358490566038</v>
      </c>
      <c r="AG71" s="11" t="n">
        <v>0.0188679245283019</v>
      </c>
      <c r="AH71" s="11" t="n">
        <v>0.0384615384615385</v>
      </c>
      <c r="AI71" s="11" t="n">
        <v>0.0153846153846154</v>
      </c>
      <c r="AJ71" s="11" t="n">
        <v>0.00769230769230769</v>
      </c>
      <c r="AK71" s="11" t="n">
        <v>0.172365578113998</v>
      </c>
      <c r="AL71" s="11" t="n">
        <v>0</v>
      </c>
      <c r="AM71" s="11" t="n">
        <v>0</v>
      </c>
      <c r="AN71" s="11" t="n">
        <v>0</v>
      </c>
      <c r="AO71" s="11"/>
      <c r="AP71" s="11"/>
      <c r="AQ71" s="11"/>
      <c r="AR71" s="11" t="n">
        <v>0</v>
      </c>
      <c r="AS71" s="11" t="n">
        <v>0.0384615384615385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0.0097109976918602</v>
      </c>
      <c r="AZ71" s="11" t="n">
        <v>0.0290719103942514</v>
      </c>
      <c r="BA71" s="11"/>
      <c r="BB71" s="11" t="n">
        <v>0</v>
      </c>
      <c r="BC71" s="11" t="n">
        <v>0.7</v>
      </c>
      <c r="BD71" s="11" t="n">
        <v>0.323076923076923</v>
      </c>
      <c r="BE71" s="11" t="n">
        <v>0.7</v>
      </c>
      <c r="BF71" s="11" t="n">
        <v>0.669230769230769</v>
      </c>
      <c r="BG71" s="11" t="n">
        <v>0.715384615384615</v>
      </c>
      <c r="BH71" s="11" t="n">
        <v>0.684615384615385</v>
      </c>
      <c r="BI71" s="11" t="n">
        <v>0.723076923076923</v>
      </c>
      <c r="BJ71" s="11" t="n">
        <v>0.139126980087359</v>
      </c>
      <c r="BK71" s="11" t="n">
        <v>0.0359912815003457</v>
      </c>
      <c r="BL71" s="11" t="n">
        <v>0.185444791078445</v>
      </c>
      <c r="BM71" s="11" t="n">
        <v>0.025616067547423</v>
      </c>
      <c r="BN71" s="11" t="n">
        <v>0.556899385778234</v>
      </c>
      <c r="BO71" s="11" t="n">
        <v>0.386367642994558</v>
      </c>
      <c r="BP71" s="11" t="n">
        <v>0.0191868948897653</v>
      </c>
      <c r="BQ71" s="11" t="n">
        <v>0.0191841360543142</v>
      </c>
      <c r="BR71" s="11" t="n">
        <v>4.18025224220224</v>
      </c>
      <c r="BS71" s="11" t="n">
        <v>13.1471550993747</v>
      </c>
      <c r="BT71" s="11" t="n">
        <v>16.0861238406547</v>
      </c>
      <c r="BU71" s="11" t="n">
        <v>13.9126980087359</v>
      </c>
      <c r="BV71" s="11" t="n">
        <v>10.6252038564739</v>
      </c>
      <c r="BW71" s="11" t="n">
        <v>11.0255257514643</v>
      </c>
      <c r="BX71" s="11" t="n">
        <v>4.70808787707366</v>
      </c>
      <c r="BY71" s="11" t="n">
        <v>3.17484168570578</v>
      </c>
      <c r="BZ71" s="11" t="n">
        <v>0.715384615384615</v>
      </c>
      <c r="CA71" s="11" t="n">
        <v>0.559139784946237</v>
      </c>
      <c r="CB71" s="11" t="n">
        <v>0.505376344086022</v>
      </c>
      <c r="CC71" s="11" t="n">
        <v>0.537634408602151</v>
      </c>
      <c r="CD71" s="11" t="n">
        <v>0.548387096774194</v>
      </c>
      <c r="CE71" s="11" t="n">
        <v>0.715384615384615</v>
      </c>
      <c r="CF71" s="11" t="n">
        <v>5</v>
      </c>
      <c r="CG71" s="11" t="n">
        <v>0</v>
      </c>
      <c r="CH71" s="11" t="n">
        <v>0.559139784946237</v>
      </c>
      <c r="CI71" s="11" t="n">
        <v>0.537634408602151</v>
      </c>
      <c r="CJ71" s="11" t="n">
        <v>0.548387096774194</v>
      </c>
      <c r="CK71" s="11" t="n">
        <v>0</v>
      </c>
      <c r="CL71" s="11" t="n">
        <v>0</v>
      </c>
      <c r="CM71" s="11" t="n">
        <v>0</v>
      </c>
      <c r="CN71" s="11" t="n">
        <v>0</v>
      </c>
      <c r="CO71" s="11" t="n">
        <v>0</v>
      </c>
      <c r="CP71" s="11" t="n">
        <v>0</v>
      </c>
      <c r="CQ71" s="11" t="n">
        <v>0</v>
      </c>
      <c r="CR71" s="11" t="n">
        <v>0</v>
      </c>
      <c r="CS71" s="11" t="n">
        <v>0</v>
      </c>
      <c r="CT71" s="11" t="n">
        <v>0</v>
      </c>
      <c r="CU71" s="11" t="n">
        <v>0</v>
      </c>
      <c r="CV71" s="11" t="n">
        <v>0</v>
      </c>
      <c r="CW71" s="11" t="n">
        <v>0.010752688172043</v>
      </c>
      <c r="CX71" s="11" t="n">
        <v>0</v>
      </c>
      <c r="CY71" s="11" t="n">
        <v>-0.00285147183686652</v>
      </c>
      <c r="CZ71" s="11" t="n">
        <v>-0.095951305590813</v>
      </c>
      <c r="DA71" s="11" t="n">
        <v>7.97369762555462</v>
      </c>
      <c r="DB71" s="11" t="n">
        <v>-0.0189887981677684</v>
      </c>
      <c r="DC71" s="11" t="n">
        <v>14.135029573081</v>
      </c>
      <c r="DD71" s="11" t="n">
        <v>0.337824655813371</v>
      </c>
      <c r="DE71" s="11" t="n">
        <v>0.538461538461538</v>
      </c>
      <c r="DF71" s="11" t="n">
        <v>-0.0165196188246699</v>
      </c>
      <c r="DG71" s="11" t="n">
        <v>-0.0192944825411775</v>
      </c>
      <c r="DH71" s="11" t="n">
        <v>0.277486371650761</v>
      </c>
      <c r="DI71" s="11" t="n">
        <v>143.836181149965</v>
      </c>
      <c r="DJ71" s="11" t="n">
        <v>105.331251153651</v>
      </c>
      <c r="DK71" s="11" t="n">
        <v>7.95490940016311</v>
      </c>
      <c r="DL71" s="11" t="n">
        <v>49.05</v>
      </c>
      <c r="DM71" s="11" t="n">
        <v>0.246153846153846</v>
      </c>
      <c r="DN71" s="11" t="n">
        <v>0.0923076923076923</v>
      </c>
      <c r="DO71" s="11" t="n">
        <v>-0.0104973195751245</v>
      </c>
      <c r="DP71" s="11" t="n">
        <v>0</v>
      </c>
      <c r="DQ71" s="11" t="n">
        <v>0</v>
      </c>
      <c r="DR71" s="11" t="n">
        <v>0</v>
      </c>
      <c r="DS71" s="11" t="n">
        <v>0</v>
      </c>
      <c r="DT71" s="11" t="n">
        <v>0</v>
      </c>
      <c r="DU71" s="11" t="n">
        <v>0</v>
      </c>
      <c r="DV71" s="11" t="n">
        <v>5</v>
      </c>
      <c r="DW71" s="11" t="s">
        <v>690</v>
      </c>
      <c r="DX71" s="11" t="n">
        <v>0.195506</v>
      </c>
      <c r="DY71" s="11" t="n">
        <v>0.0195449265128515</v>
      </c>
      <c r="DZ71" s="11" t="n">
        <v>0.371467073487149</v>
      </c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 t="n">
        <v>9.63430508055705</v>
      </c>
      <c r="EP71" s="11" t="n">
        <v>88.0380433146881</v>
      </c>
      <c r="EQ71" s="11" t="n">
        <v>1842.01886464754</v>
      </c>
      <c r="ER71" s="11" t="n">
        <v>3.84904116209302</v>
      </c>
      <c r="ES71" s="11" t="n">
        <v>3.84904116209302</v>
      </c>
      <c r="ET71" s="11" t="n">
        <v>2.51607244615876</v>
      </c>
      <c r="EU71" s="11" t="n">
        <v>39.4908312849312</v>
      </c>
      <c r="EV71" s="11" t="n">
        <v>39.4908312849312</v>
      </c>
      <c r="EW71" s="11" t="n">
        <v>418.168920908095</v>
      </c>
      <c r="EX71" s="11" t="n">
        <v>554.461639528212</v>
      </c>
      <c r="EY71" s="11" t="n">
        <v>1.73021900818673</v>
      </c>
      <c r="EZ71" s="11" t="n">
        <v>0.791912612702384</v>
      </c>
      <c r="FA71" s="11" t="n">
        <v>0.049954410837394</v>
      </c>
      <c r="FB71" s="11" t="n">
        <v>0.838461538461539</v>
      </c>
      <c r="FC71" s="11" t="n">
        <v>0</v>
      </c>
      <c r="FD71" s="11" t="n">
        <v>0</v>
      </c>
      <c r="FE71" s="11" t="s">
        <v>574</v>
      </c>
      <c r="FF71" s="11" t="s">
        <v>241</v>
      </c>
      <c r="FG71" s="11" t="n">
        <v>130</v>
      </c>
      <c r="FH71" s="11" t="s">
        <v>575</v>
      </c>
      <c r="FI71" s="11" t="s">
        <v>59</v>
      </c>
      <c r="FJ71" s="11" t="n">
        <v>0.2</v>
      </c>
      <c r="FK71" s="11" t="n">
        <v>0.196204860074568</v>
      </c>
      <c r="FL71" s="11" t="n">
        <v>0.117351751839713</v>
      </c>
      <c r="FM71" s="11" t="n">
        <v>0</v>
      </c>
      <c r="FN71" s="11" t="n">
        <v>1</v>
      </c>
      <c r="FO71" s="11" t="n">
        <v>0.908682548953669</v>
      </c>
      <c r="FP71" s="11" t="n">
        <v>0.468161845996578</v>
      </c>
      <c r="FQ71" s="11" t="n">
        <v>0.186538461538461</v>
      </c>
      <c r="FR71" s="11" t="n">
        <v>0</v>
      </c>
      <c r="FS71" s="11" t="n">
        <v>0.90732392497866</v>
      </c>
      <c r="FT71" s="11" t="n">
        <v>0.467963064334008</v>
      </c>
      <c r="FU71" s="11" t="n">
        <v>1</v>
      </c>
      <c r="FV71" s="11" t="n">
        <v>8.05680721004571</v>
      </c>
      <c r="FW71" s="11" t="n">
        <v>230.362052286796</v>
      </c>
      <c r="FX71" s="11" t="n">
        <v>0.0419809610111842</v>
      </c>
      <c r="FY71" s="11" t="n">
        <v>1</v>
      </c>
      <c r="FZ71" s="11" t="n">
        <v>26</v>
      </c>
      <c r="GA71" s="11" t="n">
        <v>1</v>
      </c>
      <c r="GB71" s="11" t="s">
        <v>576</v>
      </c>
      <c r="GC71" s="11" t="n">
        <v>0.933430598332332</v>
      </c>
      <c r="GD71" s="11" t="n">
        <v>0.953478064903846</v>
      </c>
      <c r="GE71" s="11" t="n">
        <v>0.952545248858559</v>
      </c>
      <c r="GF71" s="11" t="n">
        <v>0.953846153846154</v>
      </c>
      <c r="GG71" s="11" t="n">
        <v>0</v>
      </c>
      <c r="GH71" s="11" t="n">
        <v>0</v>
      </c>
      <c r="GI71" s="11" t="n">
        <v>0.0545407681678905</v>
      </c>
      <c r="GJ71" s="11" t="n">
        <v>0.064043288018841</v>
      </c>
      <c r="GK71" s="11" t="n">
        <v>0.0615712241959019</v>
      </c>
      <c r="GL71" s="11" t="n">
        <v>0.0657976581571767</v>
      </c>
      <c r="GM71" s="11" t="n">
        <v>0.00190363670941276</v>
      </c>
      <c r="GN71" s="11" t="n">
        <v>2.70745711112305E-005</v>
      </c>
      <c r="GO71" s="11" t="n">
        <v>0.952163461538462</v>
      </c>
      <c r="GP71" s="11" t="n">
        <v>0.953846153846154</v>
      </c>
      <c r="GQ71" s="11" t="n">
        <v>-0.0445377640426159</v>
      </c>
      <c r="GR71" s="11" t="n">
        <v>1</v>
      </c>
      <c r="GS71" s="11" t="n">
        <v>1</v>
      </c>
      <c r="GT71" s="11" t="n">
        <v>0</v>
      </c>
      <c r="GU71" s="11" t="n">
        <v>0</v>
      </c>
      <c r="GV71" s="11" t="n">
        <v>1</v>
      </c>
      <c r="GW71" s="11" t="n">
        <v>1</v>
      </c>
      <c r="GX71" s="11" t="n">
        <v>1</v>
      </c>
      <c r="GY71" s="11" t="n">
        <v>1</v>
      </c>
      <c r="GZ71" s="11" t="n">
        <v>1</v>
      </c>
      <c r="HA71" s="11" t="n">
        <v>1</v>
      </c>
      <c r="HB71" s="11" t="n">
        <v>1</v>
      </c>
      <c r="HC71" s="11" t="n">
        <v>1</v>
      </c>
      <c r="HD71" s="11" t="n">
        <v>1</v>
      </c>
      <c r="HE71" s="11" t="n">
        <v>1</v>
      </c>
      <c r="HF71" s="11" t="n">
        <v>1</v>
      </c>
      <c r="HG71" s="11" t="n">
        <v>1</v>
      </c>
      <c r="HH71" s="11" t="n">
        <v>1</v>
      </c>
      <c r="HI71" s="11" t="n">
        <v>1</v>
      </c>
      <c r="HJ71" s="11" t="n">
        <v>1</v>
      </c>
      <c r="HK71" s="11"/>
      <c r="HL71" s="11" t="s">
        <v>577</v>
      </c>
      <c r="HM71" s="11" t="n">
        <v>1</v>
      </c>
      <c r="HN71" s="11" t="s">
        <v>1037</v>
      </c>
      <c r="HO71" s="11" t="s">
        <v>1038</v>
      </c>
      <c r="HP71" s="11" t="s">
        <v>1038</v>
      </c>
      <c r="HQ71" s="11" t="n">
        <v>0</v>
      </c>
      <c r="HR71" s="11" t="s">
        <v>189</v>
      </c>
      <c r="HS71" s="11" t="s">
        <v>190</v>
      </c>
      <c r="HT71" s="11" t="s">
        <v>190</v>
      </c>
      <c r="HU71" s="11" t="s">
        <v>1083</v>
      </c>
      <c r="HV71" s="11" t="s">
        <v>1083</v>
      </c>
      <c r="HW71" s="11" t="s">
        <v>715</v>
      </c>
      <c r="HX71" s="11" t="s">
        <v>708</v>
      </c>
      <c r="HY71" s="11" t="s">
        <v>583</v>
      </c>
      <c r="HZ71" s="11" t="s">
        <v>1084</v>
      </c>
      <c r="IA71" s="11" t="s">
        <v>1082</v>
      </c>
      <c r="IB71" s="11" t="s">
        <v>1085</v>
      </c>
      <c r="IC71" s="11" t="s">
        <v>241</v>
      </c>
      <c r="ID71" s="11" t="s">
        <v>711</v>
      </c>
      <c r="IE71" s="11" t="s">
        <v>198</v>
      </c>
      <c r="IF71" s="11" t="s">
        <v>205</v>
      </c>
      <c r="IG71" s="11" t="s">
        <v>243</v>
      </c>
      <c r="IH71" s="11" t="s">
        <v>1048</v>
      </c>
    </row>
    <row r="72" customFormat="false" ht="15" hidden="false" customHeight="false" outlineLevel="0" collapsed="false">
      <c r="A72" s="11" t="s">
        <v>93</v>
      </c>
      <c r="B72" s="11" t="s">
        <v>1086</v>
      </c>
      <c r="C72" s="11" t="s">
        <v>1035</v>
      </c>
      <c r="D72" s="11" t="s">
        <v>570</v>
      </c>
      <c r="E72" s="11" t="s">
        <v>91</v>
      </c>
      <c r="F72" s="11"/>
      <c r="G72" s="11"/>
      <c r="H72" s="11" t="s">
        <v>1087</v>
      </c>
      <c r="I72" s="11" t="s">
        <v>246</v>
      </c>
      <c r="J72" s="11" t="n">
        <v>105</v>
      </c>
      <c r="K72" s="11" t="n">
        <v>3.5</v>
      </c>
      <c r="L72" s="11" t="n">
        <v>0.660708487033844</v>
      </c>
      <c r="M72" s="11" t="n">
        <v>0.849160015583038</v>
      </c>
      <c r="N72" s="11" t="n">
        <v>0</v>
      </c>
      <c r="O72" s="11" t="n">
        <v>1.81824636782749</v>
      </c>
      <c r="P72" s="11" t="n">
        <v>1.83007451472567</v>
      </c>
      <c r="Q72" s="11" t="n">
        <v>0.54890706346137</v>
      </c>
      <c r="R72" s="11" t="n">
        <v>0.342857142857143</v>
      </c>
      <c r="S72" s="11" t="n">
        <v>0.304761904761905</v>
      </c>
      <c r="T72" s="11" t="n">
        <v>0.114285714285714</v>
      </c>
      <c r="U72" s="11" t="n">
        <v>0</v>
      </c>
      <c r="V72" s="11" t="n">
        <v>0</v>
      </c>
      <c r="W72" s="11" t="n">
        <v>0.457142857142857</v>
      </c>
      <c r="X72" s="11" t="n">
        <v>0.0952380952380952</v>
      </c>
      <c r="Y72" s="11" t="n">
        <v>0.133333333333333</v>
      </c>
      <c r="Z72" s="11" t="n">
        <v>0.190476190476191</v>
      </c>
      <c r="AA72" s="11" t="n">
        <v>0.323809523809524</v>
      </c>
      <c r="AB72" s="11" t="n">
        <v>0.266666666666667</v>
      </c>
      <c r="AC72" s="11" t="n">
        <v>-0.00627122838852671</v>
      </c>
      <c r="AD72" s="11" t="n">
        <v>-0.0157764755517132</v>
      </c>
      <c r="AE72" s="11" t="n">
        <v>0.75</v>
      </c>
      <c r="AF72" s="11" t="n">
        <v>0.661764705882353</v>
      </c>
      <c r="AG72" s="11" t="n">
        <v>0.544117647058823</v>
      </c>
      <c r="AH72" s="11" t="n">
        <v>0.361904761904762</v>
      </c>
      <c r="AI72" s="11" t="n">
        <v>0.323809523809524</v>
      </c>
      <c r="AJ72" s="11" t="n">
        <v>0.266666666666667</v>
      </c>
      <c r="AK72" s="11" t="n">
        <v>0.261649307367222</v>
      </c>
      <c r="AL72" s="11" t="n">
        <v>0</v>
      </c>
      <c r="AM72" s="11" t="n">
        <v>0</v>
      </c>
      <c r="AN72" s="11" t="n">
        <v>0</v>
      </c>
      <c r="AO72" s="11"/>
      <c r="AP72" s="11"/>
      <c r="AQ72" s="11"/>
      <c r="AR72" s="11" t="n">
        <v>0</v>
      </c>
      <c r="AS72" s="11" t="n">
        <v>0</v>
      </c>
      <c r="AT72" s="11" t="n">
        <v>0</v>
      </c>
      <c r="AU72" s="11" t="n">
        <v>0</v>
      </c>
      <c r="AV72" s="11" t="n">
        <v>0</v>
      </c>
      <c r="AW72" s="11" t="n">
        <v>0</v>
      </c>
      <c r="AX72" s="11" t="n">
        <v>0</v>
      </c>
      <c r="AY72" s="11" t="n">
        <v>0.012000034099832</v>
      </c>
      <c r="AZ72" s="11" t="n">
        <v>0.0357322529898056</v>
      </c>
      <c r="BA72" s="11"/>
      <c r="BB72" s="11" t="n">
        <v>0</v>
      </c>
      <c r="BC72" s="11" t="n">
        <v>0.561904761904762</v>
      </c>
      <c r="BD72" s="11" t="n">
        <v>0.0476190476190476</v>
      </c>
      <c r="BE72" s="11" t="n">
        <v>0.571428571428571</v>
      </c>
      <c r="BF72" s="11" t="n">
        <v>0.266666666666667</v>
      </c>
      <c r="BG72" s="11" t="n">
        <v>0.59047619047619</v>
      </c>
      <c r="BH72" s="11" t="n">
        <v>0.352380952380952</v>
      </c>
      <c r="BI72" s="11" t="n">
        <v>0.59047619047619</v>
      </c>
      <c r="BJ72" s="11" t="n">
        <v>0.235132584253861</v>
      </c>
      <c r="BK72" s="11" t="n">
        <v>0.0379072023576184</v>
      </c>
      <c r="BL72" s="11" t="n">
        <v>0.266734442886622</v>
      </c>
      <c r="BM72" s="11" t="n">
        <v>0.076856662043102</v>
      </c>
      <c r="BN72" s="11" t="n">
        <v>0.606746846554122</v>
      </c>
      <c r="BO72" s="11" t="n">
        <v>0.306267524335641</v>
      </c>
      <c r="BP72" s="11" t="n">
        <v>0.0334422533473976</v>
      </c>
      <c r="BQ72" s="11" t="n">
        <v>0.0229680713553369</v>
      </c>
      <c r="BR72" s="11" t="n">
        <v>4.57270119497954</v>
      </c>
      <c r="BS72" s="11" t="n">
        <v>21.1793247125252</v>
      </c>
      <c r="BT72" s="11" t="n">
        <v>20.9640021578484</v>
      </c>
      <c r="BU72" s="11" t="n">
        <v>23.5132584253861</v>
      </c>
      <c r="BV72" s="11" t="n">
        <v>15.2827578271401</v>
      </c>
      <c r="BW72" s="11" t="n">
        <v>16.7158008308675</v>
      </c>
      <c r="BX72" s="11" t="n">
        <v>4.7607548068062</v>
      </c>
      <c r="BY72" s="11" t="n">
        <v>5.83536244360634</v>
      </c>
      <c r="BZ72" s="11" t="n">
        <v>0.533333333333333</v>
      </c>
      <c r="CA72" s="11" t="n">
        <v>0.785714285714286</v>
      </c>
      <c r="CB72" s="11" t="n">
        <v>0.142857142857143</v>
      </c>
      <c r="CC72" s="11" t="n">
        <v>0.214285714285714</v>
      </c>
      <c r="CD72" s="11" t="n">
        <v>0.321428571428571</v>
      </c>
      <c r="CE72" s="11" t="n">
        <v>0.561904761904762</v>
      </c>
      <c r="CF72" s="11" t="n">
        <v>5</v>
      </c>
      <c r="CG72" s="11" t="n">
        <v>3</v>
      </c>
      <c r="CH72" s="11" t="n">
        <v>0.796610169491525</v>
      </c>
      <c r="CI72" s="11" t="n">
        <v>0.220338983050847</v>
      </c>
      <c r="CJ72" s="11" t="n">
        <v>0.322033898305085</v>
      </c>
      <c r="CK72" s="11" t="n">
        <v>0.0816326530612245</v>
      </c>
      <c r="CL72" s="11" t="n">
        <v>0.0408163265306122</v>
      </c>
      <c r="CM72" s="11" t="n">
        <v>0.0408163265306122</v>
      </c>
      <c r="CN72" s="11" t="n">
        <v>0.0408163265306122</v>
      </c>
      <c r="CO72" s="11" t="n">
        <v>0</v>
      </c>
      <c r="CP72" s="11" t="n">
        <v>0</v>
      </c>
      <c r="CQ72" s="11" t="n">
        <v>0</v>
      </c>
      <c r="CR72" s="11" t="n">
        <v>0</v>
      </c>
      <c r="CS72" s="11" t="n">
        <v>0.0333333333333333</v>
      </c>
      <c r="CT72" s="11" t="n">
        <v>0.0333333333333333</v>
      </c>
      <c r="CU72" s="11" t="n">
        <v>0.0333333333333333</v>
      </c>
      <c r="CV72" s="11" t="n">
        <v>0.0333333333333333</v>
      </c>
      <c r="CW72" s="11" t="n">
        <v>0.178571428571429</v>
      </c>
      <c r="CX72" s="11" t="n">
        <v>0</v>
      </c>
      <c r="CY72" s="11" t="n">
        <v>-0.00450697612888416</v>
      </c>
      <c r="CZ72" s="11" t="n">
        <v>-0.11952943790687</v>
      </c>
      <c r="DA72" s="11" t="n">
        <v>14.7837522694906</v>
      </c>
      <c r="DB72" s="11" t="n">
        <v>-0.0280209307763691</v>
      </c>
      <c r="DC72" s="11" t="n">
        <v>28.0729317164979</v>
      </c>
      <c r="DD72" s="11" t="n">
        <v>0.228122312193546</v>
      </c>
      <c r="DE72" s="11" t="n">
        <v>0.466666666666667</v>
      </c>
      <c r="DF72" s="11" t="n">
        <v>-0.0402224362747542</v>
      </c>
      <c r="DG72" s="11" t="n">
        <v>-0.00566692643966791</v>
      </c>
      <c r="DH72" s="11" t="n">
        <v>-3.45555098350862</v>
      </c>
      <c r="DI72" s="11" t="n">
        <v>264.289270656179</v>
      </c>
      <c r="DJ72" s="11" t="n">
        <v>117.043042809171</v>
      </c>
      <c r="DK72" s="11" t="n">
        <v>18.0339966135218</v>
      </c>
      <c r="DL72" s="11" t="n">
        <v>49.05</v>
      </c>
      <c r="DM72" s="11" t="n">
        <v>0.523809523809524</v>
      </c>
      <c r="DN72" s="11" t="n">
        <v>0.142857142857143</v>
      </c>
      <c r="DO72" s="11" t="n">
        <v>-0.00690155896632708</v>
      </c>
      <c r="DP72" s="11" t="n">
        <v>0</v>
      </c>
      <c r="DQ72" s="11" t="n">
        <v>0.190476190476191</v>
      </c>
      <c r="DR72" s="11" t="n">
        <v>0.104761904761905</v>
      </c>
      <c r="DS72" s="11" t="n">
        <v>0.0666666666666667</v>
      </c>
      <c r="DT72" s="11" t="n">
        <v>0.0285714285714286</v>
      </c>
      <c r="DU72" s="11" t="n">
        <v>0</v>
      </c>
      <c r="DV72" s="11" t="n">
        <v>5</v>
      </c>
      <c r="DW72" s="11" t="s">
        <v>690</v>
      </c>
      <c r="DX72" s="11" t="n">
        <v>0.195506</v>
      </c>
      <c r="DY72" s="11" t="n">
        <v>0.185074082906892</v>
      </c>
      <c r="DZ72" s="11" t="n">
        <v>0.205937917093108</v>
      </c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 t="n">
        <v>12.8636244920425</v>
      </c>
      <c r="EP72" s="11" t="n">
        <v>96.8839478031205</v>
      </c>
      <c r="EQ72" s="11" t="n">
        <v>2192.09432314055</v>
      </c>
      <c r="ER72" s="11" t="n">
        <v>4.64084238378871</v>
      </c>
      <c r="ES72" s="11" t="n">
        <v>4.64084238378871</v>
      </c>
      <c r="ET72" s="11" t="n">
        <v>3.99470037992237</v>
      </c>
      <c r="EU72" s="11" t="n">
        <v>56.1824733794719</v>
      </c>
      <c r="EV72" s="11" t="n">
        <v>56.1824733794719</v>
      </c>
      <c r="EW72" s="11" t="n">
        <v>721.810797209973</v>
      </c>
      <c r="EX72" s="11" t="n">
        <v>846.657534738556</v>
      </c>
      <c r="EY72" s="11" t="n">
        <v>2.15077278923632</v>
      </c>
      <c r="EZ72" s="11" t="n">
        <v>0.780320320427498</v>
      </c>
      <c r="FA72" s="11" t="n">
        <v>0.0494811664558651</v>
      </c>
      <c r="FB72" s="11" t="n">
        <v>0.838095238095238</v>
      </c>
      <c r="FC72" s="11" t="n">
        <v>0</v>
      </c>
      <c r="FD72" s="11" t="n">
        <v>0</v>
      </c>
      <c r="FE72" s="11" t="s">
        <v>574</v>
      </c>
      <c r="FF72" s="11" t="s">
        <v>247</v>
      </c>
      <c r="FG72" s="11" t="n">
        <v>105</v>
      </c>
      <c r="FH72" s="11" t="s">
        <v>575</v>
      </c>
      <c r="FI72" s="11" t="s">
        <v>59</v>
      </c>
      <c r="FJ72" s="11" t="n">
        <v>0.2</v>
      </c>
      <c r="FK72" s="11" t="n">
        <v>0.220067961308778</v>
      </c>
      <c r="FL72" s="11" t="n">
        <v>0.142739939301915</v>
      </c>
      <c r="FM72" s="11" t="n">
        <v>0.0119047619047619</v>
      </c>
      <c r="FN72" s="11" t="n">
        <v>1</v>
      </c>
      <c r="FO72" s="11" t="n">
        <v>0.825356471436982</v>
      </c>
      <c r="FP72" s="11" t="n">
        <v>0.599103643886748</v>
      </c>
      <c r="FQ72" s="11" t="n">
        <v>0.297619047619048</v>
      </c>
      <c r="FR72" s="11" t="n">
        <v>0</v>
      </c>
      <c r="FS72" s="11" t="n">
        <v>0.82440010559168</v>
      </c>
      <c r="FT72" s="11" t="n">
        <v>0.598442135595211</v>
      </c>
      <c r="FU72" s="11" t="n">
        <v>1</v>
      </c>
      <c r="FV72" s="11" t="n">
        <v>16.4701344954896</v>
      </c>
      <c r="FW72" s="11" t="n">
        <v>469.597525348511</v>
      </c>
      <c r="FX72" s="11" t="n">
        <v>0.0558964794404958</v>
      </c>
      <c r="FY72" s="11" t="n">
        <v>1</v>
      </c>
      <c r="FZ72" s="11" t="n">
        <v>30</v>
      </c>
      <c r="GA72" s="11" t="n">
        <v>1</v>
      </c>
      <c r="GB72" s="11" t="s">
        <v>576</v>
      </c>
      <c r="GC72" s="11" t="n">
        <v>0.923573811848958</v>
      </c>
      <c r="GD72" s="11" t="n">
        <v>0.94038318452381</v>
      </c>
      <c r="GE72" s="11" t="n">
        <v>0.942857142857143</v>
      </c>
      <c r="GF72" s="11" t="n">
        <v>0.942857142857143</v>
      </c>
      <c r="GG72" s="11" t="n">
        <v>0</v>
      </c>
      <c r="GH72" s="11" t="n">
        <v>0</v>
      </c>
      <c r="GI72" s="11" t="n">
        <v>0.048553088216743</v>
      </c>
      <c r="GJ72" s="11" t="n">
        <v>0.0679897278547287</v>
      </c>
      <c r="GK72" s="11" t="n">
        <v>0.063224063332659</v>
      </c>
      <c r="GL72" s="11" t="n">
        <v>0.0726416175037489</v>
      </c>
      <c r="GM72" s="11" t="n">
        <v>0.00108978638394806</v>
      </c>
      <c r="GN72" s="11" t="n">
        <v>5.54160501148241E-005</v>
      </c>
      <c r="GO72" s="11" t="n">
        <v>0.942857142857143</v>
      </c>
      <c r="GP72" s="11" t="n">
        <v>0.942857142857143</v>
      </c>
      <c r="GQ72" s="11" t="n">
        <v>-0.0341199450194836</v>
      </c>
      <c r="GR72" s="11" t="n">
        <v>1</v>
      </c>
      <c r="GS72" s="11" t="n">
        <v>1</v>
      </c>
      <c r="GT72" s="11" t="n">
        <v>0</v>
      </c>
      <c r="GU72" s="11" t="n">
        <v>0</v>
      </c>
      <c r="GV72" s="11" t="n">
        <v>1</v>
      </c>
      <c r="GW72" s="11" t="n">
        <v>1</v>
      </c>
      <c r="GX72" s="11" t="n">
        <v>1</v>
      </c>
      <c r="GY72" s="11" t="n">
        <v>1</v>
      </c>
      <c r="GZ72" s="11" t="n">
        <v>0</v>
      </c>
      <c r="HA72" s="11" t="n">
        <v>1</v>
      </c>
      <c r="HB72" s="11" t="n">
        <v>0</v>
      </c>
      <c r="HC72" s="11" t="n">
        <v>1</v>
      </c>
      <c r="HD72" s="11" t="n">
        <v>0</v>
      </c>
      <c r="HE72" s="11" t="n">
        <v>0</v>
      </c>
      <c r="HF72" s="11" t="n">
        <v>1</v>
      </c>
      <c r="HG72" s="11" t="n">
        <v>1</v>
      </c>
      <c r="HH72" s="11" t="n">
        <v>0</v>
      </c>
      <c r="HI72" s="11" t="n">
        <v>0</v>
      </c>
      <c r="HJ72" s="11" t="n">
        <v>0</v>
      </c>
      <c r="HK72" s="11" t="s">
        <v>1088</v>
      </c>
      <c r="HL72" s="11" t="s">
        <v>577</v>
      </c>
      <c r="HM72" s="11" t="n">
        <v>1</v>
      </c>
      <c r="HN72" s="11" t="s">
        <v>1037</v>
      </c>
      <c r="HO72" s="11" t="s">
        <v>1038</v>
      </c>
      <c r="HP72" s="11" t="s">
        <v>1038</v>
      </c>
      <c r="HQ72" s="11" t="n">
        <v>0</v>
      </c>
      <c r="HR72" s="11" t="s">
        <v>189</v>
      </c>
      <c r="HS72" s="11" t="s">
        <v>190</v>
      </c>
      <c r="HT72" s="11" t="s">
        <v>190</v>
      </c>
      <c r="HU72" s="11" t="s">
        <v>1089</v>
      </c>
      <c r="HV72" s="11" t="s">
        <v>1089</v>
      </c>
      <c r="HW72" s="11" t="s">
        <v>732</v>
      </c>
      <c r="HX72" s="11" t="s">
        <v>724</v>
      </c>
      <c r="HY72" s="11" t="s">
        <v>583</v>
      </c>
      <c r="HZ72" s="11" t="s">
        <v>1090</v>
      </c>
      <c r="IA72" s="11" t="s">
        <v>1087</v>
      </c>
      <c r="IB72" s="11" t="s">
        <v>1091</v>
      </c>
      <c r="IC72" s="11" t="s">
        <v>247</v>
      </c>
      <c r="ID72" s="11" t="s">
        <v>727</v>
      </c>
      <c r="IE72" s="11" t="s">
        <v>198</v>
      </c>
      <c r="IF72" s="11" t="s">
        <v>191</v>
      </c>
      <c r="IG72" s="11" t="s">
        <v>237</v>
      </c>
      <c r="IH72" s="11" t="s">
        <v>1048</v>
      </c>
    </row>
    <row r="73" customFormat="false" ht="15" hidden="false" customHeight="false" outlineLevel="0" collapsed="false">
      <c r="A73" s="11" t="s">
        <v>94</v>
      </c>
      <c r="B73" s="11" t="s">
        <v>1092</v>
      </c>
      <c r="C73" s="11" t="s">
        <v>1035</v>
      </c>
      <c r="D73" s="11" t="s">
        <v>570</v>
      </c>
      <c r="E73" s="11" t="s">
        <v>51</v>
      </c>
      <c r="F73" s="11"/>
      <c r="G73" s="11"/>
      <c r="H73" s="11" t="s">
        <v>1093</v>
      </c>
      <c r="I73" s="11" t="s">
        <v>252</v>
      </c>
      <c r="J73" s="11" t="n">
        <v>115</v>
      </c>
      <c r="K73" s="11" t="n">
        <v>3.83333333333333</v>
      </c>
      <c r="L73" s="11" t="n">
        <v>0.767149984836578</v>
      </c>
      <c r="M73" s="11" t="n">
        <v>0.834767162799835</v>
      </c>
      <c r="N73" s="11" t="n">
        <v>0</v>
      </c>
      <c r="O73" s="11" t="n">
        <v>1.08651472078807</v>
      </c>
      <c r="P73" s="11" t="n">
        <v>1.38471064956095</v>
      </c>
      <c r="Q73" s="11" t="n">
        <v>0.198278014601867</v>
      </c>
      <c r="R73" s="11" t="n">
        <v>0.469565217391304</v>
      </c>
      <c r="S73" s="11" t="n">
        <v>0.156521739130435</v>
      </c>
      <c r="T73" s="11" t="n">
        <v>0.0173913043478261</v>
      </c>
      <c r="U73" s="11" t="n">
        <v>0</v>
      </c>
      <c r="V73" s="11" t="n">
        <v>0</v>
      </c>
      <c r="W73" s="11" t="n">
        <v>0.591304347826087</v>
      </c>
      <c r="X73" s="11" t="n">
        <v>0.252173913043478</v>
      </c>
      <c r="Y73" s="11" t="n">
        <v>0.408695652173913</v>
      </c>
      <c r="Z73" s="11" t="n">
        <v>0.556521739130435</v>
      </c>
      <c r="AA73" s="11" t="n">
        <v>0.182608695652174</v>
      </c>
      <c r="AB73" s="11" t="n">
        <v>0.0347826086956522</v>
      </c>
      <c r="AC73" s="11" t="n">
        <v>-0.00238089248232849</v>
      </c>
      <c r="AD73" s="11" t="n">
        <v>-0.00723591743901776</v>
      </c>
      <c r="AE73" s="11" t="n">
        <v>0.551282051282051</v>
      </c>
      <c r="AF73" s="11" t="n">
        <v>0.294871794871795</v>
      </c>
      <c r="AG73" s="11" t="n">
        <v>0.0512820512820513</v>
      </c>
      <c r="AH73" s="11" t="n">
        <v>0.339130434782609</v>
      </c>
      <c r="AI73" s="11" t="n">
        <v>0.182608695652174</v>
      </c>
      <c r="AJ73" s="11" t="n">
        <v>0.0347826086956522</v>
      </c>
      <c r="AK73" s="11" t="n">
        <v>0.437519083304625</v>
      </c>
      <c r="AL73" s="11" t="n">
        <v>0</v>
      </c>
      <c r="AM73" s="11" t="n">
        <v>0</v>
      </c>
      <c r="AN73" s="11" t="n">
        <v>0</v>
      </c>
      <c r="AO73" s="11"/>
      <c r="AP73" s="11"/>
      <c r="AQ73" s="11"/>
      <c r="AR73" s="11" t="n">
        <v>0</v>
      </c>
      <c r="AS73" s="11" t="n">
        <v>0.408695652173913</v>
      </c>
      <c r="AT73" s="11" t="n">
        <v>0.11304347826087</v>
      </c>
      <c r="AU73" s="11" t="n">
        <v>0.11304347826087</v>
      </c>
      <c r="AV73" s="11" t="n">
        <v>0</v>
      </c>
      <c r="AW73" s="11" t="n">
        <v>0</v>
      </c>
      <c r="AX73" s="11" t="n">
        <v>0</v>
      </c>
      <c r="AY73" s="11" t="n">
        <v>0.0071548819618616</v>
      </c>
      <c r="AZ73" s="11" t="n">
        <v>0.0226574316935545</v>
      </c>
      <c r="BA73" s="11"/>
      <c r="BB73" s="11" t="n">
        <v>0.173913043478261</v>
      </c>
      <c r="BC73" s="11" t="n">
        <v>0.660869565217391</v>
      </c>
      <c r="BD73" s="11" t="n">
        <v>0.478260869565217</v>
      </c>
      <c r="BE73" s="11" t="n">
        <v>0.678260869565217</v>
      </c>
      <c r="BF73" s="11" t="n">
        <v>0.643478260869565</v>
      </c>
      <c r="BG73" s="11" t="n">
        <v>0.68695652173913</v>
      </c>
      <c r="BH73" s="11" t="n">
        <v>0.660869565217391</v>
      </c>
      <c r="BI73" s="11" t="n">
        <v>0.721739130434783</v>
      </c>
      <c r="BJ73" s="11" t="n">
        <v>0.113486941527228</v>
      </c>
      <c r="BK73" s="11" t="n">
        <v>0.0431531399804305</v>
      </c>
      <c r="BL73" s="11" t="n">
        <v>0.134063726579788</v>
      </c>
      <c r="BM73" s="11" t="n">
        <v>0.0849471635016265</v>
      </c>
      <c r="BN73" s="11" t="n">
        <v>0.429172139211316</v>
      </c>
      <c r="BO73" s="11" t="n">
        <v>0.408575916135432</v>
      </c>
      <c r="BP73" s="11" t="n">
        <v>0.0118960303821179</v>
      </c>
      <c r="BQ73" s="11" t="n">
        <v>0.00722233037896646</v>
      </c>
      <c r="BR73" s="11" t="n">
        <v>3.41807394402654</v>
      </c>
      <c r="BS73" s="11" t="n">
        <v>10.9984709070359</v>
      </c>
      <c r="BT73" s="11" t="n">
        <v>16.8063658360547</v>
      </c>
      <c r="BU73" s="11" t="n">
        <v>11.3486941527228</v>
      </c>
      <c r="BV73" s="11" t="n">
        <v>7.6812857188173</v>
      </c>
      <c r="BW73" s="11" t="n">
        <v>10.307073948932</v>
      </c>
      <c r="BX73" s="11" t="n">
        <v>2.22635704006673</v>
      </c>
      <c r="BY73" s="11" t="n">
        <v>3.80058855217833</v>
      </c>
      <c r="BZ73" s="11" t="n">
        <v>0.660869565217391</v>
      </c>
      <c r="CA73" s="11" t="n">
        <v>0.894736842105263</v>
      </c>
      <c r="CB73" s="11" t="n">
        <v>0.381578947368421</v>
      </c>
      <c r="CC73" s="11" t="n">
        <v>0.618421052631579</v>
      </c>
      <c r="CD73" s="11" t="n">
        <v>0.842105263157895</v>
      </c>
      <c r="CE73" s="11" t="n">
        <v>0.660869565217391</v>
      </c>
      <c r="CF73" s="11" t="n">
        <v>5</v>
      </c>
      <c r="CG73" s="11" t="n">
        <v>0</v>
      </c>
      <c r="CH73" s="11" t="n">
        <v>0.894736842105263</v>
      </c>
      <c r="CI73" s="11" t="n">
        <v>0.618421052631579</v>
      </c>
      <c r="CJ73" s="11" t="n">
        <v>0.842105263157895</v>
      </c>
      <c r="CK73" s="11" t="n">
        <v>0</v>
      </c>
      <c r="CL73" s="11" t="n">
        <v>0</v>
      </c>
      <c r="CM73" s="11" t="n">
        <v>0</v>
      </c>
      <c r="CN73" s="11" t="n">
        <v>0</v>
      </c>
      <c r="CO73" s="11" t="n">
        <v>0</v>
      </c>
      <c r="CP73" s="11" t="n">
        <v>0</v>
      </c>
      <c r="CQ73" s="11" t="n">
        <v>0</v>
      </c>
      <c r="CR73" s="11" t="n">
        <v>0</v>
      </c>
      <c r="CS73" s="11" t="n">
        <v>0</v>
      </c>
      <c r="CT73" s="11" t="n">
        <v>0</v>
      </c>
      <c r="CU73" s="11" t="n">
        <v>0</v>
      </c>
      <c r="CV73" s="11" t="n">
        <v>0</v>
      </c>
      <c r="CW73" s="11" t="n">
        <v>0.0263157894736842</v>
      </c>
      <c r="CX73" s="11" t="n">
        <v>0</v>
      </c>
      <c r="CY73" s="11" t="n">
        <v>0.00294642743911435</v>
      </c>
      <c r="CZ73" s="11" t="n">
        <v>-0.0375498647578337</v>
      </c>
      <c r="DA73" s="11" t="n">
        <v>9.61520440318684</v>
      </c>
      <c r="DB73" s="11" t="n">
        <v>-0.0193073851411567</v>
      </c>
      <c r="DC73" s="11" t="n">
        <v>20.8080033188629</v>
      </c>
      <c r="DD73" s="11" t="n">
        <v>0.134448958632378</v>
      </c>
      <c r="DE73" s="11" t="n">
        <v>0.365217391304348</v>
      </c>
      <c r="DF73" s="11" t="n">
        <v>-0.012389496576934</v>
      </c>
      <c r="DG73" s="11" t="n">
        <v>-0.0238540281174276</v>
      </c>
      <c r="DH73" s="11" t="n">
        <v>1.14645315404935</v>
      </c>
      <c r="DI73" s="11" t="n">
        <v>146.492704582735</v>
      </c>
      <c r="DJ73" s="11" t="n">
        <v>50.4313257349006</v>
      </c>
      <c r="DK73" s="11" t="n">
        <v>9.03278522145355</v>
      </c>
      <c r="DL73" s="11" t="n">
        <v>49.05</v>
      </c>
      <c r="DM73" s="11" t="n">
        <v>0.669565217391304</v>
      </c>
      <c r="DN73" s="11" t="n">
        <v>0.669565217391304</v>
      </c>
      <c r="DO73" s="11" t="n">
        <v>-0.015403125924318</v>
      </c>
      <c r="DP73" s="11" t="n">
        <v>0</v>
      </c>
      <c r="DQ73" s="11" t="n">
        <v>0</v>
      </c>
      <c r="DR73" s="11" t="n">
        <v>0</v>
      </c>
      <c r="DS73" s="11" t="n">
        <v>0</v>
      </c>
      <c r="DT73" s="11" t="n">
        <v>0</v>
      </c>
      <c r="DU73" s="11" t="n">
        <v>0</v>
      </c>
      <c r="DV73" s="11" t="n">
        <v>5</v>
      </c>
      <c r="DW73" s="11" t="s">
        <v>573</v>
      </c>
      <c r="DX73" s="11" t="n">
        <v>0.406307</v>
      </c>
      <c r="DY73" s="11" t="n">
        <v>-0.00300783543345951</v>
      </c>
      <c r="DZ73" s="11" t="n">
        <v>0.815621835433459</v>
      </c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 t="n">
        <v>6.19192810159058</v>
      </c>
      <c r="EP73" s="11" t="n">
        <v>79.7471625399817</v>
      </c>
      <c r="EQ73" s="11" t="n">
        <v>1768.26436062681</v>
      </c>
      <c r="ER73" s="11" t="n">
        <v>3.195076790344</v>
      </c>
      <c r="ES73" s="11" t="n">
        <v>3.195076790344</v>
      </c>
      <c r="ET73" s="11" t="n">
        <v>2.5896338884204</v>
      </c>
      <c r="EU73" s="11" t="n">
        <v>60.3320220844569</v>
      </c>
      <c r="EV73" s="11" t="n">
        <v>60.3320220844569</v>
      </c>
      <c r="EW73" s="11" t="n">
        <v>522.125770661792</v>
      </c>
      <c r="EX73" s="11" t="n">
        <v>611.719199482298</v>
      </c>
      <c r="EY73" s="11" t="n">
        <v>1.35151500733612</v>
      </c>
      <c r="EZ73" s="11" t="n">
        <v>0.631909043020593</v>
      </c>
      <c r="FA73" s="11" t="n">
        <v>0.0499686523265206</v>
      </c>
      <c r="FB73" s="11" t="n">
        <v>0.895652173913044</v>
      </c>
      <c r="FC73" s="11" t="n">
        <v>0</v>
      </c>
      <c r="FD73" s="11" t="n">
        <v>0</v>
      </c>
      <c r="FE73" s="11" t="s">
        <v>574</v>
      </c>
      <c r="FF73" s="11" t="s">
        <v>253</v>
      </c>
      <c r="FG73" s="11" t="n">
        <v>115</v>
      </c>
      <c r="FH73" s="11" t="s">
        <v>575</v>
      </c>
      <c r="FI73" s="11" t="s">
        <v>59</v>
      </c>
      <c r="FJ73" s="11" t="n">
        <v>0.2</v>
      </c>
      <c r="FK73" s="11" t="n">
        <v>0.122049288048308</v>
      </c>
      <c r="FL73" s="11" t="n">
        <v>0.0647571854473171</v>
      </c>
      <c r="FM73" s="11" t="n">
        <v>0</v>
      </c>
      <c r="FN73" s="11" t="n">
        <v>1</v>
      </c>
      <c r="FO73" s="11" t="n">
        <v>0.498916002653434</v>
      </c>
      <c r="FP73" s="11" t="n">
        <v>0.276905410452497</v>
      </c>
      <c r="FQ73" s="11" t="n">
        <v>0.0369565217391304</v>
      </c>
      <c r="FR73" s="11" t="n">
        <v>0</v>
      </c>
      <c r="FS73" s="11" t="n">
        <v>0.496347440275617</v>
      </c>
      <c r="FT73" s="11" t="n">
        <v>0.274777554087413</v>
      </c>
      <c r="FU73" s="11" t="n">
        <v>1</v>
      </c>
      <c r="FV73" s="11" t="n">
        <v>8.01552010454257</v>
      </c>
      <c r="FW73" s="11" t="n">
        <v>247.318321980677</v>
      </c>
      <c r="FX73" s="11" t="n">
        <v>0.036619582069123</v>
      </c>
      <c r="FY73" s="11" t="n">
        <v>1</v>
      </c>
      <c r="FZ73" s="11" t="n">
        <v>25</v>
      </c>
      <c r="GA73" s="11" t="n">
        <v>1</v>
      </c>
      <c r="GB73" s="11" t="s">
        <v>576</v>
      </c>
      <c r="GC73" s="11" t="n">
        <v>0.560637366253397</v>
      </c>
      <c r="GD73" s="11" t="n">
        <v>0.626078464673913</v>
      </c>
      <c r="GE73" s="11" t="n">
        <v>0.651918158568847</v>
      </c>
      <c r="GF73" s="11" t="n">
        <v>0.652173913043478</v>
      </c>
      <c r="GG73" s="11" t="n">
        <v>0.295652173913043</v>
      </c>
      <c r="GH73" s="11" t="n">
        <v>0.295652173913043</v>
      </c>
      <c r="GI73" s="11" t="n">
        <v>-0.00655604644789887</v>
      </c>
      <c r="GJ73" s="11" t="n">
        <v>0.00146654504148857</v>
      </c>
      <c r="GK73" s="11" t="n">
        <v>-0.000309300204402086</v>
      </c>
      <c r="GL73" s="11" t="n">
        <v>0.00518105819146908</v>
      </c>
      <c r="GM73" s="11" t="n">
        <v>0.208796659118019</v>
      </c>
      <c r="GN73" s="11" t="n">
        <v>0.19612046854394</v>
      </c>
      <c r="GO73" s="11" t="n">
        <v>0.651902173913043</v>
      </c>
      <c r="GP73" s="11" t="n">
        <v>0.652173913043478</v>
      </c>
      <c r="GQ73" s="11" t="n">
        <v>-0.0306778233498335</v>
      </c>
      <c r="GR73" s="11" t="n">
        <v>0</v>
      </c>
      <c r="GS73" s="11" t="n">
        <v>1</v>
      </c>
      <c r="GT73" s="11" t="n">
        <v>0</v>
      </c>
      <c r="GU73" s="11" t="n">
        <v>0</v>
      </c>
      <c r="GV73" s="11" t="n">
        <v>1</v>
      </c>
      <c r="GW73" s="11" t="n">
        <v>1</v>
      </c>
      <c r="GX73" s="11" t="n">
        <v>1</v>
      </c>
      <c r="GY73" s="11" t="n">
        <v>1</v>
      </c>
      <c r="GZ73" s="11" t="n">
        <v>1</v>
      </c>
      <c r="HA73" s="11" t="n">
        <v>0</v>
      </c>
      <c r="HB73" s="11" t="n">
        <v>1</v>
      </c>
      <c r="HC73" s="11" t="n">
        <v>1</v>
      </c>
      <c r="HD73" s="11" t="n">
        <v>1</v>
      </c>
      <c r="HE73" s="11" t="n">
        <v>1</v>
      </c>
      <c r="HF73" s="11" t="n">
        <v>1</v>
      </c>
      <c r="HG73" s="11" t="n">
        <v>1</v>
      </c>
      <c r="HH73" s="11" t="n">
        <v>0</v>
      </c>
      <c r="HI73" s="11" t="n">
        <v>0</v>
      </c>
      <c r="HJ73" s="11" t="n">
        <v>0</v>
      </c>
      <c r="HK73" s="11" t="s">
        <v>139</v>
      </c>
      <c r="HL73" s="11" t="s">
        <v>577</v>
      </c>
      <c r="HM73" s="11" t="n">
        <v>1</v>
      </c>
      <c r="HN73" s="11" t="s">
        <v>1037</v>
      </c>
      <c r="HO73" s="11" t="s">
        <v>1038</v>
      </c>
      <c r="HP73" s="11" t="s">
        <v>1038</v>
      </c>
      <c r="HQ73" s="11" t="n">
        <v>0</v>
      </c>
      <c r="HR73" s="11" t="s">
        <v>189</v>
      </c>
      <c r="HS73" s="11" t="s">
        <v>249</v>
      </c>
      <c r="HT73" s="11" t="s">
        <v>249</v>
      </c>
      <c r="HU73" s="11" t="s">
        <v>1094</v>
      </c>
      <c r="HV73" s="11" t="s">
        <v>1094</v>
      </c>
      <c r="HW73" s="11" t="s">
        <v>749</v>
      </c>
      <c r="HX73" s="11" t="s">
        <v>741</v>
      </c>
      <c r="HY73" s="11" t="s">
        <v>583</v>
      </c>
      <c r="HZ73" s="11" t="s">
        <v>1095</v>
      </c>
      <c r="IA73" s="11" t="s">
        <v>1093</v>
      </c>
      <c r="IB73" s="11" t="s">
        <v>1096</v>
      </c>
      <c r="IC73" s="11" t="s">
        <v>253</v>
      </c>
      <c r="ID73" s="11" t="s">
        <v>744</v>
      </c>
      <c r="IE73" s="11" t="s">
        <v>198</v>
      </c>
      <c r="IF73" s="11" t="s">
        <v>191</v>
      </c>
      <c r="IG73" s="11" t="s">
        <v>237</v>
      </c>
      <c r="IH73" s="11" t="s">
        <v>1042</v>
      </c>
    </row>
    <row r="74" customFormat="false" ht="15" hidden="false" customHeight="false" outlineLevel="0" collapsed="false">
      <c r="A74" s="11" t="s">
        <v>95</v>
      </c>
      <c r="B74" s="11" t="s">
        <v>1097</v>
      </c>
      <c r="C74" s="11" t="s">
        <v>1035</v>
      </c>
      <c r="D74" s="11" t="s">
        <v>570</v>
      </c>
      <c r="E74" s="11" t="s">
        <v>51</v>
      </c>
      <c r="F74" s="11"/>
      <c r="G74" s="11"/>
      <c r="H74" s="11" t="s">
        <v>1098</v>
      </c>
      <c r="I74" s="11" t="s">
        <v>257</v>
      </c>
      <c r="J74" s="11" t="n">
        <v>130</v>
      </c>
      <c r="K74" s="11" t="n">
        <v>4.33333333333333</v>
      </c>
      <c r="L74" s="11" t="n">
        <v>0.747167229652405</v>
      </c>
      <c r="M74" s="11" t="n">
        <v>0.779056191444397</v>
      </c>
      <c r="N74" s="11" t="n">
        <v>0</v>
      </c>
      <c r="O74" s="11" t="n">
        <v>1.93823191760609</v>
      </c>
      <c r="P74" s="11" t="n">
        <v>1.80446947855079</v>
      </c>
      <c r="Q74" s="11" t="n">
        <v>0.31367441696928</v>
      </c>
      <c r="R74" s="11" t="n">
        <v>0.515384615384615</v>
      </c>
      <c r="S74" s="11" t="n">
        <v>0.184615384615385</v>
      </c>
      <c r="T74" s="11" t="n">
        <v>0.0153846153846154</v>
      </c>
      <c r="U74" s="11" t="n">
        <v>0</v>
      </c>
      <c r="V74" s="11" t="n">
        <v>0</v>
      </c>
      <c r="W74" s="11" t="n">
        <v>0.469230769230769</v>
      </c>
      <c r="X74" s="11" t="n">
        <v>0.238461538461538</v>
      </c>
      <c r="Y74" s="11" t="n">
        <v>0.315384615384615</v>
      </c>
      <c r="Z74" s="11" t="n">
        <v>0.346153846153846</v>
      </c>
      <c r="AA74" s="11" t="n">
        <v>0.153846153846154</v>
      </c>
      <c r="AB74" s="11" t="n">
        <v>0.123076923076923</v>
      </c>
      <c r="AC74" s="11" t="n">
        <v>-0.00256078247650001</v>
      </c>
      <c r="AD74" s="11" t="n">
        <v>-0.00710407362280361</v>
      </c>
      <c r="AE74" s="11" t="n">
        <v>0.468354430379747</v>
      </c>
      <c r="AF74" s="11" t="n">
        <v>0.30379746835443</v>
      </c>
      <c r="AG74" s="11" t="n">
        <v>0.215189873417721</v>
      </c>
      <c r="AH74" s="11" t="n">
        <v>0.230769230769231</v>
      </c>
      <c r="AI74" s="11" t="n">
        <v>0.153846153846154</v>
      </c>
      <c r="AJ74" s="11" t="n">
        <v>0.123076923076923</v>
      </c>
      <c r="AK74" s="11" t="n">
        <v>0.401054232102414</v>
      </c>
      <c r="AL74" s="11" t="n">
        <v>0</v>
      </c>
      <c r="AM74" s="11" t="n">
        <v>0</v>
      </c>
      <c r="AN74" s="11" t="n">
        <v>0</v>
      </c>
      <c r="AO74" s="11"/>
      <c r="AP74" s="11"/>
      <c r="AQ74" s="11"/>
      <c r="AR74" s="11" t="n">
        <v>0</v>
      </c>
      <c r="AS74" s="11" t="n">
        <v>0.107692307692308</v>
      </c>
      <c r="AT74" s="11" t="n">
        <v>0</v>
      </c>
      <c r="AU74" s="11" t="n">
        <v>0</v>
      </c>
      <c r="AV74" s="11" t="n">
        <v>0</v>
      </c>
      <c r="AW74" s="11" t="n">
        <v>0</v>
      </c>
      <c r="AX74" s="11" t="n">
        <v>0</v>
      </c>
      <c r="AY74" s="11" t="n">
        <v>0.00840403553491389</v>
      </c>
      <c r="AZ74" s="11" t="n">
        <v>0.0280963419589812</v>
      </c>
      <c r="BA74" s="11"/>
      <c r="BB74" s="11" t="n">
        <v>0.307692307692308</v>
      </c>
      <c r="BC74" s="11" t="n">
        <v>0.661538461538462</v>
      </c>
      <c r="BD74" s="11" t="n">
        <v>0.338461538461538</v>
      </c>
      <c r="BE74" s="11" t="n">
        <v>0.707692307692308</v>
      </c>
      <c r="BF74" s="11" t="n">
        <v>0.515384615384615</v>
      </c>
      <c r="BG74" s="11" t="n">
        <v>0.830769230769231</v>
      </c>
      <c r="BH74" s="11" t="n">
        <v>0.561538461538462</v>
      </c>
      <c r="BI74" s="11" t="n">
        <v>0.869230769230769</v>
      </c>
      <c r="BJ74" s="11" t="n">
        <v>0.231878383754631</v>
      </c>
      <c r="BK74" s="11" t="n">
        <v>0.598963219853317</v>
      </c>
      <c r="BL74" s="11" t="n">
        <v>0.119902720905197</v>
      </c>
      <c r="BM74" s="11" t="n">
        <v>0.0414997976547377</v>
      </c>
      <c r="BN74" s="11" t="n">
        <v>0.433661056744298</v>
      </c>
      <c r="BO74" s="11" t="n">
        <v>0.404594357456006</v>
      </c>
      <c r="BP74" s="11" t="n">
        <v>0.0103892948550298</v>
      </c>
      <c r="BQ74" s="11" t="n">
        <v>0.00604249923636995</v>
      </c>
      <c r="BR74" s="11" t="n">
        <v>3.31134699475512</v>
      </c>
      <c r="BS74" s="11" t="n">
        <v>23.7289959137117</v>
      </c>
      <c r="BT74" s="11" t="n">
        <v>13.3566846058274</v>
      </c>
      <c r="BU74" s="11" t="n">
        <v>23.1878383754631</v>
      </c>
      <c r="BV74" s="11" t="n">
        <v>6.86991986000213</v>
      </c>
      <c r="BW74" s="11" t="n">
        <v>12.5566355908208</v>
      </c>
      <c r="BX74" s="11" t="n">
        <v>3.71799811543673</v>
      </c>
      <c r="BY74" s="11" t="n">
        <v>6.86128137825691</v>
      </c>
      <c r="BZ74" s="11" t="n">
        <v>0.569230769230769</v>
      </c>
      <c r="CA74" s="11" t="n">
        <v>0.824324324324324</v>
      </c>
      <c r="CB74" s="11" t="n">
        <v>0.418918918918919</v>
      </c>
      <c r="CC74" s="11" t="n">
        <v>0.554054054054054</v>
      </c>
      <c r="CD74" s="11" t="n">
        <v>0.608108108108108</v>
      </c>
      <c r="CE74" s="11" t="n">
        <v>0.569230769230769</v>
      </c>
      <c r="CF74" s="11" t="n">
        <v>5</v>
      </c>
      <c r="CG74" s="11" t="n">
        <v>0</v>
      </c>
      <c r="CH74" s="11" t="n">
        <v>0.824324324324324</v>
      </c>
      <c r="CI74" s="11" t="n">
        <v>0.554054054054054</v>
      </c>
      <c r="CJ74" s="11" t="n">
        <v>0.608108108108108</v>
      </c>
      <c r="CK74" s="11" t="n">
        <v>0</v>
      </c>
      <c r="CL74" s="11" t="n">
        <v>0</v>
      </c>
      <c r="CM74" s="11" t="n">
        <v>0</v>
      </c>
      <c r="CN74" s="11" t="n">
        <v>0</v>
      </c>
      <c r="CO74" s="11" t="n">
        <v>0</v>
      </c>
      <c r="CP74" s="11" t="n">
        <v>0</v>
      </c>
      <c r="CQ74" s="11" t="n">
        <v>0</v>
      </c>
      <c r="CR74" s="11" t="n">
        <v>0</v>
      </c>
      <c r="CS74" s="11" t="n">
        <v>0</v>
      </c>
      <c r="CT74" s="11" t="n">
        <v>0</v>
      </c>
      <c r="CU74" s="11" t="n">
        <v>0</v>
      </c>
      <c r="CV74" s="11" t="n">
        <v>0</v>
      </c>
      <c r="CW74" s="11" t="n">
        <v>0.027027027027027</v>
      </c>
      <c r="CX74" s="11" t="n">
        <v>0</v>
      </c>
      <c r="CY74" s="11" t="n">
        <v>0.00563870526348848</v>
      </c>
      <c r="CZ74" s="11" t="n">
        <v>-0.069477251517574</v>
      </c>
      <c r="DA74" s="11" t="n">
        <v>10.5983660270441</v>
      </c>
      <c r="DB74" s="11" t="n">
        <v>-0.0268331011845634</v>
      </c>
      <c r="DC74" s="11" t="n">
        <v>23.6194649666309</v>
      </c>
      <c r="DD74" s="11" t="n">
        <v>0.171068437777529</v>
      </c>
      <c r="DE74" s="11" t="n">
        <v>0.415384615384615</v>
      </c>
      <c r="DF74" s="11" t="n">
        <v>-0.0128970466618206</v>
      </c>
      <c r="DG74" s="11" t="n">
        <v>-0.0301601582459856</v>
      </c>
      <c r="DH74" s="11" t="n">
        <v>1.7263111584165</v>
      </c>
      <c r="DI74" s="11" t="n">
        <v>183.497362413113</v>
      </c>
      <c r="DJ74" s="11" t="n">
        <v>73.2402049352586</v>
      </c>
      <c r="DK74" s="11" t="n">
        <v>14.2461194381259</v>
      </c>
      <c r="DL74" s="11" t="n">
        <v>49.05</v>
      </c>
      <c r="DM74" s="11" t="n">
        <v>0.546153846153846</v>
      </c>
      <c r="DN74" s="11" t="n">
        <v>0.507692307692308</v>
      </c>
      <c r="DO74" s="11" t="n">
        <v>-0.0108836328935083</v>
      </c>
      <c r="DP74" s="11" t="n">
        <v>0</v>
      </c>
      <c r="DQ74" s="11" t="n">
        <v>0</v>
      </c>
      <c r="DR74" s="11" t="n">
        <v>0</v>
      </c>
      <c r="DS74" s="11" t="n">
        <v>0</v>
      </c>
      <c r="DT74" s="11" t="n">
        <v>0</v>
      </c>
      <c r="DU74" s="11" t="n">
        <v>0</v>
      </c>
      <c r="DV74" s="11" t="n">
        <v>5</v>
      </c>
      <c r="DW74" s="11" t="s">
        <v>573</v>
      </c>
      <c r="DX74" s="11" t="n">
        <v>0.406307</v>
      </c>
      <c r="DY74" s="11" t="n">
        <v>0.000675013278046033</v>
      </c>
      <c r="DZ74" s="11" t="n">
        <v>0.811938986721954</v>
      </c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 t="n">
        <v>7.06925414513707</v>
      </c>
      <c r="EP74" s="11" t="n">
        <v>86.7910231125652</v>
      </c>
      <c r="EQ74" s="11" t="n">
        <v>2043.72085017934</v>
      </c>
      <c r="ER74" s="11" t="n">
        <v>4.43133395849785</v>
      </c>
      <c r="ES74" s="11" t="n">
        <v>4.43133395849785</v>
      </c>
      <c r="ET74" s="11" t="n">
        <v>2.13454392910909</v>
      </c>
      <c r="EU74" s="11" t="n">
        <v>55.7832499894309</v>
      </c>
      <c r="EV74" s="11" t="n">
        <v>55.7832499894309</v>
      </c>
      <c r="EW74" s="11" t="n">
        <v>741.663909294183</v>
      </c>
      <c r="EX74" s="11" t="n">
        <v>899.051877788581</v>
      </c>
      <c r="EY74" s="11" t="n">
        <v>1.68316707078215</v>
      </c>
      <c r="EZ74" s="11" t="n">
        <v>1.92368758022582</v>
      </c>
      <c r="FA74" s="11" t="n">
        <v>0.0493498859782397</v>
      </c>
      <c r="FB74" s="11" t="n">
        <v>1</v>
      </c>
      <c r="FC74" s="11" t="n">
        <v>0</v>
      </c>
      <c r="FD74" s="11" t="n">
        <v>0</v>
      </c>
      <c r="FE74" s="11" t="s">
        <v>574</v>
      </c>
      <c r="FF74" s="11" t="s">
        <v>258</v>
      </c>
      <c r="FG74" s="11" t="n">
        <v>130</v>
      </c>
      <c r="FH74" s="11" t="s">
        <v>575</v>
      </c>
      <c r="FI74" s="11" t="s">
        <v>59</v>
      </c>
      <c r="FJ74" s="11" t="n">
        <v>0.2</v>
      </c>
      <c r="FK74" s="11" t="n">
        <v>0.146929495912853</v>
      </c>
      <c r="FL74" s="11" t="n">
        <v>0.060491697336158</v>
      </c>
      <c r="FM74" s="11" t="n">
        <v>0</v>
      </c>
      <c r="FN74" s="11" t="n">
        <v>1</v>
      </c>
      <c r="FO74" s="11" t="n">
        <v>1.16380221139319</v>
      </c>
      <c r="FP74" s="11" t="n">
        <v>0.7171261665208</v>
      </c>
      <c r="FQ74" s="11" t="n">
        <v>0.292307692307692</v>
      </c>
      <c r="FR74" s="11" t="n">
        <v>0</v>
      </c>
      <c r="FS74" s="11" t="n">
        <v>1.16373852648258</v>
      </c>
      <c r="FT74" s="11" t="n">
        <v>0.717108594222471</v>
      </c>
      <c r="FU74" s="11" t="n">
        <v>1</v>
      </c>
      <c r="FV74" s="11" t="n">
        <v>10.1386670033916</v>
      </c>
      <c r="FW74" s="11" t="n">
        <v>423.342130925089</v>
      </c>
      <c r="FX74" s="11" t="n">
        <v>0.0178570984957921</v>
      </c>
      <c r="FY74" s="11" t="n">
        <v>1</v>
      </c>
      <c r="FZ74" s="11" t="n">
        <v>39</v>
      </c>
      <c r="GA74" s="11" t="n">
        <v>1</v>
      </c>
      <c r="GB74" s="11" t="s">
        <v>576</v>
      </c>
      <c r="GC74" s="11" t="n">
        <v>0.707118342472957</v>
      </c>
      <c r="GD74" s="11" t="n">
        <v>0.734247295673077</v>
      </c>
      <c r="GE74" s="11" t="n">
        <v>0.774135086731314</v>
      </c>
      <c r="GF74" s="11" t="n">
        <v>0.776923076923077</v>
      </c>
      <c r="GG74" s="11" t="n">
        <v>0.174278846153846</v>
      </c>
      <c r="GH74" s="11" t="n">
        <v>0.176923076923077</v>
      </c>
      <c r="GI74" s="11" t="n">
        <v>0.0115351798371054</v>
      </c>
      <c r="GJ74" s="11" t="n">
        <v>0.0199743278539525</v>
      </c>
      <c r="GK74" s="11" t="n">
        <v>0.0184264444515109</v>
      </c>
      <c r="GL74" s="11" t="n">
        <v>0.0227014094753451</v>
      </c>
      <c r="GM74" s="11" t="n">
        <v>0.0552108006834741</v>
      </c>
      <c r="GN74" s="11" t="n">
        <v>0.0486137217658185</v>
      </c>
      <c r="GO74" s="11" t="n">
        <v>0.774038461538462</v>
      </c>
      <c r="GP74" s="11" t="n">
        <v>0.776923076923077</v>
      </c>
      <c r="GQ74" s="11" t="n">
        <v>-0.0345506817102432</v>
      </c>
      <c r="GR74" s="11" t="n">
        <v>0</v>
      </c>
      <c r="GS74" s="11" t="n">
        <v>1</v>
      </c>
      <c r="GT74" s="11" t="n">
        <v>0</v>
      </c>
      <c r="GU74" s="11" t="n">
        <v>0</v>
      </c>
      <c r="GV74" s="11" t="n">
        <v>1</v>
      </c>
      <c r="GW74" s="11" t="n">
        <v>1</v>
      </c>
      <c r="GX74" s="11" t="n">
        <v>1</v>
      </c>
      <c r="GY74" s="11" t="n">
        <v>1</v>
      </c>
      <c r="GZ74" s="11" t="n">
        <v>1</v>
      </c>
      <c r="HA74" s="11" t="n">
        <v>1</v>
      </c>
      <c r="HB74" s="11" t="n">
        <v>0</v>
      </c>
      <c r="HC74" s="11" t="n">
        <v>1</v>
      </c>
      <c r="HD74" s="11" t="n">
        <v>0</v>
      </c>
      <c r="HE74" s="11" t="n">
        <v>1</v>
      </c>
      <c r="HF74" s="11" t="n">
        <v>1</v>
      </c>
      <c r="HG74" s="11" t="n">
        <v>1</v>
      </c>
      <c r="HH74" s="11" t="n">
        <v>1</v>
      </c>
      <c r="HI74" s="11" t="n">
        <v>0</v>
      </c>
      <c r="HJ74" s="11" t="n">
        <v>0</v>
      </c>
      <c r="HK74" s="11" t="s">
        <v>989</v>
      </c>
      <c r="HL74" s="11" t="s">
        <v>577</v>
      </c>
      <c r="HM74" s="11" t="n">
        <v>1</v>
      </c>
      <c r="HN74" s="11" t="s">
        <v>1037</v>
      </c>
      <c r="HO74" s="11" t="s">
        <v>1038</v>
      </c>
      <c r="HP74" s="11" t="s">
        <v>1038</v>
      </c>
      <c r="HQ74" s="11" t="n">
        <v>0</v>
      </c>
      <c r="HR74" s="11" t="s">
        <v>189</v>
      </c>
      <c r="HS74" s="11" t="s">
        <v>249</v>
      </c>
      <c r="HT74" s="11" t="s">
        <v>249</v>
      </c>
      <c r="HU74" s="11" t="s">
        <v>1099</v>
      </c>
      <c r="HV74" s="11" t="s">
        <v>1099</v>
      </c>
      <c r="HW74" s="11" t="s">
        <v>765</v>
      </c>
      <c r="HX74" s="11" t="s">
        <v>758</v>
      </c>
      <c r="HY74" s="11" t="s">
        <v>583</v>
      </c>
      <c r="HZ74" s="11" t="s">
        <v>1100</v>
      </c>
      <c r="IA74" s="11" t="s">
        <v>1098</v>
      </c>
      <c r="IB74" s="11" t="s">
        <v>1101</v>
      </c>
      <c r="IC74" s="11" t="s">
        <v>258</v>
      </c>
      <c r="ID74" s="11" t="s">
        <v>761</v>
      </c>
      <c r="IE74" s="11" t="s">
        <v>198</v>
      </c>
      <c r="IF74" s="11" t="s">
        <v>205</v>
      </c>
      <c r="IG74" s="11" t="s">
        <v>243</v>
      </c>
      <c r="IH74" s="11" t="s">
        <v>1048</v>
      </c>
    </row>
    <row r="75" customFormat="false" ht="15" hidden="false" customHeight="false" outlineLevel="0" collapsed="false">
      <c r="A75" s="11" t="s">
        <v>96</v>
      </c>
      <c r="B75" s="11" t="s">
        <v>1102</v>
      </c>
      <c r="C75" s="11" t="s">
        <v>1035</v>
      </c>
      <c r="D75" s="11" t="s">
        <v>570</v>
      </c>
      <c r="E75" s="11" t="s">
        <v>51</v>
      </c>
      <c r="F75" s="11"/>
      <c r="G75" s="11"/>
      <c r="H75" s="11" t="s">
        <v>1103</v>
      </c>
      <c r="I75" s="11" t="s">
        <v>262</v>
      </c>
      <c r="J75" s="11" t="n">
        <v>109</v>
      </c>
      <c r="K75" s="11" t="n">
        <v>3.63333333333333</v>
      </c>
      <c r="L75" s="11" t="n">
        <v>0.713241934776306</v>
      </c>
      <c r="M75" s="11" t="n">
        <v>0.798712313175201</v>
      </c>
      <c r="N75" s="11" t="n">
        <v>0</v>
      </c>
      <c r="O75" s="11" t="n">
        <v>1.26433964471584</v>
      </c>
      <c r="P75" s="11" t="n">
        <v>0.799331443391108</v>
      </c>
      <c r="Q75" s="11" t="n">
        <v>0.224169804277328</v>
      </c>
      <c r="R75" s="11" t="n">
        <v>0.440366972477064</v>
      </c>
      <c r="S75" s="11" t="n">
        <v>0.330275229357798</v>
      </c>
      <c r="T75" s="11" t="n">
        <v>0.0642201834862385</v>
      </c>
      <c r="U75" s="11" t="n">
        <v>0.018348623853211</v>
      </c>
      <c r="V75" s="11" t="n">
        <v>0</v>
      </c>
      <c r="W75" s="11" t="n">
        <v>0.422018348623853</v>
      </c>
      <c r="X75" s="11" t="n">
        <v>0.339449541284404</v>
      </c>
      <c r="Y75" s="11" t="n">
        <v>0.36697247706422</v>
      </c>
      <c r="Z75" s="11" t="n">
        <v>0.385321100917431</v>
      </c>
      <c r="AA75" s="11" t="n">
        <v>0.055045871559633</v>
      </c>
      <c r="AB75" s="11" t="n">
        <v>0.036697247706422</v>
      </c>
      <c r="AC75" s="11" t="n">
        <v>-0.00182180191652315</v>
      </c>
      <c r="AD75" s="11" t="n">
        <v>-0.0114178074733688</v>
      </c>
      <c r="AE75" s="11" t="n">
        <v>0.212765957446808</v>
      </c>
      <c r="AF75" s="11" t="n">
        <v>0.127659574468085</v>
      </c>
      <c r="AG75" s="11" t="n">
        <v>0.0851063829787234</v>
      </c>
      <c r="AH75" s="11" t="n">
        <v>0.0825688073394496</v>
      </c>
      <c r="AI75" s="11" t="n">
        <v>0.055045871559633</v>
      </c>
      <c r="AJ75" s="11" t="n">
        <v>0.036697247706422</v>
      </c>
      <c r="AK75" s="11" t="n">
        <v>0.459818344770947</v>
      </c>
      <c r="AL75" s="11" t="n">
        <v>0</v>
      </c>
      <c r="AM75" s="11" t="n">
        <v>0</v>
      </c>
      <c r="AN75" s="11" t="n">
        <v>0</v>
      </c>
      <c r="AO75" s="11"/>
      <c r="AP75" s="11"/>
      <c r="AQ75" s="11"/>
      <c r="AR75" s="11" t="n">
        <v>0</v>
      </c>
      <c r="AS75" s="11" t="n">
        <v>0</v>
      </c>
      <c r="AT75" s="11" t="n">
        <v>0</v>
      </c>
      <c r="AU75" s="11" t="n">
        <v>0</v>
      </c>
      <c r="AV75" s="11" t="n">
        <v>0</v>
      </c>
      <c r="AW75" s="11" t="n">
        <v>0</v>
      </c>
      <c r="AX75" s="11" t="n">
        <v>0</v>
      </c>
      <c r="AY75" s="11" t="n">
        <v>0.00512685556740439</v>
      </c>
      <c r="AZ75" s="11" t="n">
        <v>0.0163639415417588</v>
      </c>
      <c r="BA75" s="11"/>
      <c r="BB75" s="11" t="n">
        <v>0</v>
      </c>
      <c r="BC75" s="11" t="n">
        <v>0.697247706422018</v>
      </c>
      <c r="BD75" s="11" t="n">
        <v>0.0458715596330275</v>
      </c>
      <c r="BE75" s="11" t="n">
        <v>0.743119266055046</v>
      </c>
      <c r="BF75" s="11" t="n">
        <v>0.275229357798165</v>
      </c>
      <c r="BG75" s="11" t="n">
        <v>0.798165137614679</v>
      </c>
      <c r="BH75" s="11" t="n">
        <v>0.55045871559633</v>
      </c>
      <c r="BI75" s="11" t="n">
        <v>0.825688073394495</v>
      </c>
      <c r="BJ75" s="11" t="n">
        <v>0.292538963779169</v>
      </c>
      <c r="BK75" s="11" t="n">
        <v>0.873220878795904</v>
      </c>
      <c r="BL75" s="11" t="n">
        <v>0.0889300640935911</v>
      </c>
      <c r="BM75" s="11" t="n">
        <v>0.0230872361703117</v>
      </c>
      <c r="BN75" s="11" t="n">
        <v>0.406447568260563</v>
      </c>
      <c r="BO75" s="11" t="n">
        <v>0.159769726778309</v>
      </c>
      <c r="BP75" s="11" t="n">
        <v>0.0132475486826332</v>
      </c>
      <c r="BQ75" s="11" t="n">
        <v>0.00741145305606015</v>
      </c>
      <c r="BR75" s="11" t="n">
        <v>3.00353076352796</v>
      </c>
      <c r="BS75" s="11" t="n">
        <v>30.8017075888021</v>
      </c>
      <c r="BT75" s="11" t="n">
        <v>12.6783812707335</v>
      </c>
      <c r="BU75" s="11" t="n">
        <v>29.2538963779169</v>
      </c>
      <c r="BV75" s="11" t="n">
        <v>5.09531734439014</v>
      </c>
      <c r="BW75" s="11" t="n">
        <v>6.89512861344936</v>
      </c>
      <c r="BX75" s="11" t="n">
        <v>3.24955624772407</v>
      </c>
      <c r="BY75" s="11" t="n">
        <v>3.45824238604432</v>
      </c>
      <c r="BZ75" s="11" t="n">
        <v>0.605504587155963</v>
      </c>
      <c r="CA75" s="11" t="n">
        <v>0.621212121212121</v>
      </c>
      <c r="CB75" s="11" t="n">
        <v>0.515151515151515</v>
      </c>
      <c r="CC75" s="11" t="n">
        <v>0.560606060606061</v>
      </c>
      <c r="CD75" s="11" t="n">
        <v>0.590909090909091</v>
      </c>
      <c r="CE75" s="11" t="n">
        <v>0.605504587155963</v>
      </c>
      <c r="CF75" s="11" t="n">
        <v>5</v>
      </c>
      <c r="CG75" s="11" t="n">
        <v>0</v>
      </c>
      <c r="CH75" s="11" t="n">
        <v>0.621212121212121</v>
      </c>
      <c r="CI75" s="11" t="n">
        <v>0.560606060606061</v>
      </c>
      <c r="CJ75" s="11" t="n">
        <v>0.590909090909091</v>
      </c>
      <c r="CK75" s="11" t="n">
        <v>0.116279069767442</v>
      </c>
      <c r="CL75" s="11" t="n">
        <v>0.0697674418604651</v>
      </c>
      <c r="CM75" s="11" t="n">
        <v>0.0697674418604651</v>
      </c>
      <c r="CN75" s="11" t="n">
        <v>0.0697674418604651</v>
      </c>
      <c r="CO75" s="11" t="n">
        <v>0.333333333333333</v>
      </c>
      <c r="CP75" s="11" t="n">
        <v>0</v>
      </c>
      <c r="CQ75" s="11" t="n">
        <v>0</v>
      </c>
      <c r="CR75" s="11" t="n">
        <v>0</v>
      </c>
      <c r="CS75" s="11" t="n">
        <v>0.0810810810810811</v>
      </c>
      <c r="CT75" s="11" t="n">
        <v>0.0810810810810811</v>
      </c>
      <c r="CU75" s="11" t="n">
        <v>0.0810810810810811</v>
      </c>
      <c r="CV75" s="11" t="n">
        <v>0.0810810810810811</v>
      </c>
      <c r="CW75" s="11" t="n">
        <v>0.0757575757575758</v>
      </c>
      <c r="CX75" s="11" t="n">
        <v>0.0151515151515152</v>
      </c>
      <c r="CY75" s="11" t="n">
        <v>0.013561793875072</v>
      </c>
      <c r="CZ75" s="11" t="n">
        <v>-0.0498650364401626</v>
      </c>
      <c r="DA75" s="11" t="n">
        <v>5.36625189201066</v>
      </c>
      <c r="DB75" s="11" t="n">
        <v>-0.0186936690931467</v>
      </c>
      <c r="DC75" s="11" t="n">
        <v>9.612822411089</v>
      </c>
      <c r="DD75" s="11" t="n">
        <v>0.227866084428835</v>
      </c>
      <c r="DE75" s="11" t="n">
        <v>0.394495412844037</v>
      </c>
      <c r="DF75" s="11" t="n">
        <v>-0.00359684963797525</v>
      </c>
      <c r="DG75" s="11" t="n">
        <v>-0.0178309766079125</v>
      </c>
      <c r="DH75" s="11" t="n">
        <v>1.42341269699372</v>
      </c>
      <c r="DI75" s="11" t="n">
        <v>85.8002529852727</v>
      </c>
      <c r="DJ75" s="11" t="n">
        <v>40.2053700062575</v>
      </c>
      <c r="DK75" s="11" t="n">
        <v>8.32545236492559</v>
      </c>
      <c r="DL75" s="11" t="n">
        <v>49.05</v>
      </c>
      <c r="DM75" s="11" t="n">
        <v>0.614678899082569</v>
      </c>
      <c r="DN75" s="11" t="n">
        <v>0.541284403669725</v>
      </c>
      <c r="DO75" s="11" t="n">
        <v>-0.0173238957319713</v>
      </c>
      <c r="DP75" s="11" t="n">
        <v>0</v>
      </c>
      <c r="DQ75" s="11" t="n">
        <v>0.018348623853211</v>
      </c>
      <c r="DR75" s="11" t="n">
        <v>0.018348623853211</v>
      </c>
      <c r="DS75" s="11" t="n">
        <v>0</v>
      </c>
      <c r="DT75" s="11" t="n">
        <v>0</v>
      </c>
      <c r="DU75" s="11" t="n">
        <v>0</v>
      </c>
      <c r="DV75" s="11" t="n">
        <v>5</v>
      </c>
      <c r="DW75" s="11" t="s">
        <v>573</v>
      </c>
      <c r="DX75" s="11" t="n">
        <v>0.406307</v>
      </c>
      <c r="DY75" s="11" t="n">
        <v>0.347799786580023</v>
      </c>
      <c r="DZ75" s="11" t="n">
        <v>0.464814213419977</v>
      </c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 t="n">
        <v>6.76836441756199</v>
      </c>
      <c r="EP75" s="11" t="n">
        <v>72.2943066054925</v>
      </c>
      <c r="EQ75" s="11" t="n">
        <v>1770.42800940592</v>
      </c>
      <c r="ER75" s="11" t="n">
        <v>2.76570755666665</v>
      </c>
      <c r="ES75" s="11" t="n">
        <v>2.76570755666665</v>
      </c>
      <c r="ET75" s="11" t="n">
        <v>1.54461768929859</v>
      </c>
      <c r="EU75" s="11" t="n">
        <v>45.1335517698788</v>
      </c>
      <c r="EV75" s="11" t="n">
        <v>45.1335517698788</v>
      </c>
      <c r="EW75" s="11" t="n">
        <v>526.450344881668</v>
      </c>
      <c r="EX75" s="11" t="n">
        <v>658.112241220534</v>
      </c>
      <c r="EY75" s="11" t="n">
        <v>0.985834249437207</v>
      </c>
      <c r="EZ75" s="11" t="n">
        <v>0.873412135003142</v>
      </c>
      <c r="FA75" s="11" t="n">
        <v>0.049573219574789</v>
      </c>
      <c r="FB75" s="11" t="n">
        <v>1</v>
      </c>
      <c r="FC75" s="11" t="n">
        <v>0</v>
      </c>
      <c r="FD75" s="11" t="n">
        <v>0</v>
      </c>
      <c r="FE75" s="11" t="s">
        <v>574</v>
      </c>
      <c r="FF75" s="11" t="s">
        <v>263</v>
      </c>
      <c r="FG75" s="11" t="n">
        <v>109</v>
      </c>
      <c r="FH75" s="11" t="s">
        <v>575</v>
      </c>
      <c r="FI75" s="11" t="s">
        <v>59</v>
      </c>
      <c r="FJ75" s="11" t="n">
        <v>0.2</v>
      </c>
      <c r="FK75" s="11" t="n">
        <v>0.0969355602803559</v>
      </c>
      <c r="FL75" s="11" t="n">
        <v>0.0517629103213766</v>
      </c>
      <c r="FM75" s="11" t="n">
        <v>0</v>
      </c>
      <c r="FN75" s="11" t="n">
        <v>1</v>
      </c>
      <c r="FO75" s="11" t="n">
        <v>0.976102588988703</v>
      </c>
      <c r="FP75" s="11" t="n">
        <v>0.895393963499601</v>
      </c>
      <c r="FQ75" s="11" t="n">
        <v>0.344036697247706</v>
      </c>
      <c r="FR75" s="11" t="n">
        <v>0</v>
      </c>
      <c r="FS75" s="11" t="n">
        <v>0.976048081567722</v>
      </c>
      <c r="FT75" s="11" t="n">
        <v>0.895382174179001</v>
      </c>
      <c r="FU75" s="11" t="n">
        <v>1</v>
      </c>
      <c r="FV75" s="11" t="n">
        <v>7.14696471636784</v>
      </c>
      <c r="FW75" s="11" t="n">
        <v>240.828981050071</v>
      </c>
      <c r="FX75" s="11" t="n">
        <v>0.0167642532869274</v>
      </c>
      <c r="FY75" s="11" t="n">
        <v>1</v>
      </c>
      <c r="FZ75" s="11" t="n">
        <v>37</v>
      </c>
      <c r="GA75" s="11" t="n">
        <v>1</v>
      </c>
      <c r="GB75" s="11" t="s">
        <v>576</v>
      </c>
      <c r="GC75" s="11" t="n">
        <v>0.921405757239105</v>
      </c>
      <c r="GD75" s="11" t="n">
        <v>0.940689506880734</v>
      </c>
      <c r="GE75" s="11" t="n">
        <v>0.942744873183215</v>
      </c>
      <c r="GF75" s="11" t="n">
        <v>0.944954128440367</v>
      </c>
      <c r="GG75" s="11" t="n">
        <v>0</v>
      </c>
      <c r="GH75" s="11" t="n">
        <v>0</v>
      </c>
      <c r="GI75" s="11" t="n">
        <v>0.0434868382438862</v>
      </c>
      <c r="GJ75" s="11" t="n">
        <v>0.0559024598124787</v>
      </c>
      <c r="GK75" s="11" t="n">
        <v>0.0528529186709011</v>
      </c>
      <c r="GL75" s="11" t="n">
        <v>0.0587129824017303</v>
      </c>
      <c r="GM75" s="11" t="n">
        <v>0.00333048167011674</v>
      </c>
      <c r="GN75" s="11" t="n">
        <v>9.61257097815428E-005</v>
      </c>
      <c r="GO75" s="11" t="n">
        <v>0.942660550458715</v>
      </c>
      <c r="GP75" s="11" t="n">
        <v>0.944954128440367</v>
      </c>
      <c r="GQ75" s="11" t="n">
        <v>-0.0267492868006229</v>
      </c>
      <c r="GR75" s="11" t="n">
        <v>1</v>
      </c>
      <c r="GS75" s="11" t="n">
        <v>1</v>
      </c>
      <c r="GT75" s="11" t="n">
        <v>0</v>
      </c>
      <c r="GU75" s="11" t="n">
        <v>0</v>
      </c>
      <c r="GV75" s="11" t="n">
        <v>1</v>
      </c>
      <c r="GW75" s="11" t="n">
        <v>1</v>
      </c>
      <c r="GX75" s="11" t="n">
        <v>1</v>
      </c>
      <c r="GY75" s="11" t="n">
        <v>1</v>
      </c>
      <c r="GZ75" s="11" t="n">
        <v>1</v>
      </c>
      <c r="HA75" s="11" t="n">
        <v>1</v>
      </c>
      <c r="HB75" s="11" t="n">
        <v>0</v>
      </c>
      <c r="HC75" s="11" t="n">
        <v>1</v>
      </c>
      <c r="HD75" s="11" t="n">
        <v>0</v>
      </c>
      <c r="HE75" s="11" t="n">
        <v>1</v>
      </c>
      <c r="HF75" s="11" t="n">
        <v>1</v>
      </c>
      <c r="HG75" s="11" t="n">
        <v>1</v>
      </c>
      <c r="HH75" s="11" t="n">
        <v>1</v>
      </c>
      <c r="HI75" s="11" t="n">
        <v>0</v>
      </c>
      <c r="HJ75" s="11" t="n">
        <v>0</v>
      </c>
      <c r="HK75" s="11" t="s">
        <v>989</v>
      </c>
      <c r="HL75" s="11" t="s">
        <v>577</v>
      </c>
      <c r="HM75" s="11" t="n">
        <v>1</v>
      </c>
      <c r="HN75" s="11" t="s">
        <v>1037</v>
      </c>
      <c r="HO75" s="11" t="s">
        <v>1038</v>
      </c>
      <c r="HP75" s="11" t="s">
        <v>1038</v>
      </c>
      <c r="HQ75" s="11" t="n">
        <v>0</v>
      </c>
      <c r="HR75" s="11" t="s">
        <v>189</v>
      </c>
      <c r="HS75" s="11" t="s">
        <v>249</v>
      </c>
      <c r="HT75" s="11" t="s">
        <v>249</v>
      </c>
      <c r="HU75" s="11" t="s">
        <v>1104</v>
      </c>
      <c r="HV75" s="11" t="s">
        <v>1104</v>
      </c>
      <c r="HW75" s="11" t="s">
        <v>782</v>
      </c>
      <c r="HX75" s="11" t="s">
        <v>774</v>
      </c>
      <c r="HY75" s="11" t="s">
        <v>583</v>
      </c>
      <c r="HZ75" s="11" t="s">
        <v>1105</v>
      </c>
      <c r="IA75" s="11" t="s">
        <v>1103</v>
      </c>
      <c r="IB75" s="11" t="s">
        <v>1106</v>
      </c>
      <c r="IC75" s="11" t="s">
        <v>263</v>
      </c>
      <c r="ID75" s="11" t="s">
        <v>777</v>
      </c>
      <c r="IE75" s="11" t="s">
        <v>198</v>
      </c>
      <c r="IF75" s="11" t="s">
        <v>191</v>
      </c>
      <c r="IG75" s="11" t="s">
        <v>237</v>
      </c>
      <c r="IH75" s="11" t="s">
        <v>1048</v>
      </c>
    </row>
    <row r="76" customFormat="false" ht="15" hidden="false" customHeight="false" outlineLevel="0" collapsed="false">
      <c r="A76" s="11" t="s">
        <v>97</v>
      </c>
      <c r="B76" s="11" t="s">
        <v>1107</v>
      </c>
      <c r="C76" s="11" t="s">
        <v>1035</v>
      </c>
      <c r="D76" s="11" t="s">
        <v>570</v>
      </c>
      <c r="E76" s="11" t="s">
        <v>51</v>
      </c>
      <c r="F76" s="11"/>
      <c r="G76" s="11"/>
      <c r="H76" s="11" t="s">
        <v>1108</v>
      </c>
      <c r="I76" s="11" t="s">
        <v>267</v>
      </c>
      <c r="J76" s="11" t="n">
        <v>115</v>
      </c>
      <c r="K76" s="11" t="n">
        <v>3.83333333333333</v>
      </c>
      <c r="L76" s="11" t="n">
        <v>0.737904906272888</v>
      </c>
      <c r="M76" s="11" t="n">
        <v>0.810812592506409</v>
      </c>
      <c r="N76" s="11" t="n">
        <v>0</v>
      </c>
      <c r="O76" s="11" t="n">
        <v>1.43203838168793</v>
      </c>
      <c r="P76" s="11" t="n">
        <v>1.58436825496998</v>
      </c>
      <c r="Q76" s="11" t="n">
        <v>0.213332211060324</v>
      </c>
      <c r="R76" s="11" t="n">
        <v>0.373913043478261</v>
      </c>
      <c r="S76" s="11" t="n">
        <v>0.295652173913043</v>
      </c>
      <c r="T76" s="11" t="n">
        <v>0</v>
      </c>
      <c r="U76" s="11" t="n">
        <v>0</v>
      </c>
      <c r="V76" s="11" t="n">
        <v>0</v>
      </c>
      <c r="W76" s="11" t="n">
        <v>0.643478260869565</v>
      </c>
      <c r="X76" s="11" t="n">
        <v>0.269565217391304</v>
      </c>
      <c r="Y76" s="11" t="n">
        <v>0.339130434782609</v>
      </c>
      <c r="Z76" s="11" t="n">
        <v>0.547826086956522</v>
      </c>
      <c r="AA76" s="11" t="n">
        <v>0.304347826086956</v>
      </c>
      <c r="AB76" s="11" t="n">
        <v>0.0956521739130435</v>
      </c>
      <c r="AC76" s="11" t="n">
        <v>-0.00251436079784035</v>
      </c>
      <c r="AD76" s="11" t="n">
        <v>-0.0059121898473102</v>
      </c>
      <c r="AE76" s="11" t="n">
        <v>0.551020408163265</v>
      </c>
      <c r="AF76" s="11" t="n">
        <v>0.387755102040816</v>
      </c>
      <c r="AG76" s="11" t="n">
        <v>0.112244897959184</v>
      </c>
      <c r="AH76" s="11" t="n">
        <v>0.373913043478261</v>
      </c>
      <c r="AI76" s="11" t="n">
        <v>0.304347826086956</v>
      </c>
      <c r="AJ76" s="11" t="n">
        <v>0.0956521739130435</v>
      </c>
      <c r="AK76" s="11" t="n">
        <v>0.40366826192881</v>
      </c>
      <c r="AL76" s="11" t="n">
        <v>0</v>
      </c>
      <c r="AM76" s="11" t="n">
        <v>0</v>
      </c>
      <c r="AN76" s="11" t="n">
        <v>0</v>
      </c>
      <c r="AO76" s="11"/>
      <c r="AP76" s="11"/>
      <c r="AQ76" s="11"/>
      <c r="AR76" s="11" t="n">
        <v>0</v>
      </c>
      <c r="AS76" s="11" t="n">
        <v>0.0782608695652174</v>
      </c>
      <c r="AT76" s="11" t="n">
        <v>0.0260869565217391</v>
      </c>
      <c r="AU76" s="11" t="n">
        <v>0.0260869565217391</v>
      </c>
      <c r="AV76" s="11" t="n">
        <v>0</v>
      </c>
      <c r="AW76" s="11" t="n">
        <v>0</v>
      </c>
      <c r="AX76" s="11" t="n">
        <v>0</v>
      </c>
      <c r="AY76" s="11" t="n">
        <v>0.00790350162542052</v>
      </c>
      <c r="AZ76" s="11" t="n">
        <v>0.0221996093524279</v>
      </c>
      <c r="BA76" s="11"/>
      <c r="BB76" s="11" t="n">
        <v>0.217391304347826</v>
      </c>
      <c r="BC76" s="11" t="n">
        <v>0.765217391304348</v>
      </c>
      <c r="BD76" s="11" t="n">
        <v>0.51304347826087</v>
      </c>
      <c r="BE76" s="11" t="n">
        <v>0.782608695652174</v>
      </c>
      <c r="BF76" s="11" t="n">
        <v>0.747826086956522</v>
      </c>
      <c r="BG76" s="11" t="n">
        <v>0.8</v>
      </c>
      <c r="BH76" s="11" t="n">
        <v>0.756521739130435</v>
      </c>
      <c r="BI76" s="11" t="n">
        <v>0.860869565217391</v>
      </c>
      <c r="BJ76" s="11" t="n">
        <v>0.201260299545665</v>
      </c>
      <c r="BK76" s="11" t="n">
        <v>0.0728874052536475</v>
      </c>
      <c r="BL76" s="11" t="n">
        <v>0.331937284324278</v>
      </c>
      <c r="BM76" s="11" t="n">
        <v>0.090539540001012</v>
      </c>
      <c r="BN76" s="11" t="n">
        <v>0.471183400336807</v>
      </c>
      <c r="BO76" s="11" t="n">
        <v>0.540774016073425</v>
      </c>
      <c r="BP76" s="11" t="n">
        <v>0.0154050550692078</v>
      </c>
      <c r="BQ76" s="11" t="n">
        <v>0.0121269046322668</v>
      </c>
      <c r="BR76" s="11" t="n">
        <v>3.68432368113416</v>
      </c>
      <c r="BS76" s="11" t="n">
        <v>17.157997060946</v>
      </c>
      <c r="BT76" s="11" t="n">
        <v>25.9579162308644</v>
      </c>
      <c r="BU76" s="11" t="n">
        <v>20.1260299545665</v>
      </c>
      <c r="BV76" s="11" t="n">
        <v>19.0186054548146</v>
      </c>
      <c r="BW76" s="11" t="n">
        <v>11.6918214080153</v>
      </c>
      <c r="BX76" s="11" t="n">
        <v>2.82821410402475</v>
      </c>
      <c r="BY76" s="11" t="n">
        <v>5.15211384699927</v>
      </c>
      <c r="BZ76" s="11" t="n">
        <v>0.756521739130435</v>
      </c>
      <c r="CA76" s="11" t="n">
        <v>0.839080459770115</v>
      </c>
      <c r="CB76" s="11" t="n">
        <v>0.344827586206897</v>
      </c>
      <c r="CC76" s="11" t="n">
        <v>0.436781609195402</v>
      </c>
      <c r="CD76" s="11" t="n">
        <v>0.71264367816092</v>
      </c>
      <c r="CE76" s="11" t="n">
        <v>0.756521739130435</v>
      </c>
      <c r="CF76" s="11" t="n">
        <v>5</v>
      </c>
      <c r="CG76" s="11" t="n">
        <v>0</v>
      </c>
      <c r="CH76" s="11" t="n">
        <v>0.839080459770115</v>
      </c>
      <c r="CI76" s="11" t="n">
        <v>0.436781609195402</v>
      </c>
      <c r="CJ76" s="11" t="n">
        <v>0.71264367816092</v>
      </c>
      <c r="CK76" s="11" t="n">
        <v>0.0357142857142857</v>
      </c>
      <c r="CL76" s="11" t="n">
        <v>0.0357142857142857</v>
      </c>
      <c r="CM76" s="11" t="n">
        <v>0.0357142857142857</v>
      </c>
      <c r="CN76" s="11" t="n">
        <v>0.0357142857142857</v>
      </c>
      <c r="CO76" s="11" t="n">
        <v>0</v>
      </c>
      <c r="CP76" s="11" t="n">
        <v>0</v>
      </c>
      <c r="CQ76" s="11" t="n">
        <v>0</v>
      </c>
      <c r="CR76" s="11" t="n">
        <v>0</v>
      </c>
      <c r="CS76" s="11" t="n">
        <v>0.0833333333333333</v>
      </c>
      <c r="CT76" s="11" t="n">
        <v>0.0833333333333333</v>
      </c>
      <c r="CU76" s="11" t="n">
        <v>0.0833333333333333</v>
      </c>
      <c r="CV76" s="11" t="n">
        <v>0.0833333333333333</v>
      </c>
      <c r="CW76" s="11" t="n">
        <v>0</v>
      </c>
      <c r="CX76" s="11" t="n">
        <v>0</v>
      </c>
      <c r="CY76" s="11" t="n">
        <v>0.00423187714542677</v>
      </c>
      <c r="CZ76" s="11" t="n">
        <v>-0.0484033020777329</v>
      </c>
      <c r="DA76" s="11" t="n">
        <v>10.5074532225417</v>
      </c>
      <c r="DB76" s="11" t="n">
        <v>-0.0146097768493834</v>
      </c>
      <c r="DC76" s="11" t="n">
        <v>18.3428564312089</v>
      </c>
      <c r="DD76" s="11" t="n">
        <v>0.149720301402481</v>
      </c>
      <c r="DE76" s="11" t="n">
        <v>0.504347826086956</v>
      </c>
      <c r="DF76" s="11" t="n">
        <v>-0.00516066643120188</v>
      </c>
      <c r="DG76" s="11" t="n">
        <v>-0.020477225393526</v>
      </c>
      <c r="DH76" s="11" t="n">
        <v>1.53165589623242</v>
      </c>
      <c r="DI76" s="11" t="n">
        <v>146.236321314242</v>
      </c>
      <c r="DJ76" s="11" t="n">
        <v>51.5253777686591</v>
      </c>
      <c r="DK76" s="11" t="n">
        <v>10.8915885918399</v>
      </c>
      <c r="DL76" s="11" t="n">
        <v>49.05</v>
      </c>
      <c r="DM76" s="11" t="n">
        <v>0.782608695652174</v>
      </c>
      <c r="DN76" s="11" t="n">
        <v>0.765217391304348</v>
      </c>
      <c r="DO76" s="11" t="n">
        <v>-0.0145965391661691</v>
      </c>
      <c r="DP76" s="11" t="n">
        <v>0</v>
      </c>
      <c r="DQ76" s="11" t="n">
        <v>0</v>
      </c>
      <c r="DR76" s="11" t="n">
        <v>0</v>
      </c>
      <c r="DS76" s="11" t="n">
        <v>0</v>
      </c>
      <c r="DT76" s="11" t="n">
        <v>0</v>
      </c>
      <c r="DU76" s="11" t="n">
        <v>0</v>
      </c>
      <c r="DV76" s="11" t="n">
        <v>5</v>
      </c>
      <c r="DW76" s="11" t="s">
        <v>573</v>
      </c>
      <c r="DX76" s="11" t="n">
        <v>0.406307</v>
      </c>
      <c r="DY76" s="11" t="n">
        <v>0.00645208376451589</v>
      </c>
      <c r="DZ76" s="11" t="n">
        <v>0.806161916235484</v>
      </c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 t="n">
        <v>7.69433710616341</v>
      </c>
      <c r="EP76" s="11" t="n">
        <v>86.6728890464103</v>
      </c>
      <c r="EQ76" s="11" t="n">
        <v>2021.59390661056</v>
      </c>
      <c r="ER76" s="11" t="n">
        <v>3.10412375848973</v>
      </c>
      <c r="ES76" s="11" t="n">
        <v>3.10412375848973</v>
      </c>
      <c r="ET76" s="11" t="n">
        <v>2.93419134432064</v>
      </c>
      <c r="EU76" s="11" t="n">
        <v>48.29613546412</v>
      </c>
      <c r="EV76" s="11" t="n">
        <v>48.29613546412</v>
      </c>
      <c r="EW76" s="11" t="n">
        <v>673.126320986615</v>
      </c>
      <c r="EX76" s="11" t="n">
        <v>901.842737436848</v>
      </c>
      <c r="EY76" s="11" t="n">
        <v>1.3331081862218</v>
      </c>
      <c r="EZ76" s="11" t="n">
        <v>0.952863933341463</v>
      </c>
      <c r="FA76" s="11" t="n">
        <v>0.0484249930820537</v>
      </c>
      <c r="FB76" s="11" t="n">
        <v>1</v>
      </c>
      <c r="FC76" s="11" t="n">
        <v>0</v>
      </c>
      <c r="FD76" s="11" t="n">
        <v>0</v>
      </c>
      <c r="FE76" s="11" t="s">
        <v>574</v>
      </c>
      <c r="FF76" s="11" t="s">
        <v>268</v>
      </c>
      <c r="FG76" s="11" t="n">
        <v>115</v>
      </c>
      <c r="FH76" s="11" t="s">
        <v>575</v>
      </c>
      <c r="FI76" s="11" t="s">
        <v>59</v>
      </c>
      <c r="FJ76" s="11" t="n">
        <v>0.2</v>
      </c>
      <c r="FK76" s="11" t="n">
        <v>0.0879109645655236</v>
      </c>
      <c r="FL76" s="11" t="n">
        <v>0.0526190537993364</v>
      </c>
      <c r="FM76" s="11" t="n">
        <v>0</v>
      </c>
      <c r="FN76" s="11" t="n">
        <v>1</v>
      </c>
      <c r="FO76" s="11" t="n">
        <v>0.529350520302398</v>
      </c>
      <c r="FP76" s="11" t="n">
        <v>0.394271770261127</v>
      </c>
      <c r="FQ76" s="11" t="n">
        <v>0.160869565217391</v>
      </c>
      <c r="FR76" s="11" t="n">
        <v>0</v>
      </c>
      <c r="FS76" s="11" t="n">
        <v>0.529245027314508</v>
      </c>
      <c r="FT76" s="11" t="n">
        <v>0.394159112398373</v>
      </c>
      <c r="FU76" s="11" t="n">
        <v>1</v>
      </c>
      <c r="FV76" s="11" t="n">
        <v>10.887269053935</v>
      </c>
      <c r="FW76" s="11" t="n">
        <v>387.53379466978</v>
      </c>
      <c r="FX76" s="11" t="n">
        <v>0.044762703303134</v>
      </c>
      <c r="FY76" s="11" t="n">
        <v>1</v>
      </c>
      <c r="FZ76" s="11" t="n">
        <v>12</v>
      </c>
      <c r="GA76" s="11" t="n">
        <v>1</v>
      </c>
      <c r="GB76" s="11" t="s">
        <v>576</v>
      </c>
      <c r="GC76" s="11" t="n">
        <v>0.724537194293478</v>
      </c>
      <c r="GD76" s="11" t="n">
        <v>0.747783627717391</v>
      </c>
      <c r="GE76" s="11" t="n">
        <v>0.747831415174954</v>
      </c>
      <c r="GF76" s="11" t="n">
        <v>0.747826086956522</v>
      </c>
      <c r="GG76" s="11" t="n">
        <v>0.2</v>
      </c>
      <c r="GH76" s="11" t="n">
        <v>0.2</v>
      </c>
      <c r="GI76" s="11" t="n">
        <v>0.030648201597733</v>
      </c>
      <c r="GJ76" s="11" t="n">
        <v>0.0483367579219782</v>
      </c>
      <c r="GK76" s="11" t="n">
        <v>0.0420129267608255</v>
      </c>
      <c r="GL76" s="11" t="n">
        <v>0.0510762296171616</v>
      </c>
      <c r="GM76" s="11" t="n">
        <v>0.0503008657460545</v>
      </c>
      <c r="GN76" s="11" t="n">
        <v>0.0460160872103069</v>
      </c>
      <c r="GO76" s="11" t="n">
        <v>0.747826086956522</v>
      </c>
      <c r="GP76" s="11" t="n">
        <v>0.747826086956522</v>
      </c>
      <c r="GQ76" s="11" t="n">
        <v>-0.0362005978822708</v>
      </c>
      <c r="GR76" s="11" t="n">
        <v>0</v>
      </c>
      <c r="GS76" s="11" t="n">
        <v>1</v>
      </c>
      <c r="GT76" s="11" t="n">
        <v>0</v>
      </c>
      <c r="GU76" s="11" t="n">
        <v>0</v>
      </c>
      <c r="GV76" s="11" t="n">
        <v>1</v>
      </c>
      <c r="GW76" s="11" t="n">
        <v>1</v>
      </c>
      <c r="GX76" s="11" t="n">
        <v>1</v>
      </c>
      <c r="GY76" s="11" t="n">
        <v>1</v>
      </c>
      <c r="GZ76" s="11" t="n">
        <v>0</v>
      </c>
      <c r="HA76" s="11" t="n">
        <v>1</v>
      </c>
      <c r="HB76" s="11" t="n">
        <v>0</v>
      </c>
      <c r="HC76" s="11" t="n">
        <v>1</v>
      </c>
      <c r="HD76" s="11" t="n">
        <v>1</v>
      </c>
      <c r="HE76" s="11" t="n">
        <v>0</v>
      </c>
      <c r="HF76" s="11" t="n">
        <v>1</v>
      </c>
      <c r="HG76" s="11" t="n">
        <v>1</v>
      </c>
      <c r="HH76" s="11" t="n">
        <v>0</v>
      </c>
      <c r="HI76" s="11" t="n">
        <v>0</v>
      </c>
      <c r="HJ76" s="11" t="n">
        <v>0</v>
      </c>
      <c r="HK76" s="11" t="s">
        <v>1109</v>
      </c>
      <c r="HL76" s="11" t="s">
        <v>577</v>
      </c>
      <c r="HM76" s="11" t="n">
        <v>1</v>
      </c>
      <c r="HN76" s="11" t="s">
        <v>1037</v>
      </c>
      <c r="HO76" s="11" t="s">
        <v>1038</v>
      </c>
      <c r="HP76" s="11" t="s">
        <v>1038</v>
      </c>
      <c r="HQ76" s="11" t="n">
        <v>0</v>
      </c>
      <c r="HR76" s="11" t="s">
        <v>189</v>
      </c>
      <c r="HS76" s="11" t="s">
        <v>249</v>
      </c>
      <c r="HT76" s="11" t="s">
        <v>249</v>
      </c>
      <c r="HU76" s="11" t="s">
        <v>1110</v>
      </c>
      <c r="HV76" s="11" t="s">
        <v>1110</v>
      </c>
      <c r="HW76" s="11" t="s">
        <v>798</v>
      </c>
      <c r="HX76" s="11" t="s">
        <v>791</v>
      </c>
      <c r="HY76" s="11" t="s">
        <v>583</v>
      </c>
      <c r="HZ76" s="11" t="s">
        <v>1111</v>
      </c>
      <c r="IA76" s="11" t="s">
        <v>1108</v>
      </c>
      <c r="IB76" s="11" t="s">
        <v>1112</v>
      </c>
      <c r="IC76" s="11" t="s">
        <v>268</v>
      </c>
      <c r="ID76" s="11" t="s">
        <v>794</v>
      </c>
      <c r="IE76" s="11" t="s">
        <v>198</v>
      </c>
      <c r="IF76" s="11" t="s">
        <v>191</v>
      </c>
      <c r="IG76" s="11" t="s">
        <v>237</v>
      </c>
      <c r="IH76" s="11" t="s">
        <v>1048</v>
      </c>
    </row>
    <row r="77" customFormat="false" ht="15" hidden="false" customHeight="false" outlineLevel="0" collapsed="false">
      <c r="A77" s="11" t="s">
        <v>98</v>
      </c>
      <c r="B77" s="11" t="s">
        <v>1113</v>
      </c>
      <c r="C77" s="11" t="s">
        <v>1035</v>
      </c>
      <c r="D77" s="11" t="s">
        <v>570</v>
      </c>
      <c r="E77" s="11" t="s">
        <v>51</v>
      </c>
      <c r="F77" s="11"/>
      <c r="G77" s="11"/>
      <c r="H77" s="11" t="s">
        <v>1114</v>
      </c>
      <c r="I77" s="11" t="s">
        <v>272</v>
      </c>
      <c r="J77" s="11" t="n">
        <v>99</v>
      </c>
      <c r="K77" s="11" t="n">
        <v>3.3</v>
      </c>
      <c r="L77" s="11" t="n">
        <v>0.738091349601746</v>
      </c>
      <c r="M77" s="11" t="n">
        <v>0.851885855197907</v>
      </c>
      <c r="N77" s="11" t="n">
        <v>0</v>
      </c>
      <c r="O77" s="11" t="n">
        <v>1.47653015551405</v>
      </c>
      <c r="P77" s="11" t="n">
        <v>1.58683555212224</v>
      </c>
      <c r="Q77" s="11" t="n">
        <v>0.206169581636833</v>
      </c>
      <c r="R77" s="11" t="n">
        <v>0.272727272727273</v>
      </c>
      <c r="S77" s="11" t="n">
        <v>0.414141414141414</v>
      </c>
      <c r="T77" s="11" t="n">
        <v>0.0404040404040404</v>
      </c>
      <c r="U77" s="11" t="n">
        <v>0</v>
      </c>
      <c r="V77" s="11" t="n">
        <v>0</v>
      </c>
      <c r="W77" s="11" t="n">
        <v>0.535353535353535</v>
      </c>
      <c r="X77" s="11" t="n">
        <v>0.414141414141414</v>
      </c>
      <c r="Y77" s="11" t="n">
        <v>0.464646464646465</v>
      </c>
      <c r="Z77" s="11" t="n">
        <v>0.505050505050505</v>
      </c>
      <c r="AA77" s="11" t="n">
        <v>0.0707070707070707</v>
      </c>
      <c r="AB77" s="11" t="n">
        <v>0.0303030303030303</v>
      </c>
      <c r="AC77" s="11" t="n">
        <v>-0.00163319945390999</v>
      </c>
      <c r="AD77" s="11" t="n">
        <v>-0.00870074911137085</v>
      </c>
      <c r="AE77" s="11" t="n">
        <v>0.214285714285714</v>
      </c>
      <c r="AF77" s="11" t="n">
        <v>0.125</v>
      </c>
      <c r="AG77" s="11" t="n">
        <v>0.0535714285714286</v>
      </c>
      <c r="AH77" s="11" t="n">
        <v>0.121212121212121</v>
      </c>
      <c r="AI77" s="11" t="n">
        <v>0.0707070707070707</v>
      </c>
      <c r="AJ77" s="11" t="n">
        <v>0.0303030303030303</v>
      </c>
      <c r="AK77" s="11" t="n">
        <v>0.462977140711601</v>
      </c>
      <c r="AL77" s="11" t="n">
        <v>0</v>
      </c>
      <c r="AM77" s="11" t="n">
        <v>0</v>
      </c>
      <c r="AN77" s="11" t="n">
        <v>0</v>
      </c>
      <c r="AO77" s="11"/>
      <c r="AP77" s="11"/>
      <c r="AQ77" s="11"/>
      <c r="AR77" s="11" t="n">
        <v>0</v>
      </c>
      <c r="AS77" s="11" t="n">
        <v>0.181818181818182</v>
      </c>
      <c r="AT77" s="11" t="n">
        <v>0.0909090909090909</v>
      </c>
      <c r="AU77" s="11" t="n">
        <v>0.0909090909090909</v>
      </c>
      <c r="AV77" s="11" t="n">
        <v>0</v>
      </c>
      <c r="AW77" s="11" t="n">
        <v>0</v>
      </c>
      <c r="AX77" s="11" t="n">
        <v>0</v>
      </c>
      <c r="AY77" s="11" t="n">
        <v>0.00877518369586262</v>
      </c>
      <c r="AZ77" s="11" t="n">
        <v>0.0269861568192529</v>
      </c>
      <c r="BA77" s="11"/>
      <c r="BB77" s="11" t="n">
        <v>0</v>
      </c>
      <c r="BC77" s="11" t="n">
        <v>0.717171717171717</v>
      </c>
      <c r="BD77" s="11" t="n">
        <v>0.141414141414141</v>
      </c>
      <c r="BE77" s="11" t="n">
        <v>0.727272727272727</v>
      </c>
      <c r="BF77" s="11" t="n">
        <v>0.262626262626263</v>
      </c>
      <c r="BG77" s="11" t="n">
        <v>0.767676767676768</v>
      </c>
      <c r="BH77" s="11" t="n">
        <v>0.575757575757576</v>
      </c>
      <c r="BI77" s="11" t="n">
        <v>0.818181818181818</v>
      </c>
      <c r="BJ77" s="11" t="n">
        <v>0.23494650018378</v>
      </c>
      <c r="BK77" s="11" t="n">
        <v>0.102691933945637</v>
      </c>
      <c r="BL77" s="11" t="n">
        <v>0.50969632676244</v>
      </c>
      <c r="BM77" s="11" t="n">
        <v>0.108138643575913</v>
      </c>
      <c r="BN77" s="11" t="n">
        <v>0.62207494224154</v>
      </c>
      <c r="BO77" s="11" t="n">
        <v>0.544598121785116</v>
      </c>
      <c r="BP77" s="11" t="n">
        <v>0.03120076865791</v>
      </c>
      <c r="BQ77" s="11" t="n">
        <v>0.00447999142504803</v>
      </c>
      <c r="BR77" s="11" t="n">
        <v>4.80020153402937</v>
      </c>
      <c r="BS77" s="11" t="n">
        <v>20.1602782741841</v>
      </c>
      <c r="BT77" s="11" t="n">
        <v>37.7204116924521</v>
      </c>
      <c r="BU77" s="11" t="n">
        <v>23.494650018378</v>
      </c>
      <c r="BV77" s="11" t="n">
        <v>29.2034483568086</v>
      </c>
      <c r="BW77" s="11" t="n">
        <v>12.4436881313831</v>
      </c>
      <c r="BX77" s="11" t="n">
        <v>3.24074265249285</v>
      </c>
      <c r="BY77" s="11" t="n">
        <v>4.30210145542853</v>
      </c>
      <c r="BZ77" s="11" t="n">
        <v>0.646464646464646</v>
      </c>
      <c r="CA77" s="11" t="n">
        <v>0.8125</v>
      </c>
      <c r="CB77" s="11" t="n">
        <v>0.625</v>
      </c>
      <c r="CC77" s="11" t="n">
        <v>0.703125</v>
      </c>
      <c r="CD77" s="11" t="n">
        <v>0.765625</v>
      </c>
      <c r="CE77" s="11" t="n">
        <v>0.646464646464646</v>
      </c>
      <c r="CF77" s="11" t="n">
        <v>5</v>
      </c>
      <c r="CG77" s="11" t="n">
        <v>0</v>
      </c>
      <c r="CH77" s="11" t="n">
        <v>0.8125</v>
      </c>
      <c r="CI77" s="11" t="n">
        <v>0.703125</v>
      </c>
      <c r="CJ77" s="11" t="n">
        <v>0.765625</v>
      </c>
      <c r="CK77" s="11" t="n">
        <v>0.0285714285714286</v>
      </c>
      <c r="CL77" s="11" t="n">
        <v>0.0285714285714286</v>
      </c>
      <c r="CM77" s="11" t="n">
        <v>0.0285714285714286</v>
      </c>
      <c r="CN77" s="11" t="n">
        <v>0.0285714285714286</v>
      </c>
      <c r="CO77" s="11" t="n">
        <v>0</v>
      </c>
      <c r="CP77" s="11" t="n">
        <v>0</v>
      </c>
      <c r="CQ77" s="11" t="n">
        <v>0</v>
      </c>
      <c r="CR77" s="11" t="n">
        <v>0</v>
      </c>
      <c r="CS77" s="11" t="n">
        <v>0.0526315789473684</v>
      </c>
      <c r="CT77" s="11" t="n">
        <v>0.0526315789473684</v>
      </c>
      <c r="CU77" s="11" t="n">
        <v>0.0526315789473684</v>
      </c>
      <c r="CV77" s="11" t="n">
        <v>0.0526315789473684</v>
      </c>
      <c r="CW77" s="11" t="n">
        <v>0.0625</v>
      </c>
      <c r="CX77" s="11" t="n">
        <v>0</v>
      </c>
      <c r="CY77" s="11" t="n">
        <v>0.00335511016786418</v>
      </c>
      <c r="CZ77" s="11" t="n">
        <v>-0.0685170666752306</v>
      </c>
      <c r="DA77" s="11" t="n">
        <v>11.3836215222369</v>
      </c>
      <c r="DB77" s="11" t="n">
        <v>-0.0144712006800028</v>
      </c>
      <c r="DC77" s="11" t="n">
        <v>23.4281883236966</v>
      </c>
      <c r="DD77" s="11" t="n">
        <v>0.178538524500535</v>
      </c>
      <c r="DE77" s="11" t="n">
        <v>0.434343434343434</v>
      </c>
      <c r="DF77" s="11" t="n">
        <v>-0.0203369542484974</v>
      </c>
      <c r="DG77" s="11" t="n">
        <v>0.0068531425025337</v>
      </c>
      <c r="DH77" s="11" t="n">
        <v>-2.71900967510311</v>
      </c>
      <c r="DI77" s="11" t="n">
        <v>175.17768114867</v>
      </c>
      <c r="DJ77" s="11" t="n">
        <v>56.915419790169</v>
      </c>
      <c r="DK77" s="11" t="n">
        <v>13.7683628433737</v>
      </c>
      <c r="DL77" s="11" t="n">
        <v>49.05</v>
      </c>
      <c r="DM77" s="11" t="n">
        <v>0.676767676767677</v>
      </c>
      <c r="DN77" s="11" t="n">
        <v>0.666666666666667</v>
      </c>
      <c r="DO77" s="11" t="n">
        <v>-0.0145871291232319</v>
      </c>
      <c r="DP77" s="11" t="n">
        <v>0</v>
      </c>
      <c r="DQ77" s="11" t="n">
        <v>0.0202020202020202</v>
      </c>
      <c r="DR77" s="11" t="n">
        <v>0</v>
      </c>
      <c r="DS77" s="11" t="n">
        <v>0</v>
      </c>
      <c r="DT77" s="11" t="n">
        <v>0</v>
      </c>
      <c r="DU77" s="11" t="n">
        <v>0</v>
      </c>
      <c r="DV77" s="11" t="n">
        <v>5</v>
      </c>
      <c r="DW77" s="11" t="s">
        <v>573</v>
      </c>
      <c r="DX77" s="11" t="n">
        <v>0.406307</v>
      </c>
      <c r="DY77" s="11" t="n">
        <v>-0.0375197650717184</v>
      </c>
      <c r="DZ77" s="11" t="n">
        <v>0.850133765071718</v>
      </c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 t="n">
        <v>8.28971150599543</v>
      </c>
      <c r="EP77" s="11" t="n">
        <v>103.871682787231</v>
      </c>
      <c r="EQ77" s="11" t="n">
        <v>2329.70161433801</v>
      </c>
      <c r="ER77" s="11" t="n">
        <v>3.83571038320397</v>
      </c>
      <c r="ES77" s="11" t="n">
        <v>3.83571038320397</v>
      </c>
      <c r="ET77" s="11" t="n">
        <v>3.01011011397493</v>
      </c>
      <c r="EU77" s="11" t="n">
        <v>75.6878702446349</v>
      </c>
      <c r="EV77" s="11" t="n">
        <v>75.6878702446349</v>
      </c>
      <c r="EW77" s="11" t="n">
        <v>716.45287649015</v>
      </c>
      <c r="EX77" s="11" t="n">
        <v>787.613949438003</v>
      </c>
      <c r="EY77" s="11" t="n">
        <v>1.61385872300531</v>
      </c>
      <c r="EZ77" s="11" t="n">
        <v>1.4661434990125</v>
      </c>
      <c r="FA77" s="11" t="n">
        <v>0.0490986615142093</v>
      </c>
      <c r="FB77" s="11" t="n">
        <v>0.858585858585859</v>
      </c>
      <c r="FC77" s="11" t="n">
        <v>0</v>
      </c>
      <c r="FD77" s="11" t="n">
        <v>0</v>
      </c>
      <c r="FE77" s="11" t="s">
        <v>574</v>
      </c>
      <c r="FF77" s="11" t="s">
        <v>273</v>
      </c>
      <c r="FG77" s="11" t="n">
        <v>99</v>
      </c>
      <c r="FH77" s="11" t="s">
        <v>575</v>
      </c>
      <c r="FI77" s="11" t="s">
        <v>59</v>
      </c>
      <c r="FJ77" s="11" t="n">
        <v>0.2</v>
      </c>
      <c r="FK77" s="11" t="n">
        <v>0.120285798949351</v>
      </c>
      <c r="FL77" s="11" t="n">
        <v>0.0744915840902529</v>
      </c>
      <c r="FM77" s="11" t="n">
        <v>0</v>
      </c>
      <c r="FN77" s="11" t="n">
        <v>1</v>
      </c>
      <c r="FO77" s="11" t="n">
        <v>0.678847967386948</v>
      </c>
      <c r="FP77" s="11" t="n">
        <v>0.502977973457636</v>
      </c>
      <c r="FQ77" s="11" t="n">
        <v>0.237373737373737</v>
      </c>
      <c r="FR77" s="11" t="n">
        <v>0</v>
      </c>
      <c r="FS77" s="11" t="n">
        <v>0.676525586303505</v>
      </c>
      <c r="FT77" s="11" t="n">
        <v>0.500121421387042</v>
      </c>
      <c r="FU77" s="11" t="n">
        <v>1</v>
      </c>
      <c r="FV77" s="11" t="n">
        <v>10.5734441006106</v>
      </c>
      <c r="FW77" s="11" t="n">
        <v>310.327984071084</v>
      </c>
      <c r="FX77" s="11" t="n">
        <v>0.0516733997671977</v>
      </c>
      <c r="FY77" s="11" t="n">
        <v>1</v>
      </c>
      <c r="FZ77" s="11" t="n">
        <v>19</v>
      </c>
      <c r="GA77" s="11" t="n">
        <v>1</v>
      </c>
      <c r="GB77" s="11" t="s">
        <v>576</v>
      </c>
      <c r="GC77" s="11" t="n">
        <v>0.551731302280619</v>
      </c>
      <c r="GD77" s="11" t="n">
        <v>0.565301452020202</v>
      </c>
      <c r="GE77" s="11" t="n">
        <v>0.561995568454755</v>
      </c>
      <c r="GF77" s="11" t="n">
        <v>0.565656565656566</v>
      </c>
      <c r="GG77" s="11" t="n">
        <v>0.371527777777778</v>
      </c>
      <c r="GH77" s="11" t="n">
        <v>0.373737373737374</v>
      </c>
      <c r="GI77" s="11" t="n">
        <v>0.0189713422474928</v>
      </c>
      <c r="GJ77" s="11" t="n">
        <v>0.0258377426576735</v>
      </c>
      <c r="GK77" s="11" t="n">
        <v>0.0245431270303319</v>
      </c>
      <c r="GL77" s="11" t="n">
        <v>0.0278043254076343</v>
      </c>
      <c r="GM77" s="11" t="n">
        <v>0.157267515939439</v>
      </c>
      <c r="GN77" s="11" t="n">
        <v>0.15306035440528</v>
      </c>
      <c r="GO77" s="11" t="n">
        <v>0.561237373737374</v>
      </c>
      <c r="GP77" s="11" t="n">
        <v>0.565656565656566</v>
      </c>
      <c r="GQ77" s="11" t="n">
        <v>-0.0518866777420044</v>
      </c>
      <c r="GR77" s="11" t="n">
        <v>0</v>
      </c>
      <c r="GS77" s="11" t="n">
        <v>1</v>
      </c>
      <c r="GT77" s="11" t="n">
        <v>0</v>
      </c>
      <c r="GU77" s="11" t="n">
        <v>0</v>
      </c>
      <c r="GV77" s="11" t="n">
        <v>1</v>
      </c>
      <c r="GW77" s="11" t="n">
        <v>1</v>
      </c>
      <c r="GX77" s="11" t="n">
        <v>1</v>
      </c>
      <c r="GY77" s="11" t="n">
        <v>1</v>
      </c>
      <c r="GZ77" s="11" t="n">
        <v>1</v>
      </c>
      <c r="HA77" s="11" t="n">
        <v>1</v>
      </c>
      <c r="HB77" s="11" t="n">
        <v>0</v>
      </c>
      <c r="HC77" s="11" t="n">
        <v>0</v>
      </c>
      <c r="HD77" s="11" t="n">
        <v>0</v>
      </c>
      <c r="HE77" s="11" t="n">
        <v>0</v>
      </c>
      <c r="HF77" s="11" t="n">
        <v>1</v>
      </c>
      <c r="HG77" s="11" t="n">
        <v>1</v>
      </c>
      <c r="HH77" s="11" t="n">
        <v>1</v>
      </c>
      <c r="HI77" s="11" t="n">
        <v>0</v>
      </c>
      <c r="HJ77" s="11" t="n">
        <v>0</v>
      </c>
      <c r="HK77" s="11" t="s">
        <v>1115</v>
      </c>
      <c r="HL77" s="11" t="s">
        <v>577</v>
      </c>
      <c r="HM77" s="11" t="n">
        <v>1</v>
      </c>
      <c r="HN77" s="11" t="s">
        <v>1037</v>
      </c>
      <c r="HO77" s="11" t="s">
        <v>1038</v>
      </c>
      <c r="HP77" s="11" t="s">
        <v>1038</v>
      </c>
      <c r="HQ77" s="11" t="n">
        <v>0</v>
      </c>
      <c r="HR77" s="11" t="s">
        <v>189</v>
      </c>
      <c r="HS77" s="11" t="s">
        <v>249</v>
      </c>
      <c r="HT77" s="11" t="s">
        <v>249</v>
      </c>
      <c r="HU77" s="11" t="s">
        <v>1116</v>
      </c>
      <c r="HV77" s="11" t="s">
        <v>1116</v>
      </c>
      <c r="HW77" s="11" t="s">
        <v>814</v>
      </c>
      <c r="HX77" s="11" t="s">
        <v>807</v>
      </c>
      <c r="HY77" s="11" t="s">
        <v>583</v>
      </c>
      <c r="HZ77" s="11" t="s">
        <v>1117</v>
      </c>
      <c r="IA77" s="11" t="s">
        <v>1114</v>
      </c>
      <c r="IB77" s="11" t="s">
        <v>1118</v>
      </c>
      <c r="IC77" s="11" t="s">
        <v>273</v>
      </c>
      <c r="ID77" s="11" t="s">
        <v>810</v>
      </c>
      <c r="IE77" s="11" t="s">
        <v>198</v>
      </c>
      <c r="IF77" s="11" t="s">
        <v>191</v>
      </c>
      <c r="IG77" s="11" t="s">
        <v>237</v>
      </c>
      <c r="IH77" s="11" t="s">
        <v>1048</v>
      </c>
    </row>
    <row r="78" customFormat="false" ht="15" hidden="false" customHeight="false" outlineLevel="0" collapsed="false">
      <c r="A78" s="11" t="s">
        <v>99</v>
      </c>
      <c r="B78" s="11" t="s">
        <v>1119</v>
      </c>
      <c r="C78" s="11" t="s">
        <v>1035</v>
      </c>
      <c r="D78" s="11" t="s">
        <v>570</v>
      </c>
      <c r="E78" s="11" t="s">
        <v>51</v>
      </c>
      <c r="F78" s="11"/>
      <c r="G78" s="11"/>
      <c r="H78" s="11" t="s">
        <v>1120</v>
      </c>
      <c r="I78" s="11" t="s">
        <v>277</v>
      </c>
      <c r="J78" s="11" t="n">
        <v>119</v>
      </c>
      <c r="K78" s="11" t="n">
        <v>3.96666666666667</v>
      </c>
      <c r="L78" s="11" t="n">
        <v>0.754834532737732</v>
      </c>
      <c r="M78" s="11" t="n">
        <v>0.819732427597046</v>
      </c>
      <c r="N78" s="11" t="n">
        <v>0</v>
      </c>
      <c r="O78" s="11" t="n">
        <v>0.894778868840098</v>
      </c>
      <c r="P78" s="11" t="n">
        <v>0.918511391513159</v>
      </c>
      <c r="Q78" s="11" t="n">
        <v>0.231305185341967</v>
      </c>
      <c r="R78" s="11" t="n">
        <v>0.0756302521008403</v>
      </c>
      <c r="S78" s="11" t="n">
        <v>0.252100840336134</v>
      </c>
      <c r="T78" s="11" t="n">
        <v>0</v>
      </c>
      <c r="U78" s="11" t="n">
        <v>0</v>
      </c>
      <c r="V78" s="11" t="n">
        <v>0</v>
      </c>
      <c r="W78" s="11" t="n">
        <v>0.571428571428571</v>
      </c>
      <c r="X78" s="11" t="n">
        <v>0.369747899159664</v>
      </c>
      <c r="Y78" s="11" t="n">
        <v>0.470588235294118</v>
      </c>
      <c r="Z78" s="11" t="n">
        <v>0.571428571428571</v>
      </c>
      <c r="AA78" s="11" t="n">
        <v>0.100840336134454</v>
      </c>
      <c r="AB78" s="11" t="n">
        <v>0</v>
      </c>
      <c r="AC78" s="11" t="n">
        <v>-0.00180497631020544</v>
      </c>
      <c r="AD78" s="11" t="n">
        <v>-0.00418109126419433</v>
      </c>
      <c r="AE78" s="11" t="n">
        <v>0.352941176470588</v>
      </c>
      <c r="AF78" s="11" t="n">
        <v>0.176470588235294</v>
      </c>
      <c r="AG78" s="11" t="n">
        <v>0</v>
      </c>
      <c r="AH78" s="11" t="n">
        <v>0.201680672268908</v>
      </c>
      <c r="AI78" s="11" t="n">
        <v>0.100840336134454</v>
      </c>
      <c r="AJ78" s="11" t="n">
        <v>0</v>
      </c>
      <c r="AK78" s="11" t="n">
        <v>0.47510637239614</v>
      </c>
      <c r="AL78" s="11" t="n">
        <v>0</v>
      </c>
      <c r="AM78" s="11" t="n">
        <v>0</v>
      </c>
      <c r="AN78" s="11" t="n">
        <v>0</v>
      </c>
      <c r="AO78" s="11"/>
      <c r="AP78" s="11"/>
      <c r="AQ78" s="11"/>
      <c r="AR78" s="11" t="n">
        <v>0</v>
      </c>
      <c r="AS78" s="11" t="n">
        <v>0.0588235294117647</v>
      </c>
      <c r="AT78" s="11" t="n">
        <v>0</v>
      </c>
      <c r="AU78" s="11" t="n">
        <v>0</v>
      </c>
      <c r="AV78" s="11" t="n">
        <v>0</v>
      </c>
      <c r="AW78" s="11" t="n">
        <v>0</v>
      </c>
      <c r="AX78" s="11" t="n">
        <v>0</v>
      </c>
      <c r="AY78" s="11" t="n">
        <v>0.00652894894545855</v>
      </c>
      <c r="AZ78" s="11" t="n">
        <v>0.0166616997186141</v>
      </c>
      <c r="BA78" s="11"/>
      <c r="BB78" s="11" t="n">
        <v>0.403361344537815</v>
      </c>
      <c r="BC78" s="11" t="n">
        <v>0.672268907563025</v>
      </c>
      <c r="BD78" s="11" t="n">
        <v>0.563025210084034</v>
      </c>
      <c r="BE78" s="11" t="n">
        <v>0.689075630252101</v>
      </c>
      <c r="BF78" s="11" t="n">
        <v>0.613445378151261</v>
      </c>
      <c r="BG78" s="11" t="n">
        <v>0.689075630252101</v>
      </c>
      <c r="BH78" s="11" t="n">
        <v>0.630252100840336</v>
      </c>
      <c r="BI78" s="11" t="n">
        <v>0.773109243697479</v>
      </c>
      <c r="BJ78" s="11" t="n">
        <v>0.12092300089018</v>
      </c>
      <c r="BK78" s="11" t="n">
        <v>0.025743898983122</v>
      </c>
      <c r="BL78" s="11" t="n">
        <v>0.0902556502257348</v>
      </c>
      <c r="BM78" s="11" t="n">
        <v>0.0320446193486909</v>
      </c>
      <c r="BN78" s="11" t="n">
        <v>0.437160266538034</v>
      </c>
      <c r="BO78" s="11" t="n">
        <v>0.346173017765508</v>
      </c>
      <c r="BP78" s="11" t="n">
        <v>0.00986729488193078</v>
      </c>
      <c r="BQ78" s="11" t="n">
        <v>0.00758645163530621</v>
      </c>
      <c r="BR78" s="11" t="n">
        <v>3.46597336453203</v>
      </c>
      <c r="BS78" s="11" t="n">
        <v>11.4662033026847</v>
      </c>
      <c r="BT78" s="11" t="n">
        <v>15.0043285318115</v>
      </c>
      <c r="BU78" s="11" t="n">
        <v>12.092300089018</v>
      </c>
      <c r="BV78" s="11" t="n">
        <v>5.17126782808735</v>
      </c>
      <c r="BW78" s="11" t="n">
        <v>8.32166305474996</v>
      </c>
      <c r="BX78" s="11" t="n">
        <v>2.22913001517656</v>
      </c>
      <c r="BY78" s="11" t="n">
        <v>5.21440027565348</v>
      </c>
      <c r="BZ78" s="11" t="n">
        <v>0.705882352941176</v>
      </c>
      <c r="CA78" s="11" t="n">
        <v>0.80952380952381</v>
      </c>
      <c r="CB78" s="11" t="n">
        <v>0.523809523809524</v>
      </c>
      <c r="CC78" s="11" t="n">
        <v>0.666666666666667</v>
      </c>
      <c r="CD78" s="11" t="n">
        <v>0.80952380952381</v>
      </c>
      <c r="CE78" s="11" t="n">
        <v>0.705882352941176</v>
      </c>
      <c r="CF78" s="11" t="n">
        <v>5</v>
      </c>
      <c r="CG78" s="11" t="n">
        <v>0</v>
      </c>
      <c r="CH78" s="11" t="n">
        <v>0.80952380952381</v>
      </c>
      <c r="CI78" s="11" t="n">
        <v>0.666666666666667</v>
      </c>
      <c r="CJ78" s="11" t="n">
        <v>0.80952380952381</v>
      </c>
      <c r="CK78" s="11" t="n">
        <v>0</v>
      </c>
      <c r="CL78" s="11" t="n">
        <v>0</v>
      </c>
      <c r="CM78" s="11" t="n">
        <v>0</v>
      </c>
      <c r="CN78" s="11" t="n">
        <v>0</v>
      </c>
      <c r="CO78" s="11" t="n">
        <v>0</v>
      </c>
      <c r="CP78" s="11" t="n">
        <v>0</v>
      </c>
      <c r="CQ78" s="11" t="n">
        <v>0</v>
      </c>
      <c r="CR78" s="11" t="n">
        <v>0</v>
      </c>
      <c r="CS78" s="11" t="n">
        <v>0</v>
      </c>
      <c r="CT78" s="11" t="n">
        <v>0</v>
      </c>
      <c r="CU78" s="11" t="n">
        <v>0</v>
      </c>
      <c r="CV78" s="11" t="n">
        <v>0</v>
      </c>
      <c r="CW78" s="11" t="n">
        <v>0</v>
      </c>
      <c r="CX78" s="11" t="n">
        <v>0</v>
      </c>
      <c r="CY78" s="11" t="n">
        <v>-0.00092251183516258</v>
      </c>
      <c r="CZ78" s="11" t="n">
        <v>-0.057253268913592</v>
      </c>
      <c r="DA78" s="11" t="n">
        <v>7.55334920405792</v>
      </c>
      <c r="DB78" s="11" t="n">
        <v>-0.0179195571761094</v>
      </c>
      <c r="DC78" s="11" t="n">
        <v>12.4626621365921</v>
      </c>
      <c r="DD78" s="11" t="n">
        <v>0.171600618877106</v>
      </c>
      <c r="DE78" s="11" t="n">
        <v>0.512605042016807</v>
      </c>
      <c r="DF78" s="11" t="n">
        <v>-0.0110835885883462</v>
      </c>
      <c r="DG78" s="11" t="n">
        <v>-0.0425976818724962</v>
      </c>
      <c r="DH78" s="11" t="n">
        <v>3.15140932841501</v>
      </c>
      <c r="DI78" s="11" t="n">
        <v>102.621689757869</v>
      </c>
      <c r="DJ78" s="11" t="n">
        <v>40.0732275093974</v>
      </c>
      <c r="DK78" s="11" t="n">
        <v>14.9677666385965</v>
      </c>
      <c r="DL78" s="11" t="n">
        <v>49.05</v>
      </c>
      <c r="DM78" s="11" t="n">
        <v>0.689075630252101</v>
      </c>
      <c r="DN78" s="11" t="n">
        <v>0.647058823529412</v>
      </c>
      <c r="DO78" s="11" t="n">
        <v>-0.0154751481920064</v>
      </c>
      <c r="DP78" s="11" t="n">
        <v>0</v>
      </c>
      <c r="DQ78" s="11" t="n">
        <v>0</v>
      </c>
      <c r="DR78" s="11" t="n">
        <v>0</v>
      </c>
      <c r="DS78" s="11" t="n">
        <v>0</v>
      </c>
      <c r="DT78" s="11" t="n">
        <v>0</v>
      </c>
      <c r="DU78" s="11" t="n">
        <v>0</v>
      </c>
      <c r="DV78" s="11" t="n">
        <v>5</v>
      </c>
      <c r="DW78" s="11" t="s">
        <v>573</v>
      </c>
      <c r="DX78" s="11" t="n">
        <v>0.406307</v>
      </c>
      <c r="DY78" s="11" t="n">
        <v>0.0501733257317448</v>
      </c>
      <c r="DZ78" s="11" t="n">
        <v>0.762440674268255</v>
      </c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 t="n">
        <v>8.15758505796257</v>
      </c>
      <c r="EP78" s="11" t="n">
        <v>84.4490212176967</v>
      </c>
      <c r="EQ78" s="11" t="n">
        <v>1649.59309436521</v>
      </c>
      <c r="ER78" s="11" t="n">
        <v>3.28533814853474</v>
      </c>
      <c r="ES78" s="11" t="n">
        <v>3.28533814853474</v>
      </c>
      <c r="ET78" s="11" t="n">
        <v>2.38819044348087</v>
      </c>
      <c r="EU78" s="11" t="n">
        <v>37.5264366551246</v>
      </c>
      <c r="EV78" s="11" t="n">
        <v>37.5264366551246</v>
      </c>
      <c r="EW78" s="11" t="n">
        <v>460.047991177077</v>
      </c>
      <c r="EX78" s="11" t="n">
        <v>560.098986564979</v>
      </c>
      <c r="EY78" s="11" t="n">
        <v>0.995746192680863</v>
      </c>
      <c r="EZ78" s="11" t="n">
        <v>0.916506877224838</v>
      </c>
      <c r="FA78" s="11" t="n">
        <v>0.0494926828234615</v>
      </c>
      <c r="FB78" s="11" t="n">
        <v>0.941176470588235</v>
      </c>
      <c r="FC78" s="11" t="n">
        <v>0</v>
      </c>
      <c r="FD78" s="11" t="n">
        <v>0</v>
      </c>
      <c r="FE78" s="11" t="s">
        <v>574</v>
      </c>
      <c r="FF78" s="11" t="s">
        <v>278</v>
      </c>
      <c r="FG78" s="11" t="n">
        <v>119</v>
      </c>
      <c r="FH78" s="11" t="s">
        <v>575</v>
      </c>
      <c r="FI78" s="11" t="s">
        <v>59</v>
      </c>
      <c r="FJ78" s="11" t="n">
        <v>0.2</v>
      </c>
      <c r="FK78" s="11" t="n">
        <v>0.142878119826037</v>
      </c>
      <c r="FL78" s="11" t="n">
        <v>0.0597893670611958</v>
      </c>
      <c r="FM78" s="11" t="n">
        <v>0</v>
      </c>
      <c r="FN78" s="11" t="n">
        <v>1</v>
      </c>
      <c r="FO78" s="11" t="n">
        <v>0.534242209086376</v>
      </c>
      <c r="FP78" s="11" t="n">
        <v>0.318920041496195</v>
      </c>
      <c r="FQ78" s="11" t="n">
        <v>0.0672268907563025</v>
      </c>
      <c r="FR78" s="11" t="n">
        <v>0</v>
      </c>
      <c r="FS78" s="11" t="n">
        <v>0.531368042321598</v>
      </c>
      <c r="FT78" s="11" t="n">
        <v>0.317776381524635</v>
      </c>
      <c r="FU78" s="11" t="n">
        <v>1</v>
      </c>
      <c r="FV78" s="11" t="n">
        <v>8.91353983514576</v>
      </c>
      <c r="FW78" s="11" t="n">
        <v>243.060750813268</v>
      </c>
      <c r="FX78" s="11" t="n">
        <v>0.0400462608102654</v>
      </c>
      <c r="FY78" s="11" t="n">
        <v>1</v>
      </c>
      <c r="FZ78" s="11" t="n">
        <v>20</v>
      </c>
      <c r="GA78" s="11" t="n">
        <v>1</v>
      </c>
      <c r="GB78" s="11" t="s">
        <v>576</v>
      </c>
      <c r="GC78" s="11" t="n">
        <v>0.90252967642135</v>
      </c>
      <c r="GD78" s="11" t="n">
        <v>0.942661830357143</v>
      </c>
      <c r="GE78" s="11" t="n">
        <v>0.949579831932773</v>
      </c>
      <c r="GF78" s="11" t="n">
        <v>0.949579831932773</v>
      </c>
      <c r="GG78" s="11" t="n">
        <v>0</v>
      </c>
      <c r="GH78" s="11" t="n">
        <v>0</v>
      </c>
      <c r="GI78" s="11" t="n">
        <v>0.0240800544622495</v>
      </c>
      <c r="GJ78" s="11" t="n">
        <v>0.0338311607933783</v>
      </c>
      <c r="GK78" s="11" t="n">
        <v>0.0316274671292642</v>
      </c>
      <c r="GL78" s="11" t="n">
        <v>0.0362817926680622</v>
      </c>
      <c r="GM78" s="11" t="n">
        <v>0.00697608245056812</v>
      </c>
      <c r="GN78" s="11" t="n">
        <v>0.000659419073255639</v>
      </c>
      <c r="GO78" s="11" t="n">
        <v>0.949579831932773</v>
      </c>
      <c r="GP78" s="11" t="n">
        <v>0.949579831932773</v>
      </c>
      <c r="GQ78" s="11" t="n">
        <v>-0.025917436927557</v>
      </c>
      <c r="GR78" s="11" t="n">
        <v>1</v>
      </c>
      <c r="GS78" s="11" t="n">
        <v>1</v>
      </c>
      <c r="GT78" s="11" t="n">
        <v>0</v>
      </c>
      <c r="GU78" s="11" t="n">
        <v>0</v>
      </c>
      <c r="GV78" s="11" t="n">
        <v>1</v>
      </c>
      <c r="GW78" s="11" t="n">
        <v>1</v>
      </c>
      <c r="GX78" s="11" t="n">
        <v>1</v>
      </c>
      <c r="GY78" s="11" t="n">
        <v>1</v>
      </c>
      <c r="GZ78" s="11" t="n">
        <v>1</v>
      </c>
      <c r="HA78" s="11" t="n">
        <v>1</v>
      </c>
      <c r="HB78" s="11" t="n">
        <v>1</v>
      </c>
      <c r="HC78" s="11" t="n">
        <v>1</v>
      </c>
      <c r="HD78" s="11" t="n">
        <v>1</v>
      </c>
      <c r="HE78" s="11" t="n">
        <v>1</v>
      </c>
      <c r="HF78" s="11" t="n">
        <v>1</v>
      </c>
      <c r="HG78" s="11" t="n">
        <v>1</v>
      </c>
      <c r="HH78" s="11" t="n">
        <v>1</v>
      </c>
      <c r="HI78" s="11" t="n">
        <v>1</v>
      </c>
      <c r="HJ78" s="11" t="n">
        <v>1</v>
      </c>
      <c r="HK78" s="11"/>
      <c r="HL78" s="11" t="s">
        <v>577</v>
      </c>
      <c r="HM78" s="11" t="n">
        <v>1</v>
      </c>
      <c r="HN78" s="11" t="s">
        <v>1037</v>
      </c>
      <c r="HO78" s="11" t="s">
        <v>1038</v>
      </c>
      <c r="HP78" s="11" t="s">
        <v>1038</v>
      </c>
      <c r="HQ78" s="11" t="n">
        <v>0</v>
      </c>
      <c r="HR78" s="11" t="s">
        <v>204</v>
      </c>
      <c r="HS78" s="11" t="s">
        <v>249</v>
      </c>
      <c r="HT78" s="11" t="s">
        <v>249</v>
      </c>
      <c r="HU78" s="11" t="s">
        <v>1121</v>
      </c>
      <c r="HV78" s="11" t="s">
        <v>1121</v>
      </c>
      <c r="HW78" s="11" t="s">
        <v>829</v>
      </c>
      <c r="HX78" s="11" t="s">
        <v>822</v>
      </c>
      <c r="HY78" s="11" t="s">
        <v>583</v>
      </c>
      <c r="HZ78" s="11" t="s">
        <v>1122</v>
      </c>
      <c r="IA78" s="11" t="s">
        <v>1120</v>
      </c>
      <c r="IB78" s="11" t="s">
        <v>1123</v>
      </c>
      <c r="IC78" s="11" t="s">
        <v>278</v>
      </c>
      <c r="ID78" s="11" t="s">
        <v>825</v>
      </c>
      <c r="IE78" s="11" t="s">
        <v>198</v>
      </c>
      <c r="IF78" s="11" t="s">
        <v>191</v>
      </c>
      <c r="IG78" s="11" t="s">
        <v>197</v>
      </c>
      <c r="IH78" s="11" t="s">
        <v>1048</v>
      </c>
    </row>
    <row r="79" customFormat="false" ht="15" hidden="false" customHeight="false" outlineLevel="0" collapsed="false">
      <c r="A79" s="11" t="s">
        <v>100</v>
      </c>
      <c r="B79" s="11" t="s">
        <v>1124</v>
      </c>
      <c r="C79" s="11" t="s">
        <v>1035</v>
      </c>
      <c r="D79" s="11" t="s">
        <v>570</v>
      </c>
      <c r="E79" s="11" t="s">
        <v>51</v>
      </c>
      <c r="F79" s="11"/>
      <c r="G79" s="11"/>
      <c r="H79" s="11" t="s">
        <v>1125</v>
      </c>
      <c r="I79" s="11" t="s">
        <v>282</v>
      </c>
      <c r="J79" s="11" t="n">
        <v>174</v>
      </c>
      <c r="K79" s="11" t="n">
        <v>5.8</v>
      </c>
      <c r="L79" s="11" t="n">
        <v>0.114534385502338</v>
      </c>
      <c r="M79" s="11" t="n">
        <v>0.791679799556732</v>
      </c>
      <c r="N79" s="11" t="n">
        <v>1</v>
      </c>
      <c r="O79" s="11" t="n">
        <v>0.0774007314078666</v>
      </c>
      <c r="P79" s="11" t="n">
        <v>0.890311448488391</v>
      </c>
      <c r="Q79" s="11" t="n">
        <v>0.214814228227677</v>
      </c>
      <c r="R79" s="11" t="n">
        <v>0.649425287356322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/>
      <c r="AD79" s="11"/>
      <c r="AE79" s="11"/>
      <c r="AF79" s="11"/>
      <c r="AG79" s="11"/>
      <c r="AH79" s="11" t="n">
        <v>0</v>
      </c>
      <c r="AI79" s="11" t="n">
        <v>0</v>
      </c>
      <c r="AJ79" s="11" t="n">
        <v>0</v>
      </c>
      <c r="AK79" s="11" t="n">
        <v>-0.0252324583405954</v>
      </c>
      <c r="AL79" s="11" t="n">
        <v>0.0459770114942529</v>
      </c>
      <c r="AM79" s="11" t="n">
        <v>0.0229885057471264</v>
      </c>
      <c r="AN79" s="11" t="n">
        <v>0.0229885057471264</v>
      </c>
      <c r="AO79" s="11" t="n">
        <v>-0.00923769532230172</v>
      </c>
      <c r="AP79" s="11" t="n">
        <v>-0.0251660071035712</v>
      </c>
      <c r="AQ79" s="11" t="n">
        <v>0.583333333333333</v>
      </c>
      <c r="AR79" s="11" t="n">
        <v>0.0229885057471264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0.00388934064292712</v>
      </c>
      <c r="AZ79" s="11" t="n">
        <v>0.0156113100475896</v>
      </c>
      <c r="BA79" s="11"/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5.35783424762487</v>
      </c>
      <c r="BK79" s="11" t="n">
        <v>5.63233746398004</v>
      </c>
      <c r="BL79" s="11" t="n">
        <v>2.22461459791639</v>
      </c>
      <c r="BM79" s="11" t="n">
        <v>2.38850983550906</v>
      </c>
      <c r="BN79" s="11" t="n">
        <v>0.495065981331215</v>
      </c>
      <c r="BO79" s="11" t="n">
        <v>0.123213253499865</v>
      </c>
      <c r="BP79" s="11" t="n">
        <v>0.0697300187425544</v>
      </c>
      <c r="BQ79" s="11" t="n">
        <v>0.00320257731921393</v>
      </c>
      <c r="BR79" s="11" t="n">
        <v>3.09757473268285</v>
      </c>
      <c r="BS79" s="11" t="n">
        <v>553.008660954953</v>
      </c>
      <c r="BT79" s="11" t="n">
        <v>127.025627510674</v>
      </c>
      <c r="BU79" s="11" t="n">
        <v>535.783424762487</v>
      </c>
      <c r="BV79" s="11" t="n">
        <v>127.461027500168</v>
      </c>
      <c r="BW79" s="11" t="n">
        <v>5.14751538764995</v>
      </c>
      <c r="BX79" s="11" t="n">
        <v>1.71899701837163</v>
      </c>
      <c r="BY79" s="11" t="n">
        <v>3.99399788491561</v>
      </c>
      <c r="BZ79" s="11" t="n">
        <v>0.505747126436782</v>
      </c>
      <c r="CA79" s="11" t="n">
        <v>0</v>
      </c>
      <c r="CB79" s="11" t="n">
        <v>0</v>
      </c>
      <c r="CC79" s="11" t="n">
        <v>0</v>
      </c>
      <c r="CD79" s="11" t="n">
        <v>0</v>
      </c>
      <c r="CE79" s="11" t="n">
        <v>0.505747126436782</v>
      </c>
      <c r="CF79" s="11" t="n">
        <v>5</v>
      </c>
      <c r="CG79" s="11" t="n">
        <v>0</v>
      </c>
      <c r="CH79" s="11" t="n">
        <v>0</v>
      </c>
      <c r="CI79" s="11" t="n">
        <v>0</v>
      </c>
      <c r="CJ79" s="11" t="n">
        <v>0</v>
      </c>
      <c r="CK79" s="11" t="n">
        <v>0</v>
      </c>
      <c r="CL79" s="11" t="n">
        <v>0</v>
      </c>
      <c r="CM79" s="11" t="n">
        <v>0</v>
      </c>
      <c r="CN79" s="11" t="n">
        <v>0</v>
      </c>
      <c r="CO79" s="11" t="n">
        <v>0</v>
      </c>
      <c r="CP79" s="11" t="n">
        <v>0</v>
      </c>
      <c r="CQ79" s="11" t="n">
        <v>0</v>
      </c>
      <c r="CR79" s="11" t="n">
        <v>0</v>
      </c>
      <c r="CS79" s="11" t="n">
        <v>0</v>
      </c>
      <c r="CT79" s="11" t="n">
        <v>0</v>
      </c>
      <c r="CU79" s="11" t="n">
        <v>0</v>
      </c>
      <c r="CV79" s="11" t="n">
        <v>0</v>
      </c>
      <c r="CW79" s="11" t="n">
        <v>0</v>
      </c>
      <c r="CX79" s="11" t="n">
        <v>0</v>
      </c>
      <c r="CY79" s="11" t="n">
        <v>0.000142900615615233</v>
      </c>
      <c r="CZ79" s="11" t="n">
        <v>-0.035103285117658</v>
      </c>
      <c r="DA79" s="11" t="n">
        <v>4.53856919381005</v>
      </c>
      <c r="DB79" s="11" t="n">
        <v>-0.0160292324887888</v>
      </c>
      <c r="DC79" s="11" t="n">
        <v>10.9628031393278</v>
      </c>
      <c r="DD79" s="11" t="n">
        <v>0.235551015588286</v>
      </c>
      <c r="DE79" s="11" t="n">
        <v>0.333333333333333</v>
      </c>
      <c r="DF79" s="11" t="n">
        <v>-0.0261688042871549</v>
      </c>
      <c r="DG79" s="11" t="n">
        <v>-0.000387338332136026</v>
      </c>
      <c r="DH79" s="11" t="n">
        <v>-2.57814659550188</v>
      </c>
      <c r="DI79" s="11" t="n">
        <v>86.0080675700423</v>
      </c>
      <c r="DJ79" s="11" t="n">
        <v>45.0180458026706</v>
      </c>
      <c r="DK79" s="11" t="n">
        <v>9.38693996534025</v>
      </c>
      <c r="DL79" s="11" t="n">
        <v>49.05</v>
      </c>
      <c r="DM79" s="11" t="n">
        <v>0.471264367816092</v>
      </c>
      <c r="DN79" s="11" t="n">
        <v>0.442528735632184</v>
      </c>
      <c r="DO79" s="11" t="n">
        <v>-0.0111052590175988</v>
      </c>
      <c r="DP79" s="11" t="n">
        <v>0</v>
      </c>
      <c r="DQ79" s="11" t="n">
        <v>0</v>
      </c>
      <c r="DR79" s="11" t="n">
        <v>0</v>
      </c>
      <c r="DS79" s="11" t="n">
        <v>0</v>
      </c>
      <c r="DT79" s="11" t="n">
        <v>0</v>
      </c>
      <c r="DU79" s="11" t="n">
        <v>0</v>
      </c>
      <c r="DV79" s="11" t="n">
        <v>5</v>
      </c>
      <c r="DW79" s="11" t="s">
        <v>573</v>
      </c>
      <c r="DX79" s="11" t="n">
        <v>0.406307</v>
      </c>
      <c r="DY79" s="11" t="n">
        <v>0.0153471979499636</v>
      </c>
      <c r="DZ79" s="11" t="n">
        <v>0.797266802050036</v>
      </c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 t="n">
        <v>17.2115402691356</v>
      </c>
      <c r="EP79" s="11" t="n">
        <v>211.359071157363</v>
      </c>
      <c r="EQ79" s="11" t="n">
        <v>5242.2419009358</v>
      </c>
      <c r="ER79" s="11" t="n">
        <v>5.95169794350946</v>
      </c>
      <c r="ES79" s="11" t="n">
        <v>5.59392694413473</v>
      </c>
      <c r="ET79" s="11" t="n">
        <v>5.95169794350946</v>
      </c>
      <c r="EU79" s="11" t="n">
        <v>104.294441734824</v>
      </c>
      <c r="EV79" s="11" t="n">
        <v>87.3464341602504</v>
      </c>
      <c r="EW79" s="11" t="n">
        <v>1136.41699839399</v>
      </c>
      <c r="EX79" s="11" t="n">
        <v>977.034189138141</v>
      </c>
      <c r="EY79" s="11" t="n">
        <v>0.93531049601352</v>
      </c>
      <c r="EZ79" s="11" t="n">
        <v>0.443218409800245</v>
      </c>
      <c r="FA79" s="11" t="n">
        <v>0.0498303887693899</v>
      </c>
      <c r="FB79" s="11" t="n">
        <v>0.816091954022988</v>
      </c>
      <c r="FC79" s="11" t="n">
        <v>0</v>
      </c>
      <c r="FD79" s="11" t="n">
        <v>0</v>
      </c>
      <c r="FE79" s="11" t="s">
        <v>574</v>
      </c>
      <c r="FF79" s="11" t="s">
        <v>283</v>
      </c>
      <c r="FG79" s="11" t="n">
        <v>174</v>
      </c>
      <c r="FH79" s="11" t="s">
        <v>575</v>
      </c>
      <c r="FI79" s="11" t="s">
        <v>59</v>
      </c>
      <c r="FJ79" s="11" t="n">
        <v>0.2</v>
      </c>
      <c r="FK79" s="11" t="n">
        <v>0.80566956219113</v>
      </c>
      <c r="FL79" s="11" t="n">
        <v>0.468342184595551</v>
      </c>
      <c r="FM79" s="11" t="n">
        <v>0.129310344827586</v>
      </c>
      <c r="FN79" s="11" t="n">
        <v>0</v>
      </c>
      <c r="FO79" s="11" t="n">
        <v>6.6059576762944</v>
      </c>
      <c r="FP79" s="11" t="n">
        <v>6.38053014942476</v>
      </c>
      <c r="FQ79" s="11" t="n">
        <v>0.954022988505747</v>
      </c>
      <c r="FR79" s="11" t="n">
        <v>0</v>
      </c>
      <c r="FS79" s="11" t="n">
        <v>6.60595580567504</v>
      </c>
      <c r="FT79" s="11" t="n">
        <v>6.38052945691101</v>
      </c>
      <c r="FU79" s="11" t="n">
        <v>0</v>
      </c>
      <c r="FV79" s="11" t="n">
        <v>27.3841180410888</v>
      </c>
      <c r="FW79" s="11" t="n">
        <v>720.600365662219</v>
      </c>
      <c r="FX79" s="11" t="n">
        <v>0.0861003035863853</v>
      </c>
      <c r="FY79" s="11" t="n">
        <v>1</v>
      </c>
      <c r="FZ79" s="11" t="n">
        <v>70</v>
      </c>
      <c r="GA79" s="11" t="n">
        <v>1</v>
      </c>
      <c r="GB79" s="11" t="s">
        <v>576</v>
      </c>
      <c r="GC79" s="11" t="n">
        <v>0.96551724137931</v>
      </c>
      <c r="GD79" s="11" t="n">
        <v>0.96551724137931</v>
      </c>
      <c r="GE79" s="11" t="n">
        <v>0.96551724137931</v>
      </c>
      <c r="GF79" s="11" t="n">
        <v>0.96551724137931</v>
      </c>
      <c r="GG79" s="11" t="n">
        <v>0</v>
      </c>
      <c r="GH79" s="11" t="n">
        <v>0</v>
      </c>
      <c r="GI79" s="11" t="n">
        <v>5.22446425815766</v>
      </c>
      <c r="GJ79" s="11" t="n">
        <v>5.24040577329438</v>
      </c>
      <c r="GK79" s="11" t="n">
        <v>5.23594697325052</v>
      </c>
      <c r="GL79" s="11" t="n">
        <v>5.24320017058274</v>
      </c>
      <c r="GM79" s="11" t="n">
        <v>0</v>
      </c>
      <c r="GN79" s="11" t="n">
        <v>0</v>
      </c>
      <c r="GO79" s="11" t="n">
        <v>0.96551724137931</v>
      </c>
      <c r="GP79" s="11" t="n">
        <v>0.96551724137931</v>
      </c>
      <c r="GQ79" s="11" t="n">
        <v>0</v>
      </c>
      <c r="GR79" s="11" t="n">
        <v>1</v>
      </c>
      <c r="GS79" s="11" t="n">
        <v>1</v>
      </c>
      <c r="GT79" s="11" t="n">
        <v>0</v>
      </c>
      <c r="GU79" s="11" t="n">
        <v>0</v>
      </c>
      <c r="GV79" s="11" t="n">
        <v>0</v>
      </c>
      <c r="GW79" s="11" t="n">
        <v>0</v>
      </c>
      <c r="GX79" s="11" t="n">
        <v>0</v>
      </c>
      <c r="GY79" s="11" t="n">
        <v>1</v>
      </c>
      <c r="GZ79" s="11" t="n">
        <v>1</v>
      </c>
      <c r="HA79" s="11" t="n">
        <v>1</v>
      </c>
      <c r="HB79" s="11" t="n">
        <v>0</v>
      </c>
      <c r="HC79" s="11" t="n">
        <v>0</v>
      </c>
      <c r="HD79" s="11" t="n">
        <v>0</v>
      </c>
      <c r="HE79" s="11" t="n">
        <v>0</v>
      </c>
      <c r="HF79" s="11" t="n">
        <v>1</v>
      </c>
      <c r="HG79" s="11" t="n">
        <v>1</v>
      </c>
      <c r="HH79" s="11" t="n">
        <v>0</v>
      </c>
      <c r="HI79" s="11" t="n">
        <v>0</v>
      </c>
      <c r="HJ79" s="11" t="n">
        <v>0</v>
      </c>
      <c r="HK79" s="11" t="s">
        <v>835</v>
      </c>
      <c r="HL79" s="11" t="s">
        <v>577</v>
      </c>
      <c r="HM79" s="11" t="n">
        <v>1</v>
      </c>
      <c r="HN79" s="11" t="s">
        <v>1037</v>
      </c>
      <c r="HO79" s="11" t="s">
        <v>1038</v>
      </c>
      <c r="HP79" s="11" t="s">
        <v>1038</v>
      </c>
      <c r="HQ79" s="11" t="n">
        <v>0</v>
      </c>
      <c r="HR79" s="11" t="s">
        <v>204</v>
      </c>
      <c r="HS79" s="11" t="s">
        <v>249</v>
      </c>
      <c r="HT79" s="11" t="s">
        <v>249</v>
      </c>
      <c r="HU79" s="11" t="s">
        <v>1126</v>
      </c>
      <c r="HV79" s="11" t="s">
        <v>1126</v>
      </c>
      <c r="HW79" s="11" t="s">
        <v>846</v>
      </c>
      <c r="HX79" s="11" t="s">
        <v>838</v>
      </c>
      <c r="HY79" s="11" t="s">
        <v>583</v>
      </c>
      <c r="HZ79" s="11" t="s">
        <v>1127</v>
      </c>
      <c r="IA79" s="11" t="s">
        <v>1125</v>
      </c>
      <c r="IB79" s="11" t="s">
        <v>1128</v>
      </c>
      <c r="IC79" s="11" t="s">
        <v>283</v>
      </c>
      <c r="ID79" s="11" t="s">
        <v>841</v>
      </c>
      <c r="IE79" s="11" t="s">
        <v>198</v>
      </c>
      <c r="IF79" s="11" t="s">
        <v>191</v>
      </c>
      <c r="IG79" s="11" t="s">
        <v>237</v>
      </c>
      <c r="IH79" s="11" t="s">
        <v>1048</v>
      </c>
    </row>
    <row r="80" customFormat="false" ht="15" hidden="false" customHeight="false" outlineLevel="0" collapsed="false">
      <c r="A80" s="11" t="s">
        <v>101</v>
      </c>
      <c r="B80" s="11" t="s">
        <v>1129</v>
      </c>
      <c r="C80" s="11" t="s">
        <v>1035</v>
      </c>
      <c r="D80" s="11" t="s">
        <v>570</v>
      </c>
      <c r="E80" s="11" t="s">
        <v>91</v>
      </c>
      <c r="F80" s="11"/>
      <c r="G80" s="11"/>
      <c r="H80" s="11" t="s">
        <v>1130</v>
      </c>
      <c r="I80" s="11" t="s">
        <v>287</v>
      </c>
      <c r="J80" s="11" t="n">
        <v>78</v>
      </c>
      <c r="K80" s="11" t="n">
        <v>2.6</v>
      </c>
      <c r="L80" s="11" t="n">
        <v>0.670288503170013</v>
      </c>
      <c r="M80" s="11" t="n">
        <v>0.802666902542114</v>
      </c>
      <c r="N80" s="11" t="n">
        <v>0</v>
      </c>
      <c r="O80" s="11" t="n">
        <v>0.548234496921169</v>
      </c>
      <c r="P80" s="11" t="n">
        <v>0.506941448747789</v>
      </c>
      <c r="Q80" s="11" t="n">
        <v>0.366797288572371</v>
      </c>
      <c r="R80" s="11" t="n">
        <v>0.282051282051282</v>
      </c>
      <c r="S80" s="11" t="n">
        <v>0.153846153846154</v>
      </c>
      <c r="T80" s="11" t="n">
        <v>0.0256410256410256</v>
      </c>
      <c r="U80" s="11" t="n">
        <v>0</v>
      </c>
      <c r="V80" s="11" t="n">
        <v>0</v>
      </c>
      <c r="W80" s="11" t="n">
        <v>0.423076923076923</v>
      </c>
      <c r="X80" s="11" t="n">
        <v>0.217948717948718</v>
      </c>
      <c r="Y80" s="11" t="n">
        <v>0.282051282051282</v>
      </c>
      <c r="Z80" s="11" t="n">
        <v>0.371794871794872</v>
      </c>
      <c r="AA80" s="11" t="n">
        <v>0.141025641025641</v>
      </c>
      <c r="AB80" s="11" t="n">
        <v>0.0512820512820513</v>
      </c>
      <c r="AC80" s="11" t="n">
        <v>-0.0024000224567892</v>
      </c>
      <c r="AD80" s="11" t="n">
        <v>-0.0100724943213756</v>
      </c>
      <c r="AE80" s="11" t="n">
        <v>0.432432432432432</v>
      </c>
      <c r="AF80" s="11" t="n">
        <v>0.297297297297297</v>
      </c>
      <c r="AG80" s="11" t="n">
        <v>0.108108108108108</v>
      </c>
      <c r="AH80" s="11" t="n">
        <v>0.205128205128205</v>
      </c>
      <c r="AI80" s="11" t="n">
        <v>0.141025641025641</v>
      </c>
      <c r="AJ80" s="11" t="n">
        <v>0.0512820512820513</v>
      </c>
      <c r="AK80" s="11" t="n">
        <v>0.189702761263043</v>
      </c>
      <c r="AL80" s="11" t="n">
        <v>0</v>
      </c>
      <c r="AM80" s="11" t="n">
        <v>0</v>
      </c>
      <c r="AN80" s="11" t="n">
        <v>0</v>
      </c>
      <c r="AO80" s="11"/>
      <c r="AP80" s="11"/>
      <c r="AQ80" s="11"/>
      <c r="AR80" s="11" t="n">
        <v>0</v>
      </c>
      <c r="AS80" s="11" t="n">
        <v>0</v>
      </c>
      <c r="AT80" s="11" t="n">
        <v>0</v>
      </c>
      <c r="AU80" s="11" t="n">
        <v>0</v>
      </c>
      <c r="AV80" s="11" t="n">
        <v>0</v>
      </c>
      <c r="AW80" s="11" t="n">
        <v>0</v>
      </c>
      <c r="AX80" s="11" t="n">
        <v>0</v>
      </c>
      <c r="AY80" s="11" t="n">
        <v>0.00644089601685892</v>
      </c>
      <c r="AZ80" s="11" t="n">
        <v>0.0174512385342767</v>
      </c>
      <c r="BA80" s="11"/>
      <c r="BB80" s="11" t="n">
        <v>0</v>
      </c>
      <c r="BC80" s="11" t="n">
        <v>0.58974358974359</v>
      </c>
      <c r="BD80" s="11" t="n">
        <v>0.230769230769231</v>
      </c>
      <c r="BE80" s="11" t="n">
        <v>0.602564102564102</v>
      </c>
      <c r="BF80" s="11" t="n">
        <v>0.435897435897436</v>
      </c>
      <c r="BG80" s="11" t="n">
        <v>0.628205128205128</v>
      </c>
      <c r="BH80" s="11" t="n">
        <v>0.474358974358974</v>
      </c>
      <c r="BI80" s="11" t="n">
        <v>0.628205128205128</v>
      </c>
      <c r="BJ80" s="11" t="n">
        <v>0.139234871601899</v>
      </c>
      <c r="BK80" s="11" t="n">
        <v>0.123237560870137</v>
      </c>
      <c r="BL80" s="11" t="n">
        <v>0.250921950412077</v>
      </c>
      <c r="BM80" s="11" t="n">
        <v>0.164251555255694</v>
      </c>
      <c r="BN80" s="11" t="n">
        <v>0.642977981532358</v>
      </c>
      <c r="BO80" s="11" t="n">
        <v>0.609402569457219</v>
      </c>
      <c r="BP80" s="11" t="n">
        <v>0.0212539058311938</v>
      </c>
      <c r="BQ80" s="11" t="n">
        <v>0.00877162405358757</v>
      </c>
      <c r="BR80" s="11" t="n">
        <v>4.71491713074605</v>
      </c>
      <c r="BS80" s="11" t="n">
        <v>13.523941246696</v>
      </c>
      <c r="BT80" s="11" t="n">
        <v>22.9164476416668</v>
      </c>
      <c r="BU80" s="11" t="n">
        <v>13.9234871601899</v>
      </c>
      <c r="BV80" s="11" t="n">
        <v>14.3767687458026</v>
      </c>
      <c r="BW80" s="11" t="n">
        <v>7.28770907687805</v>
      </c>
      <c r="BX80" s="11" t="n">
        <v>5.52260180349751</v>
      </c>
      <c r="BY80" s="11" t="n">
        <v>5.13921159931191</v>
      </c>
      <c r="BZ80" s="11" t="n">
        <v>0.551282051282051</v>
      </c>
      <c r="CA80" s="11" t="n">
        <v>0.651162790697674</v>
      </c>
      <c r="CB80" s="11" t="n">
        <v>0.395348837209302</v>
      </c>
      <c r="CC80" s="11" t="n">
        <v>0.488372093023256</v>
      </c>
      <c r="CD80" s="11" t="n">
        <v>0.651162790697674</v>
      </c>
      <c r="CE80" s="11" t="n">
        <v>0.551282051282051</v>
      </c>
      <c r="CF80" s="11" t="n">
        <v>5</v>
      </c>
      <c r="CG80" s="11" t="n">
        <v>0</v>
      </c>
      <c r="CH80" s="11" t="n">
        <v>0.651162790697674</v>
      </c>
      <c r="CI80" s="11" t="n">
        <v>0.488372093023256</v>
      </c>
      <c r="CJ80" s="11" t="n">
        <v>0.651162790697674</v>
      </c>
      <c r="CK80" s="11" t="n">
        <v>0.142857142857143</v>
      </c>
      <c r="CL80" s="11" t="n">
        <v>0</v>
      </c>
      <c r="CM80" s="11" t="n">
        <v>0.0285714285714286</v>
      </c>
      <c r="CN80" s="11" t="n">
        <v>0.0285714285714286</v>
      </c>
      <c r="CO80" s="11" t="n">
        <v>0</v>
      </c>
      <c r="CP80" s="11" t="n">
        <v>0</v>
      </c>
      <c r="CQ80" s="11" t="n">
        <v>0</v>
      </c>
      <c r="CR80" s="11" t="n">
        <v>0</v>
      </c>
      <c r="CS80" s="11" t="n">
        <v>0.263157894736842</v>
      </c>
      <c r="CT80" s="11" t="n">
        <v>0</v>
      </c>
      <c r="CU80" s="11" t="n">
        <v>0.0526315789473684</v>
      </c>
      <c r="CV80" s="11" t="n">
        <v>0.0526315789473684</v>
      </c>
      <c r="CW80" s="11" t="n">
        <v>0.0465116279069767</v>
      </c>
      <c r="CX80" s="11" t="n">
        <v>0</v>
      </c>
      <c r="CY80" s="11" t="n">
        <v>0.00693880764979504</v>
      </c>
      <c r="CZ80" s="11" t="n">
        <v>-0.128315236432068</v>
      </c>
      <c r="DA80" s="11" t="n">
        <v>3.84419962969331</v>
      </c>
      <c r="DB80" s="11" t="n">
        <v>-0.0283398954398685</v>
      </c>
      <c r="DC80" s="11" t="n">
        <v>7.11255063561267</v>
      </c>
      <c r="DD80" s="11" t="n">
        <v>0.603575599456493</v>
      </c>
      <c r="DE80" s="11" t="n">
        <v>0.346153846153846</v>
      </c>
      <c r="DF80" s="11" t="n">
        <v>-0.0378367004930893</v>
      </c>
      <c r="DG80" s="11" t="n">
        <v>-0.0133743940618274</v>
      </c>
      <c r="DH80" s="11" t="n">
        <v>-2.44623064312619</v>
      </c>
      <c r="DI80" s="11" t="n">
        <v>90.5693380486754</v>
      </c>
      <c r="DJ80" s="11" t="n">
        <v>89.1967127427454</v>
      </c>
      <c r="DK80" s="11" t="n">
        <v>10.3346209261782</v>
      </c>
      <c r="DL80" s="11" t="n">
        <v>49.05</v>
      </c>
      <c r="DM80" s="11" t="n">
        <v>0.474358974358974</v>
      </c>
      <c r="DN80" s="11" t="n">
        <v>0.205128205128205</v>
      </c>
      <c r="DO80" s="11" t="n">
        <v>-0.00761572021956686</v>
      </c>
      <c r="DP80" s="11" t="n">
        <v>0</v>
      </c>
      <c r="DQ80" s="11" t="n">
        <v>0.0256410256410256</v>
      </c>
      <c r="DR80" s="11" t="n">
        <v>0.0128205128205128</v>
      </c>
      <c r="DS80" s="11" t="n">
        <v>0</v>
      </c>
      <c r="DT80" s="11" t="n">
        <v>0</v>
      </c>
      <c r="DU80" s="11" t="n">
        <v>0</v>
      </c>
      <c r="DV80" s="11" t="n">
        <v>5</v>
      </c>
      <c r="DW80" s="11" t="s">
        <v>690</v>
      </c>
      <c r="DX80" s="11" t="n">
        <v>0.195506</v>
      </c>
      <c r="DY80" s="11" t="n">
        <v>-0.0215261441559284</v>
      </c>
      <c r="DZ80" s="11" t="n">
        <v>0.412538144155928</v>
      </c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 t="n">
        <v>11.1461839233632</v>
      </c>
      <c r="EP80" s="11" t="n">
        <v>97.6297033946497</v>
      </c>
      <c r="EQ80" s="11" t="n">
        <v>2036.42561896329</v>
      </c>
      <c r="ER80" s="11" t="n">
        <v>3.70764303863476</v>
      </c>
      <c r="ES80" s="11" t="n">
        <v>1.93445633332396</v>
      </c>
      <c r="ET80" s="11" t="n">
        <v>3.70764303863476</v>
      </c>
      <c r="EU80" s="11" t="n">
        <v>35.0073288813148</v>
      </c>
      <c r="EV80" s="11" t="n">
        <v>32.1929903627724</v>
      </c>
      <c r="EW80" s="11" t="n">
        <v>550.086460114995</v>
      </c>
      <c r="EX80" s="11" t="n">
        <v>706.738534163277</v>
      </c>
      <c r="EY80" s="11" t="n">
        <v>1.05993529273303</v>
      </c>
      <c r="EZ80" s="11" t="n">
        <v>0.685789430502938</v>
      </c>
      <c r="FA80" s="11" t="n">
        <v>0.0497388708575495</v>
      </c>
      <c r="FB80" s="11" t="n">
        <v>1</v>
      </c>
      <c r="FC80" s="11" t="n">
        <v>0</v>
      </c>
      <c r="FD80" s="11" t="n">
        <v>0</v>
      </c>
      <c r="FE80" s="11" t="s">
        <v>574</v>
      </c>
      <c r="FF80" s="11" t="s">
        <v>288</v>
      </c>
      <c r="FG80" s="11" t="n">
        <v>78</v>
      </c>
      <c r="FH80" s="11" t="s">
        <v>575</v>
      </c>
      <c r="FI80" s="11" t="s">
        <v>59</v>
      </c>
      <c r="FJ80" s="11" t="n">
        <v>0.2</v>
      </c>
      <c r="FK80" s="11" t="n">
        <v>0.210155196993752</v>
      </c>
      <c r="FL80" s="11" t="n">
        <v>0.176920787862728</v>
      </c>
      <c r="FM80" s="11" t="n">
        <v>0.016025641025641</v>
      </c>
      <c r="FN80" s="11" t="n">
        <v>1</v>
      </c>
      <c r="FO80" s="11" t="n">
        <v>0.479600590134945</v>
      </c>
      <c r="FP80" s="11" t="n">
        <v>0.297035834514287</v>
      </c>
      <c r="FQ80" s="11" t="n">
        <v>0.0512820512820513</v>
      </c>
      <c r="FR80" s="11" t="n">
        <v>0</v>
      </c>
      <c r="FS80" s="11" t="n">
        <v>0.477906974107369</v>
      </c>
      <c r="FT80" s="11" t="n">
        <v>0.297004248251864</v>
      </c>
      <c r="FU80" s="11" t="n">
        <v>1</v>
      </c>
      <c r="FV80" s="11" t="n">
        <v>11.5112671975281</v>
      </c>
      <c r="FW80" s="11" t="n">
        <v>258.963105419859</v>
      </c>
      <c r="FX80" s="11" t="n">
        <v>0.0609146374201148</v>
      </c>
      <c r="FY80" s="11" t="n">
        <v>1</v>
      </c>
      <c r="FZ80" s="11" t="n">
        <v>19</v>
      </c>
      <c r="GA80" s="11" t="n">
        <v>1</v>
      </c>
      <c r="GB80" s="11" t="s">
        <v>576</v>
      </c>
      <c r="GC80" s="11" t="n">
        <v>0.916087223933293</v>
      </c>
      <c r="GD80" s="11" t="n">
        <v>0.922788962339744</v>
      </c>
      <c r="GE80" s="11" t="n">
        <v>0.922534879344778</v>
      </c>
      <c r="GF80" s="11" t="n">
        <v>0.923076923076923</v>
      </c>
      <c r="GG80" s="11" t="n">
        <v>0</v>
      </c>
      <c r="GH80" s="11" t="n">
        <v>0</v>
      </c>
      <c r="GI80" s="11" t="n">
        <v>0.0735026411202853</v>
      </c>
      <c r="GJ80" s="11" t="n">
        <v>0.0877626543530287</v>
      </c>
      <c r="GK80" s="11" t="n">
        <v>0.0848625013580041</v>
      </c>
      <c r="GL80" s="11" t="n">
        <v>0.0909527747426182</v>
      </c>
      <c r="GM80" s="11" t="n">
        <v>0.00121107674501804</v>
      </c>
      <c r="GN80" s="11" t="n">
        <v>1.17375300480769E-005</v>
      </c>
      <c r="GO80" s="11" t="n">
        <v>0.922275641025641</v>
      </c>
      <c r="GP80" s="11" t="n">
        <v>0.923076923076923</v>
      </c>
      <c r="GQ80" s="11" t="n">
        <v>-0.0409994311630726</v>
      </c>
      <c r="GR80" s="11" t="n">
        <v>1</v>
      </c>
      <c r="GS80" s="11" t="n">
        <v>1</v>
      </c>
      <c r="GT80" s="11" t="n">
        <v>0</v>
      </c>
      <c r="GU80" s="11" t="n">
        <v>0</v>
      </c>
      <c r="GV80" s="11" t="n">
        <v>1</v>
      </c>
      <c r="GW80" s="11" t="n">
        <v>1</v>
      </c>
      <c r="GX80" s="11" t="n">
        <v>1</v>
      </c>
      <c r="GY80" s="11" t="n">
        <v>1</v>
      </c>
      <c r="GZ80" s="11" t="n">
        <v>1</v>
      </c>
      <c r="HA80" s="11" t="n">
        <v>1</v>
      </c>
      <c r="HB80" s="11" t="n">
        <v>1</v>
      </c>
      <c r="HC80" s="11" t="n">
        <v>1</v>
      </c>
      <c r="HD80" s="11" t="n">
        <v>1</v>
      </c>
      <c r="HE80" s="11" t="n">
        <v>0</v>
      </c>
      <c r="HF80" s="11" t="n">
        <v>1</v>
      </c>
      <c r="HG80" s="11" t="n">
        <v>1</v>
      </c>
      <c r="HH80" s="11" t="n">
        <v>1</v>
      </c>
      <c r="HI80" s="11" t="n">
        <v>0</v>
      </c>
      <c r="HJ80" s="11" t="n">
        <v>0</v>
      </c>
      <c r="HK80" s="11" t="s">
        <v>143</v>
      </c>
      <c r="HL80" s="11" t="s">
        <v>577</v>
      </c>
      <c r="HM80" s="11" t="n">
        <v>1</v>
      </c>
      <c r="HN80" s="11" t="s">
        <v>1037</v>
      </c>
      <c r="HO80" s="11" t="s">
        <v>1038</v>
      </c>
      <c r="HP80" s="11" t="s">
        <v>1038</v>
      </c>
      <c r="HQ80" s="11" t="n">
        <v>0</v>
      </c>
      <c r="HR80" s="11" t="s">
        <v>189</v>
      </c>
      <c r="HS80" s="11" t="s">
        <v>249</v>
      </c>
      <c r="HT80" s="11" t="s">
        <v>249</v>
      </c>
      <c r="HU80" s="11" t="s">
        <v>1131</v>
      </c>
      <c r="HV80" s="11" t="s">
        <v>1131</v>
      </c>
      <c r="HW80" s="11" t="s">
        <v>861</v>
      </c>
      <c r="HX80" s="11" t="s">
        <v>854</v>
      </c>
      <c r="HY80" s="11" t="s">
        <v>583</v>
      </c>
      <c r="HZ80" s="11" t="s">
        <v>1132</v>
      </c>
      <c r="IA80" s="11" t="s">
        <v>1130</v>
      </c>
      <c r="IB80" s="11" t="s">
        <v>1133</v>
      </c>
      <c r="IC80" s="11" t="s">
        <v>288</v>
      </c>
      <c r="ID80" s="11" t="s">
        <v>857</v>
      </c>
      <c r="IE80" s="11" t="s">
        <v>198</v>
      </c>
      <c r="IF80" s="11" t="s">
        <v>191</v>
      </c>
      <c r="IG80" s="11" t="s">
        <v>237</v>
      </c>
      <c r="IH80" s="11" t="s">
        <v>1048</v>
      </c>
    </row>
    <row r="81" customFormat="false" ht="15" hidden="false" customHeight="false" outlineLevel="0" collapsed="false">
      <c r="A81" s="11" t="s">
        <v>102</v>
      </c>
      <c r="B81" s="11" t="s">
        <v>1134</v>
      </c>
      <c r="C81" s="11" t="s">
        <v>1035</v>
      </c>
      <c r="D81" s="11" t="s">
        <v>570</v>
      </c>
      <c r="E81" s="11" t="s">
        <v>91</v>
      </c>
      <c r="F81" s="11"/>
      <c r="G81" s="11"/>
      <c r="H81" s="11" t="s">
        <v>1135</v>
      </c>
      <c r="I81" s="11" t="s">
        <v>292</v>
      </c>
      <c r="J81" s="11" t="n">
        <v>107</v>
      </c>
      <c r="K81" s="11" t="n">
        <v>3.56666666666667</v>
      </c>
      <c r="L81" s="11" t="n">
        <v>0.695340633392334</v>
      </c>
      <c r="M81" s="11" t="n">
        <v>0.826497316360474</v>
      </c>
      <c r="N81" s="11" t="n">
        <v>0</v>
      </c>
      <c r="O81" s="11" t="n">
        <v>0.804612045964264</v>
      </c>
      <c r="P81" s="11" t="n">
        <v>0.941216805302772</v>
      </c>
      <c r="Q81" s="11" t="n">
        <v>0.443110795427953</v>
      </c>
      <c r="R81" s="11" t="n">
        <v>0.177570093457944</v>
      </c>
      <c r="S81" s="11" t="n">
        <v>0.224299065420561</v>
      </c>
      <c r="T81" s="11" t="n">
        <v>0.0373831775700935</v>
      </c>
      <c r="U81" s="11" t="n">
        <v>0.0186915887850467</v>
      </c>
      <c r="V81" s="11" t="n">
        <v>0</v>
      </c>
      <c r="W81" s="11" t="n">
        <v>0.495327102803738</v>
      </c>
      <c r="X81" s="11" t="n">
        <v>0.299065420560748</v>
      </c>
      <c r="Y81" s="11" t="n">
        <v>0.392523364485981</v>
      </c>
      <c r="Z81" s="11" t="n">
        <v>0.476635514018692</v>
      </c>
      <c r="AA81" s="11" t="n">
        <v>0.102803738317757</v>
      </c>
      <c r="AB81" s="11" t="n">
        <v>0.0186915887850467</v>
      </c>
      <c r="AC81" s="11" t="n">
        <v>-0.00229239805841718</v>
      </c>
      <c r="AD81" s="11" t="n">
        <v>-0.0241287968797413</v>
      </c>
      <c r="AE81" s="11" t="n">
        <v>0.40983606557377</v>
      </c>
      <c r="AF81" s="11" t="n">
        <v>0.180327868852459</v>
      </c>
      <c r="AG81" s="11" t="n">
        <v>0.0327868852459016</v>
      </c>
      <c r="AH81" s="11" t="n">
        <v>0.196261682242991</v>
      </c>
      <c r="AI81" s="11" t="n">
        <v>0.102803738317757</v>
      </c>
      <c r="AJ81" s="11" t="n">
        <v>0.0186915887850467</v>
      </c>
      <c r="AK81" s="11" t="n">
        <v>0.253702636681896</v>
      </c>
      <c r="AL81" s="11" t="n">
        <v>0</v>
      </c>
      <c r="AM81" s="11" t="n">
        <v>0</v>
      </c>
      <c r="AN81" s="11" t="n">
        <v>0</v>
      </c>
      <c r="AO81" s="11"/>
      <c r="AP81" s="11"/>
      <c r="AQ81" s="11"/>
      <c r="AR81" s="11" t="n">
        <v>0</v>
      </c>
      <c r="AS81" s="11" t="n">
        <v>0</v>
      </c>
      <c r="AT81" s="11" t="n">
        <v>0</v>
      </c>
      <c r="AU81" s="11" t="n">
        <v>0</v>
      </c>
      <c r="AV81" s="11" t="n">
        <v>0</v>
      </c>
      <c r="AW81" s="11" t="n">
        <v>0</v>
      </c>
      <c r="AX81" s="11" t="n">
        <v>0</v>
      </c>
      <c r="AY81" s="11" t="n">
        <v>0.00814186247948804</v>
      </c>
      <c r="AZ81" s="11" t="n">
        <v>0.0267497316826128</v>
      </c>
      <c r="BA81" s="11"/>
      <c r="BB81" s="11" t="n">
        <v>0</v>
      </c>
      <c r="BC81" s="11" t="n">
        <v>0.532710280373832</v>
      </c>
      <c r="BD81" s="11" t="n">
        <v>0</v>
      </c>
      <c r="BE81" s="11" t="n">
        <v>0.532710280373832</v>
      </c>
      <c r="BF81" s="11" t="n">
        <v>0.186915887850467</v>
      </c>
      <c r="BG81" s="11" t="n">
        <v>0.542056074766355</v>
      </c>
      <c r="BH81" s="11" t="n">
        <v>0.336448598130841</v>
      </c>
      <c r="BI81" s="11" t="n">
        <v>0.551401869158878</v>
      </c>
      <c r="BJ81" s="11" t="n">
        <v>0.19675919713384</v>
      </c>
      <c r="BK81" s="11" t="n">
        <v>0.0485320206967497</v>
      </c>
      <c r="BL81" s="11" t="n">
        <v>0.212478650954099</v>
      </c>
      <c r="BM81" s="11" t="n">
        <v>0.017807311459659</v>
      </c>
      <c r="BN81" s="11" t="n">
        <v>0.555779845290876</v>
      </c>
      <c r="BO81" s="11" t="n">
        <v>0.204332248274034</v>
      </c>
      <c r="BP81" s="11" t="n">
        <v>0.0148095571121439</v>
      </c>
      <c r="BQ81" s="11" t="n">
        <v>0.00297487008242799</v>
      </c>
      <c r="BR81" s="11" t="n">
        <v>4.09951425941977</v>
      </c>
      <c r="BS81" s="11" t="n">
        <v>16.0844234385141</v>
      </c>
      <c r="BT81" s="11" t="n">
        <v>21.3959087095803</v>
      </c>
      <c r="BU81" s="11" t="n">
        <v>19.675919713384</v>
      </c>
      <c r="BV81" s="11" t="n">
        <v>12.1741299187843</v>
      </c>
      <c r="BW81" s="11" t="n">
        <v>10.9475726421038</v>
      </c>
      <c r="BX81" s="11" t="n">
        <v>5.45163722480339</v>
      </c>
      <c r="BY81" s="11" t="n">
        <v>4.81263365850267</v>
      </c>
      <c r="BZ81" s="11" t="n">
        <v>0.514018691588785</v>
      </c>
      <c r="CA81" s="11" t="n">
        <v>0.872727272727273</v>
      </c>
      <c r="CB81" s="11" t="n">
        <v>0.545454545454545</v>
      </c>
      <c r="CC81" s="11" t="n">
        <v>0.690909090909091</v>
      </c>
      <c r="CD81" s="11" t="n">
        <v>0.836363636363636</v>
      </c>
      <c r="CE81" s="11" t="n">
        <v>0.551401869158878</v>
      </c>
      <c r="CF81" s="11" t="n">
        <v>5</v>
      </c>
      <c r="CG81" s="11" t="n">
        <v>4</v>
      </c>
      <c r="CH81" s="11" t="n">
        <v>0.88135593220339</v>
      </c>
      <c r="CI81" s="11" t="n">
        <v>0.694915254237288</v>
      </c>
      <c r="CJ81" s="11" t="n">
        <v>0.847457627118644</v>
      </c>
      <c r="CK81" s="11" t="n">
        <v>0.0961538461538462</v>
      </c>
      <c r="CL81" s="11" t="n">
        <v>0.0384615384615385</v>
      </c>
      <c r="CM81" s="11" t="n">
        <v>0.0769230769230769</v>
      </c>
      <c r="CN81" s="11" t="n">
        <v>0.0961538461538462</v>
      </c>
      <c r="CO81" s="11" t="n">
        <v>0</v>
      </c>
      <c r="CP81" s="11" t="n">
        <v>0</v>
      </c>
      <c r="CQ81" s="11" t="n">
        <v>0</v>
      </c>
      <c r="CR81" s="11" t="n">
        <v>0</v>
      </c>
      <c r="CS81" s="11" t="n">
        <v>0.03125</v>
      </c>
      <c r="CT81" s="11" t="n">
        <v>0</v>
      </c>
      <c r="CU81" s="11" t="n">
        <v>0.03125</v>
      </c>
      <c r="CV81" s="11" t="n">
        <v>0.03125</v>
      </c>
      <c r="CW81" s="11" t="n">
        <v>0.0545454545454545</v>
      </c>
      <c r="CX81" s="11" t="n">
        <v>0.0363636363636364</v>
      </c>
      <c r="CY81" s="11" t="n">
        <v>-0.00390620848162497</v>
      </c>
      <c r="CZ81" s="11" t="n">
        <v>-0.0991267079725609</v>
      </c>
      <c r="DA81" s="11" t="n">
        <v>7.62561828051095</v>
      </c>
      <c r="DB81" s="11" t="n">
        <v>-0.0375581526665875</v>
      </c>
      <c r="DC81" s="11" t="n">
        <v>16.0361012114818</v>
      </c>
      <c r="DD81" s="11" t="n">
        <v>0.376644147719554</v>
      </c>
      <c r="DE81" s="11" t="n">
        <v>0.429906542056075</v>
      </c>
      <c r="DF81" s="11" t="n">
        <v>-0.0255092774937965</v>
      </c>
      <c r="DG81" s="11" t="n">
        <v>-0.036340000959299</v>
      </c>
      <c r="DH81" s="11" t="n">
        <v>1.08307234655025</v>
      </c>
      <c r="DI81" s="11" t="n">
        <v>171.477928537676</v>
      </c>
      <c r="DJ81" s="11" t="n">
        <v>126.212875966666</v>
      </c>
      <c r="DK81" s="11" t="n">
        <v>11.7548341632484</v>
      </c>
      <c r="DL81" s="11" t="n">
        <v>49.05</v>
      </c>
      <c r="DM81" s="11" t="n">
        <v>0.439252336448598</v>
      </c>
      <c r="DN81" s="11" t="n">
        <v>0.130841121495327</v>
      </c>
      <c r="DO81" s="11" t="n">
        <v>-0.00580355565222151</v>
      </c>
      <c r="DP81" s="11" t="n">
        <v>0.00934579439252336</v>
      </c>
      <c r="DQ81" s="11" t="n">
        <v>0.0186915887850467</v>
      </c>
      <c r="DR81" s="11" t="n">
        <v>0.0186915887850467</v>
      </c>
      <c r="DS81" s="11" t="n">
        <v>0.0186915887850467</v>
      </c>
      <c r="DT81" s="11" t="n">
        <v>0.00934579439252336</v>
      </c>
      <c r="DU81" s="11" t="n">
        <v>0.00934579439252336</v>
      </c>
      <c r="DV81" s="11" t="n">
        <v>5</v>
      </c>
      <c r="DW81" s="11" t="s">
        <v>690</v>
      </c>
      <c r="DX81" s="11" t="n">
        <v>0.195506</v>
      </c>
      <c r="DY81" s="11" t="n">
        <v>0.171953805236568</v>
      </c>
      <c r="DZ81" s="11" t="n">
        <v>0.219058194763432</v>
      </c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 t="n">
        <v>11.3025278692937</v>
      </c>
      <c r="EP81" s="11" t="n">
        <v>84.7467736503065</v>
      </c>
      <c r="EQ81" s="11" t="n">
        <v>1723.07396126227</v>
      </c>
      <c r="ER81" s="11" t="n">
        <v>2.72793439783389</v>
      </c>
      <c r="ES81" s="11" t="n">
        <v>2.72793439783389</v>
      </c>
      <c r="ET81" s="11" t="n">
        <v>2.59306604647031</v>
      </c>
      <c r="EU81" s="11" t="n">
        <v>38.4731926599541</v>
      </c>
      <c r="EV81" s="11" t="n">
        <v>38.4731926599541</v>
      </c>
      <c r="EW81" s="11" t="n">
        <v>535.685074118527</v>
      </c>
      <c r="EX81" s="11" t="n">
        <v>636.896110832697</v>
      </c>
      <c r="EY81" s="11" t="n">
        <v>1.59515184248585</v>
      </c>
      <c r="EZ81" s="11" t="n">
        <v>0.889146660464628</v>
      </c>
      <c r="FA81" s="11" t="n">
        <v>0.04956926574731</v>
      </c>
      <c r="FB81" s="11" t="n">
        <v>0.85981308411215</v>
      </c>
      <c r="FC81" s="11" t="n">
        <v>0</v>
      </c>
      <c r="FD81" s="11" t="n">
        <v>0</v>
      </c>
      <c r="FE81" s="11" t="s">
        <v>574</v>
      </c>
      <c r="FF81" s="11" t="s">
        <v>293</v>
      </c>
      <c r="FG81" s="11" t="n">
        <v>107</v>
      </c>
      <c r="FH81" s="11" t="s">
        <v>575</v>
      </c>
      <c r="FI81" s="11" t="s">
        <v>59</v>
      </c>
      <c r="FJ81" s="11" t="n">
        <v>0.2</v>
      </c>
      <c r="FK81" s="11" t="n">
        <v>0.226982261995083</v>
      </c>
      <c r="FL81" s="11" t="n">
        <v>0.133893022924033</v>
      </c>
      <c r="FM81" s="11" t="n">
        <v>0.00700934579439252</v>
      </c>
      <c r="FN81" s="11" t="n">
        <v>1</v>
      </c>
      <c r="FO81" s="11" t="n">
        <v>0.699286530599079</v>
      </c>
      <c r="FP81" s="11" t="n">
        <v>0.444376888378743</v>
      </c>
      <c r="FQ81" s="11" t="n">
        <v>0.135514018691589</v>
      </c>
      <c r="FR81" s="11" t="n">
        <v>0</v>
      </c>
      <c r="FS81" s="11" t="n">
        <v>0.698378645420351</v>
      </c>
      <c r="FT81" s="11" t="n">
        <v>0.44392009863453</v>
      </c>
      <c r="FU81" s="11" t="n">
        <v>1</v>
      </c>
      <c r="FV81" s="11" t="n">
        <v>11.7303986406</v>
      </c>
      <c r="FW81" s="11" t="n">
        <v>318.898751632505</v>
      </c>
      <c r="FX81" s="11" t="n">
        <v>0.0372433625230472</v>
      </c>
      <c r="FY81" s="11" t="n">
        <v>1</v>
      </c>
      <c r="FZ81" s="11" t="n">
        <v>32</v>
      </c>
      <c r="GA81" s="11" t="n">
        <v>1</v>
      </c>
      <c r="GB81" s="11" t="s">
        <v>576</v>
      </c>
      <c r="GC81" s="11" t="n">
        <v>0.941374591577833</v>
      </c>
      <c r="GD81" s="11" t="n">
        <v>0.94392523364486</v>
      </c>
      <c r="GE81" s="11" t="n">
        <v>0.94392523364486</v>
      </c>
      <c r="GF81" s="11" t="n">
        <v>0.94392523364486</v>
      </c>
      <c r="GG81" s="11" t="n">
        <v>0</v>
      </c>
      <c r="GH81" s="11" t="n">
        <v>0</v>
      </c>
      <c r="GI81" s="11" t="n">
        <v>0.14554678031165</v>
      </c>
      <c r="GJ81" s="11" t="n">
        <v>0.169193651179008</v>
      </c>
      <c r="GK81" s="11" t="n">
        <v>0.16324868294338</v>
      </c>
      <c r="GL81" s="11" t="n">
        <v>0.173302571976853</v>
      </c>
      <c r="GM81" s="11" t="n">
        <v>0.000208162452413893</v>
      </c>
      <c r="GN81" s="11" t="n">
        <v>0</v>
      </c>
      <c r="GO81" s="11" t="n">
        <v>0.94392523364486</v>
      </c>
      <c r="GP81" s="11" t="n">
        <v>0.94392523364486</v>
      </c>
      <c r="GQ81" s="11" t="n">
        <v>-0.0441041514277458</v>
      </c>
      <c r="GR81" s="11" t="n">
        <v>1</v>
      </c>
      <c r="GS81" s="11" t="n">
        <v>1</v>
      </c>
      <c r="GT81" s="11" t="n">
        <v>0</v>
      </c>
      <c r="GU81" s="11" t="n">
        <v>0</v>
      </c>
      <c r="GV81" s="11" t="n">
        <v>1</v>
      </c>
      <c r="GW81" s="11" t="n">
        <v>1</v>
      </c>
      <c r="GX81" s="11" t="n">
        <v>1</v>
      </c>
      <c r="GY81" s="11" t="n">
        <v>1</v>
      </c>
      <c r="GZ81" s="11" t="n">
        <v>1</v>
      </c>
      <c r="HA81" s="11" t="n">
        <v>1</v>
      </c>
      <c r="HB81" s="11" t="n">
        <v>1</v>
      </c>
      <c r="HC81" s="11" t="n">
        <v>1</v>
      </c>
      <c r="HD81" s="11" t="n">
        <v>1</v>
      </c>
      <c r="HE81" s="11" t="n">
        <v>0</v>
      </c>
      <c r="HF81" s="11" t="n">
        <v>1</v>
      </c>
      <c r="HG81" s="11" t="n">
        <v>1</v>
      </c>
      <c r="HH81" s="11" t="n">
        <v>1</v>
      </c>
      <c r="HI81" s="11" t="n">
        <v>0</v>
      </c>
      <c r="HJ81" s="11" t="n">
        <v>0</v>
      </c>
      <c r="HK81" s="11" t="s">
        <v>143</v>
      </c>
      <c r="HL81" s="11" t="s">
        <v>577</v>
      </c>
      <c r="HM81" s="11" t="n">
        <v>1</v>
      </c>
      <c r="HN81" s="11" t="s">
        <v>1037</v>
      </c>
      <c r="HO81" s="11" t="s">
        <v>1038</v>
      </c>
      <c r="HP81" s="11" t="s">
        <v>1038</v>
      </c>
      <c r="HQ81" s="11" t="n">
        <v>0</v>
      </c>
      <c r="HR81" s="11" t="s">
        <v>189</v>
      </c>
      <c r="HS81" s="11" t="s">
        <v>249</v>
      </c>
      <c r="HT81" s="11" t="s">
        <v>249</v>
      </c>
      <c r="HU81" s="11" t="s">
        <v>1136</v>
      </c>
      <c r="HV81" s="11" t="s">
        <v>1136</v>
      </c>
      <c r="HW81" s="11" t="s">
        <v>877</v>
      </c>
      <c r="HX81" s="11" t="s">
        <v>869</v>
      </c>
      <c r="HY81" s="11" t="s">
        <v>583</v>
      </c>
      <c r="HZ81" s="11" t="s">
        <v>1137</v>
      </c>
      <c r="IA81" s="11" t="s">
        <v>1135</v>
      </c>
      <c r="IB81" s="11" t="s">
        <v>1138</v>
      </c>
      <c r="IC81" s="11" t="s">
        <v>293</v>
      </c>
      <c r="ID81" s="11" t="s">
        <v>872</v>
      </c>
      <c r="IE81" s="11" t="s">
        <v>198</v>
      </c>
      <c r="IF81" s="11" t="s">
        <v>191</v>
      </c>
      <c r="IG81" s="11" t="s">
        <v>237</v>
      </c>
      <c r="IH81" s="11" t="s">
        <v>1048</v>
      </c>
    </row>
    <row r="82" customFormat="false" ht="15" hidden="false" customHeight="false" outlineLevel="0" collapsed="false">
      <c r="A82" s="11" t="s">
        <v>103</v>
      </c>
      <c r="B82" s="11" t="s">
        <v>1139</v>
      </c>
      <c r="C82" s="11" t="s">
        <v>1035</v>
      </c>
      <c r="D82" s="11" t="s">
        <v>570</v>
      </c>
      <c r="E82" s="11" t="s">
        <v>91</v>
      </c>
      <c r="F82" s="11"/>
      <c r="G82" s="11"/>
      <c r="H82" s="11" t="s">
        <v>1140</v>
      </c>
      <c r="I82" s="11" t="s">
        <v>297</v>
      </c>
      <c r="J82" s="11" t="n">
        <v>107</v>
      </c>
      <c r="K82" s="11" t="n">
        <v>3.56666666666667</v>
      </c>
      <c r="L82" s="11" t="n">
        <v>0.610737323760986</v>
      </c>
      <c r="M82" s="11" t="n">
        <v>0.784726023674011</v>
      </c>
      <c r="N82" s="11" t="n">
        <v>0</v>
      </c>
      <c r="O82" s="11" t="n">
        <v>1.55406937533529</v>
      </c>
      <c r="P82" s="11" t="n">
        <v>1.64408484682441</v>
      </c>
      <c r="Q82" s="11" t="n">
        <v>0.45933963061416</v>
      </c>
      <c r="R82" s="11" t="n">
        <v>0.205607476635514</v>
      </c>
      <c r="S82" s="11" t="n">
        <v>0.392523364485981</v>
      </c>
      <c r="T82" s="11" t="n">
        <v>0.102803738317757</v>
      </c>
      <c r="U82" s="11" t="n">
        <v>0.0560747663551402</v>
      </c>
      <c r="V82" s="11" t="n">
        <v>0.0373831775700935</v>
      </c>
      <c r="W82" s="11" t="n">
        <v>0.476635514018692</v>
      </c>
      <c r="X82" s="11" t="n">
        <v>0.271028037383177</v>
      </c>
      <c r="Y82" s="11" t="n">
        <v>0.345794392523364</v>
      </c>
      <c r="Z82" s="11" t="n">
        <v>0.411214953271028</v>
      </c>
      <c r="AA82" s="11" t="n">
        <v>0.130841121495327</v>
      </c>
      <c r="AB82" s="11" t="n">
        <v>0.0654205607476635</v>
      </c>
      <c r="AC82" s="11" t="n">
        <v>-0.0053831540592497</v>
      </c>
      <c r="AD82" s="11" t="n">
        <v>-0.0549129049273001</v>
      </c>
      <c r="AE82" s="11" t="n">
        <v>0.474576271186441</v>
      </c>
      <c r="AF82" s="11" t="n">
        <v>0.322033898305085</v>
      </c>
      <c r="AG82" s="11" t="n">
        <v>0.135593220338983</v>
      </c>
      <c r="AH82" s="11" t="n">
        <v>0.205607476635514</v>
      </c>
      <c r="AI82" s="11" t="n">
        <v>0.130841121495327</v>
      </c>
      <c r="AJ82" s="11" t="n">
        <v>0.0654205607476635</v>
      </c>
      <c r="AK82" s="11" t="n">
        <v>0.113180626077236</v>
      </c>
      <c r="AL82" s="11" t="n">
        <v>0</v>
      </c>
      <c r="AM82" s="11" t="n">
        <v>0</v>
      </c>
      <c r="AN82" s="11" t="n">
        <v>0</v>
      </c>
      <c r="AO82" s="11"/>
      <c r="AP82" s="11"/>
      <c r="AQ82" s="11"/>
      <c r="AR82" s="11" t="n">
        <v>0</v>
      </c>
      <c r="AS82" s="11" t="n">
        <v>0</v>
      </c>
      <c r="AT82" s="11" t="n">
        <v>0</v>
      </c>
      <c r="AU82" s="11" t="n">
        <v>0</v>
      </c>
      <c r="AV82" s="11" t="n">
        <v>0</v>
      </c>
      <c r="AW82" s="11" t="n">
        <v>0</v>
      </c>
      <c r="AX82" s="11" t="n">
        <v>0</v>
      </c>
      <c r="AY82" s="11" t="n">
        <v>0.010717095862662</v>
      </c>
      <c r="AZ82" s="11" t="n">
        <v>0.0299062178426743</v>
      </c>
      <c r="BA82" s="11"/>
      <c r="BB82" s="11" t="n">
        <v>0.11214953271028</v>
      </c>
      <c r="BC82" s="11" t="n">
        <v>0.607476635514019</v>
      </c>
      <c r="BD82" s="11" t="n">
        <v>0.205607476635514</v>
      </c>
      <c r="BE82" s="11" t="n">
        <v>0.616822429906542</v>
      </c>
      <c r="BF82" s="11" t="n">
        <v>0.570093457943925</v>
      </c>
      <c r="BG82" s="11" t="n">
        <v>0.626168224299065</v>
      </c>
      <c r="BH82" s="11" t="n">
        <v>0.579439252336449</v>
      </c>
      <c r="BI82" s="11" t="n">
        <v>0.635514018691589</v>
      </c>
      <c r="BJ82" s="11" t="n">
        <v>0.148725898475161</v>
      </c>
      <c r="BK82" s="11" t="n">
        <v>0.011745971840272</v>
      </c>
      <c r="BL82" s="11" t="n">
        <v>0.135089987974692</v>
      </c>
      <c r="BM82" s="11" t="n">
        <v>0.00859706440695009</v>
      </c>
      <c r="BN82" s="11" t="n">
        <v>0.576298735362904</v>
      </c>
      <c r="BO82" s="11" t="n">
        <v>0.1414301238246</v>
      </c>
      <c r="BP82" s="11" t="n">
        <v>0.0178102244741868</v>
      </c>
      <c r="BQ82" s="11" t="n">
        <v>0.00306055946844179</v>
      </c>
      <c r="BR82" s="11" t="n">
        <v>4.56561229437582</v>
      </c>
      <c r="BS82" s="11" t="n">
        <v>13.4961910182086</v>
      </c>
      <c r="BT82" s="11" t="n">
        <v>19.954098786505</v>
      </c>
      <c r="BU82" s="11" t="n">
        <v>14.8725898475161</v>
      </c>
      <c r="BV82" s="11" t="n">
        <v>7.74008616542192</v>
      </c>
      <c r="BW82" s="11" t="n">
        <v>12.4488455321539</v>
      </c>
      <c r="BX82" s="11" t="n">
        <v>5.18991990574234</v>
      </c>
      <c r="BY82" s="11" t="n">
        <v>5.90747898677031</v>
      </c>
      <c r="BZ82" s="11" t="n">
        <v>0.579439252336449</v>
      </c>
      <c r="CA82" s="11" t="n">
        <v>0.806451612903226</v>
      </c>
      <c r="CB82" s="11" t="n">
        <v>0.451612903225806</v>
      </c>
      <c r="CC82" s="11" t="n">
        <v>0.580645161290323</v>
      </c>
      <c r="CD82" s="11" t="n">
        <v>0.693548387096774</v>
      </c>
      <c r="CE82" s="11" t="n">
        <v>0.579439252336449</v>
      </c>
      <c r="CF82" s="11" t="n">
        <v>5</v>
      </c>
      <c r="CG82" s="11" t="n">
        <v>0</v>
      </c>
      <c r="CH82" s="11" t="n">
        <v>0.806451612903226</v>
      </c>
      <c r="CI82" s="11" t="n">
        <v>0.580645161290323</v>
      </c>
      <c r="CJ82" s="11" t="n">
        <v>0.693548387096774</v>
      </c>
      <c r="CK82" s="11" t="n">
        <v>0.0222222222222222</v>
      </c>
      <c r="CL82" s="11" t="n">
        <v>0.0222222222222222</v>
      </c>
      <c r="CM82" s="11" t="n">
        <v>0.0222222222222222</v>
      </c>
      <c r="CN82" s="11" t="n">
        <v>0.0222222222222222</v>
      </c>
      <c r="CO82" s="11" t="n">
        <v>0</v>
      </c>
      <c r="CP82" s="11" t="n">
        <v>0</v>
      </c>
      <c r="CQ82" s="11" t="n">
        <v>0</v>
      </c>
      <c r="CR82" s="11" t="n">
        <v>0</v>
      </c>
      <c r="CS82" s="11" t="n">
        <v>0.0344827586206896</v>
      </c>
      <c r="CT82" s="11" t="n">
        <v>0.0344827586206896</v>
      </c>
      <c r="CU82" s="11" t="n">
        <v>0.0344827586206896</v>
      </c>
      <c r="CV82" s="11" t="n">
        <v>0.0344827586206896</v>
      </c>
      <c r="CW82" s="11" t="n">
        <v>0.17741935483871</v>
      </c>
      <c r="CX82" s="11" t="n">
        <v>0.0967741935483871</v>
      </c>
      <c r="CY82" s="11" t="n">
        <v>0.00175582480718565</v>
      </c>
      <c r="CZ82" s="11" t="n">
        <v>-0.114847024371351</v>
      </c>
      <c r="DA82" s="11" t="n">
        <v>9.59875182666234</v>
      </c>
      <c r="DB82" s="11" t="n">
        <v>-0.0215008107429287</v>
      </c>
      <c r="DC82" s="11" t="n">
        <v>18.7887623336833</v>
      </c>
      <c r="DD82" s="11" t="n">
        <v>0.317326666660493</v>
      </c>
      <c r="DE82" s="11" t="n">
        <v>0.457943925233645</v>
      </c>
      <c r="DF82" s="11" t="n">
        <v>-0.0104799864805598</v>
      </c>
      <c r="DG82" s="11" t="n">
        <v>-0.0223378599989597</v>
      </c>
      <c r="DH82" s="11" t="n">
        <v>1.18578735183999</v>
      </c>
      <c r="DI82" s="11" t="n">
        <v>185.567196383824</v>
      </c>
      <c r="DJ82" s="11" t="n">
        <v>116.736501225185</v>
      </c>
      <c r="DK82" s="11" t="n">
        <v>16.2752759024971</v>
      </c>
      <c r="DL82" s="11" t="n">
        <v>49.05</v>
      </c>
      <c r="DM82" s="11" t="n">
        <v>0.570093457943925</v>
      </c>
      <c r="DN82" s="11" t="n">
        <v>0.0654205607476635</v>
      </c>
      <c r="DO82" s="11" t="n">
        <v>-0.00818771195668625</v>
      </c>
      <c r="DP82" s="11" t="n">
        <v>0.0373831775700935</v>
      </c>
      <c r="DQ82" s="11" t="n">
        <v>0.0467289719626168</v>
      </c>
      <c r="DR82" s="11" t="n">
        <v>0.0467289719626168</v>
      </c>
      <c r="DS82" s="11" t="n">
        <v>0.0467289719626168</v>
      </c>
      <c r="DT82" s="11" t="n">
        <v>0.0467289719626168</v>
      </c>
      <c r="DU82" s="11" t="n">
        <v>0.0373831775700935</v>
      </c>
      <c r="DV82" s="11" t="n">
        <v>5</v>
      </c>
      <c r="DW82" s="11" t="s">
        <v>690</v>
      </c>
      <c r="DX82" s="11" t="n">
        <v>0.195506</v>
      </c>
      <c r="DY82" s="11" t="n">
        <v>0.118262918855107</v>
      </c>
      <c r="DZ82" s="11" t="n">
        <v>0.272749081144893</v>
      </c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 t="n">
        <v>11.8982603634578</v>
      </c>
      <c r="EP82" s="11" t="n">
        <v>103.461173077888</v>
      </c>
      <c r="EQ82" s="11" t="n">
        <v>2282.6386664641</v>
      </c>
      <c r="ER82" s="11" t="n">
        <v>5.39163220269848</v>
      </c>
      <c r="ES82" s="11" t="n">
        <v>5.39163220269848</v>
      </c>
      <c r="ET82" s="11" t="n">
        <v>2.68272378870218</v>
      </c>
      <c r="EU82" s="11" t="n">
        <v>56.57480743555</v>
      </c>
      <c r="EV82" s="11" t="n">
        <v>56.57480743555</v>
      </c>
      <c r="EW82" s="11" t="n">
        <v>781.521756582603</v>
      </c>
      <c r="EX82" s="11" t="n">
        <v>1005.18976200293</v>
      </c>
      <c r="EY82" s="11" t="n">
        <v>1.79508956100389</v>
      </c>
      <c r="EZ82" s="11" t="n">
        <v>0.700584310944548</v>
      </c>
      <c r="FA82" s="11" t="n">
        <v>0.0491034955785599</v>
      </c>
      <c r="FB82" s="11" t="n">
        <v>1</v>
      </c>
      <c r="FC82" s="11" t="n">
        <v>0</v>
      </c>
      <c r="FD82" s="11" t="n">
        <v>0</v>
      </c>
      <c r="FE82" s="11" t="s">
        <v>574</v>
      </c>
      <c r="FF82" s="11" t="s">
        <v>298</v>
      </c>
      <c r="FG82" s="11" t="n">
        <v>107</v>
      </c>
      <c r="FH82" s="11" t="s">
        <v>575</v>
      </c>
      <c r="FI82" s="11" t="s">
        <v>59</v>
      </c>
      <c r="FJ82" s="11" t="n">
        <v>0.2</v>
      </c>
      <c r="FK82" s="11" t="n">
        <v>0.175769979461549</v>
      </c>
      <c r="FL82" s="11" t="n">
        <v>0.126699825152883</v>
      </c>
      <c r="FM82" s="11" t="n">
        <v>0</v>
      </c>
      <c r="FN82" s="11" t="n">
        <v>1</v>
      </c>
      <c r="FO82" s="11" t="n">
        <v>0.816530378953777</v>
      </c>
      <c r="FP82" s="11" t="n">
        <v>0.606004108948441</v>
      </c>
      <c r="FQ82" s="11" t="n">
        <v>0.191588785046729</v>
      </c>
      <c r="FR82" s="11" t="n">
        <v>0</v>
      </c>
      <c r="FS82" s="11" t="n">
        <v>0.81534794011046</v>
      </c>
      <c r="FT82" s="11" t="n">
        <v>0.604739817033305</v>
      </c>
      <c r="FU82" s="11" t="n">
        <v>1</v>
      </c>
      <c r="FV82" s="11" t="n">
        <v>13.8122004023315</v>
      </c>
      <c r="FW82" s="11" t="n">
        <v>400.248323221282</v>
      </c>
      <c r="FX82" s="11" t="n">
        <v>0.0419056333939297</v>
      </c>
      <c r="FY82" s="11" t="n">
        <v>1</v>
      </c>
      <c r="FZ82" s="11" t="n">
        <v>29</v>
      </c>
      <c r="GA82" s="11" t="n">
        <v>1</v>
      </c>
      <c r="GB82" s="11" t="s">
        <v>576</v>
      </c>
      <c r="GC82" s="11" t="n">
        <v>0.927007086923189</v>
      </c>
      <c r="GD82" s="11" t="n">
        <v>0.943605797313084</v>
      </c>
      <c r="GE82" s="11" t="n">
        <v>0.943026159102833</v>
      </c>
      <c r="GF82" s="11" t="n">
        <v>0.94392523364486</v>
      </c>
      <c r="GG82" s="11" t="n">
        <v>0.000292056074766355</v>
      </c>
      <c r="GH82" s="11" t="n">
        <v>0</v>
      </c>
      <c r="GI82" s="11" t="n">
        <v>0.0400157560772267</v>
      </c>
      <c r="GJ82" s="11" t="n">
        <v>0.0534524976093078</v>
      </c>
      <c r="GK82" s="11" t="n">
        <v>0.0501492375314968</v>
      </c>
      <c r="GL82" s="11" t="n">
        <v>0.0576928993251836</v>
      </c>
      <c r="GM82" s="11" t="n">
        <v>0.0021204726350306</v>
      </c>
      <c r="GN82" s="11" t="n">
        <v>1.76830832638656E-005</v>
      </c>
      <c r="GO82" s="11" t="n">
        <v>0.941880841121495</v>
      </c>
      <c r="GP82" s="11" t="n">
        <v>0.94392523364486</v>
      </c>
      <c r="GQ82" s="11" t="n">
        <v>-0.0598686151206493</v>
      </c>
      <c r="GR82" s="11" t="n">
        <v>1</v>
      </c>
      <c r="GS82" s="11" t="n">
        <v>1</v>
      </c>
      <c r="GT82" s="11" t="n">
        <v>0</v>
      </c>
      <c r="GU82" s="11" t="n">
        <v>0</v>
      </c>
      <c r="GV82" s="11" t="n">
        <v>1</v>
      </c>
      <c r="GW82" s="11" t="n">
        <v>1</v>
      </c>
      <c r="GX82" s="11" t="n">
        <v>1</v>
      </c>
      <c r="GY82" s="11" t="n">
        <v>1</v>
      </c>
      <c r="GZ82" s="11" t="n">
        <v>1</v>
      </c>
      <c r="HA82" s="11" t="n">
        <v>1</v>
      </c>
      <c r="HB82" s="11" t="n">
        <v>1</v>
      </c>
      <c r="HC82" s="11" t="n">
        <v>1</v>
      </c>
      <c r="HD82" s="11" t="n">
        <v>1</v>
      </c>
      <c r="HE82" s="11" t="n">
        <v>1</v>
      </c>
      <c r="HF82" s="11" t="n">
        <v>1</v>
      </c>
      <c r="HG82" s="11" t="n">
        <v>1</v>
      </c>
      <c r="HH82" s="11" t="n">
        <v>1</v>
      </c>
      <c r="HI82" s="11" t="n">
        <v>1</v>
      </c>
      <c r="HJ82" s="11" t="n">
        <v>1</v>
      </c>
      <c r="HK82" s="11"/>
      <c r="HL82" s="11" t="s">
        <v>577</v>
      </c>
      <c r="HM82" s="11" t="n">
        <v>1</v>
      </c>
      <c r="HN82" s="11" t="s">
        <v>1037</v>
      </c>
      <c r="HO82" s="11" t="s">
        <v>1038</v>
      </c>
      <c r="HP82" s="11" t="s">
        <v>1038</v>
      </c>
      <c r="HQ82" s="11" t="n">
        <v>0</v>
      </c>
      <c r="HR82" s="11" t="s">
        <v>189</v>
      </c>
      <c r="HS82" s="11" t="s">
        <v>249</v>
      </c>
      <c r="HT82" s="11" t="s">
        <v>249</v>
      </c>
      <c r="HU82" s="11" t="s">
        <v>1141</v>
      </c>
      <c r="HV82" s="11" t="s">
        <v>1141</v>
      </c>
      <c r="HW82" s="11" t="s">
        <v>892</v>
      </c>
      <c r="HX82" s="11" t="s">
        <v>885</v>
      </c>
      <c r="HY82" s="11" t="s">
        <v>583</v>
      </c>
      <c r="HZ82" s="11" t="s">
        <v>1142</v>
      </c>
      <c r="IA82" s="11" t="s">
        <v>1140</v>
      </c>
      <c r="IB82" s="11" t="s">
        <v>1143</v>
      </c>
      <c r="IC82" s="11" t="s">
        <v>298</v>
      </c>
      <c r="ID82" s="11" t="s">
        <v>888</v>
      </c>
      <c r="IE82" s="11" t="s">
        <v>198</v>
      </c>
      <c r="IF82" s="11" t="s">
        <v>191</v>
      </c>
      <c r="IG82" s="11" t="s">
        <v>237</v>
      </c>
      <c r="IH82" s="11" t="s">
        <v>1048</v>
      </c>
    </row>
    <row r="83" customFormat="false" ht="15" hidden="false" customHeight="false" outlineLevel="0" collapsed="false">
      <c r="A83" s="11" t="s">
        <v>104</v>
      </c>
      <c r="B83" s="11" t="s">
        <v>1144</v>
      </c>
      <c r="C83" s="11" t="s">
        <v>1035</v>
      </c>
      <c r="D83" s="11" t="s">
        <v>570</v>
      </c>
      <c r="E83" s="11" t="s">
        <v>51</v>
      </c>
      <c r="F83" s="11"/>
      <c r="G83" s="11"/>
      <c r="H83" s="11" t="s">
        <v>1145</v>
      </c>
      <c r="I83" s="11" t="s">
        <v>303</v>
      </c>
      <c r="J83" s="11" t="n">
        <v>117</v>
      </c>
      <c r="K83" s="11" t="n">
        <v>3.9</v>
      </c>
      <c r="L83" s="11" t="n">
        <v>0.753632009029388</v>
      </c>
      <c r="M83" s="11" t="n">
        <v>0.783224701881409</v>
      </c>
      <c r="N83" s="11" t="n">
        <v>0</v>
      </c>
      <c r="O83" s="11" t="n">
        <v>1.1350632593004</v>
      </c>
      <c r="P83" s="11" t="n">
        <v>1.27066628799258</v>
      </c>
      <c r="Q83" s="11" t="n">
        <v>0.182417839991007</v>
      </c>
      <c r="R83" s="11" t="n">
        <v>0.282051282051282</v>
      </c>
      <c r="S83" s="11" t="n">
        <v>0.358974358974359</v>
      </c>
      <c r="T83" s="11" t="n">
        <v>0.0769230769230769</v>
      </c>
      <c r="U83" s="11" t="n">
        <v>0</v>
      </c>
      <c r="V83" s="11" t="n">
        <v>0</v>
      </c>
      <c r="W83" s="11" t="n">
        <v>0.52991452991453</v>
      </c>
      <c r="X83" s="11" t="n">
        <v>0.418803418803419</v>
      </c>
      <c r="Y83" s="11" t="n">
        <v>0.504273504273504</v>
      </c>
      <c r="Z83" s="11" t="n">
        <v>0.52991452991453</v>
      </c>
      <c r="AA83" s="11" t="n">
        <v>0.0256410256410256</v>
      </c>
      <c r="AB83" s="11" t="n">
        <v>0</v>
      </c>
      <c r="AC83" s="11" t="n">
        <v>-0.00130341456813027</v>
      </c>
      <c r="AD83" s="11" t="n">
        <v>-0.00387759417659154</v>
      </c>
      <c r="AE83" s="11" t="n">
        <v>0.203125</v>
      </c>
      <c r="AF83" s="11" t="n">
        <v>0.046875</v>
      </c>
      <c r="AG83" s="11" t="n">
        <v>0</v>
      </c>
      <c r="AH83" s="11" t="n">
        <v>0.111111111111111</v>
      </c>
      <c r="AI83" s="11" t="n">
        <v>0.0256410256410256</v>
      </c>
      <c r="AJ83" s="11" t="n">
        <v>0</v>
      </c>
      <c r="AK83" s="11" t="n">
        <v>0.415074920551984</v>
      </c>
      <c r="AL83" s="11" t="n">
        <v>0</v>
      </c>
      <c r="AM83" s="11" t="n">
        <v>0</v>
      </c>
      <c r="AN83" s="11" t="n">
        <v>0</v>
      </c>
      <c r="AO83" s="11"/>
      <c r="AP83" s="11"/>
      <c r="AQ83" s="11"/>
      <c r="AR83" s="11" t="n">
        <v>0</v>
      </c>
      <c r="AS83" s="11" t="n">
        <v>0.461538461538462</v>
      </c>
      <c r="AT83" s="11" t="n">
        <v>0.094017094017094</v>
      </c>
      <c r="AU83" s="11" t="n">
        <v>0.094017094017094</v>
      </c>
      <c r="AV83" s="11" t="n">
        <v>0</v>
      </c>
      <c r="AW83" s="11" t="n">
        <v>0</v>
      </c>
      <c r="AX83" s="11" t="n">
        <v>0</v>
      </c>
      <c r="AY83" s="11" t="n">
        <v>0.00665078547355693</v>
      </c>
      <c r="AZ83" s="11" t="n">
        <v>0.0208961923133617</v>
      </c>
      <c r="BA83" s="11"/>
      <c r="BB83" s="11" t="n">
        <v>0.170940170940171</v>
      </c>
      <c r="BC83" s="11" t="n">
        <v>0.863247863247863</v>
      </c>
      <c r="BD83" s="11" t="n">
        <v>0.461538461538462</v>
      </c>
      <c r="BE83" s="11" t="n">
        <v>0.888888888888889</v>
      </c>
      <c r="BF83" s="11" t="n">
        <v>0.683760683760684</v>
      </c>
      <c r="BG83" s="11" t="n">
        <v>1</v>
      </c>
      <c r="BH83" s="11" t="n">
        <v>0.82051282051282</v>
      </c>
      <c r="BI83" s="11" t="n">
        <v>1</v>
      </c>
      <c r="BJ83" s="11" t="n">
        <v>0.133057275039933</v>
      </c>
      <c r="BK83" s="11" t="n">
        <v>0.034657319663668</v>
      </c>
      <c r="BL83" s="11" t="n">
        <v>0.0809559375809958</v>
      </c>
      <c r="BM83" s="11" t="n">
        <v>0.0265020877803524</v>
      </c>
      <c r="BN83" s="11" t="n">
        <v>0.425968339511584</v>
      </c>
      <c r="BO83" s="11" t="n">
        <v>0.326106497469542</v>
      </c>
      <c r="BP83" s="11" t="n">
        <v>0.0119490092309223</v>
      </c>
      <c r="BQ83" s="11" t="n">
        <v>0.010698506800928</v>
      </c>
      <c r="BR83" s="11" t="n">
        <v>3.46161535503877</v>
      </c>
      <c r="BS83" s="11" t="n">
        <v>13.7570438655217</v>
      </c>
      <c r="BT83" s="11" t="n">
        <v>14.0946627611808</v>
      </c>
      <c r="BU83" s="11" t="n">
        <v>13.3057275039933</v>
      </c>
      <c r="BV83" s="11" t="n">
        <v>4.63843354991481</v>
      </c>
      <c r="BW83" s="11" t="n">
        <v>8.57530613221527</v>
      </c>
      <c r="BX83" s="11" t="n">
        <v>2.27398589688962</v>
      </c>
      <c r="BY83" s="11" t="n">
        <v>6.37921176956997</v>
      </c>
      <c r="BZ83" s="11" t="n">
        <v>0.683760683760684</v>
      </c>
      <c r="CA83" s="11" t="n">
        <v>0.7375</v>
      </c>
      <c r="CB83" s="11" t="n">
        <v>0.575</v>
      </c>
      <c r="CC83" s="11" t="n">
        <v>0.7</v>
      </c>
      <c r="CD83" s="11" t="n">
        <v>0.7375</v>
      </c>
      <c r="CE83" s="11" t="n">
        <v>0.683760683760684</v>
      </c>
      <c r="CF83" s="11" t="n">
        <v>5</v>
      </c>
      <c r="CG83" s="11" t="n">
        <v>0</v>
      </c>
      <c r="CH83" s="11" t="n">
        <v>0.7375</v>
      </c>
      <c r="CI83" s="11" t="n">
        <v>0.7</v>
      </c>
      <c r="CJ83" s="11" t="n">
        <v>0.7375</v>
      </c>
      <c r="CK83" s="11" t="n">
        <v>0.0810810810810811</v>
      </c>
      <c r="CL83" s="11" t="n">
        <v>0.0810810810810811</v>
      </c>
      <c r="CM83" s="11" t="n">
        <v>0.0810810810810811</v>
      </c>
      <c r="CN83" s="11" t="n">
        <v>0.0810810810810811</v>
      </c>
      <c r="CO83" s="11" t="n">
        <v>0.0625</v>
      </c>
      <c r="CP83" s="11" t="n">
        <v>0.0625</v>
      </c>
      <c r="CQ83" s="11" t="n">
        <v>0.0625</v>
      </c>
      <c r="CR83" s="11" t="n">
        <v>0.0625</v>
      </c>
      <c r="CS83" s="11" t="n">
        <v>0.0952380952380952</v>
      </c>
      <c r="CT83" s="11" t="n">
        <v>0.0952380952380952</v>
      </c>
      <c r="CU83" s="11" t="n">
        <v>0.0952380952380952</v>
      </c>
      <c r="CV83" s="11" t="n">
        <v>0.0952380952380952</v>
      </c>
      <c r="CW83" s="11" t="n">
        <v>0.1</v>
      </c>
      <c r="CX83" s="11" t="n">
        <v>0</v>
      </c>
      <c r="CY83" s="11" t="n">
        <v>0.00919514135743336</v>
      </c>
      <c r="CZ83" s="11" t="n">
        <v>-0.0278977983058067</v>
      </c>
      <c r="DA83" s="11" t="n">
        <v>7.90819232201232</v>
      </c>
      <c r="DB83" s="11" t="n">
        <v>-0.00429325513099606</v>
      </c>
      <c r="DC83" s="11" t="n">
        <v>18.3110719086811</v>
      </c>
      <c r="DD83" s="11" t="n">
        <v>0.152692640994627</v>
      </c>
      <c r="DE83" s="11" t="n">
        <v>0.341880341880342</v>
      </c>
      <c r="DF83" s="11" t="n">
        <v>-0.00514843814072894</v>
      </c>
      <c r="DG83" s="11" t="n">
        <v>0.000444818853074963</v>
      </c>
      <c r="DH83" s="11" t="n">
        <v>-0.559325699380391</v>
      </c>
      <c r="DI83" s="11" t="n">
        <v>118.240475563585</v>
      </c>
      <c r="DJ83" s="11" t="n">
        <v>39.8503282916113</v>
      </c>
      <c r="DK83" s="11" t="n">
        <v>16.8618806469069</v>
      </c>
      <c r="DL83" s="11" t="n">
        <v>49.05</v>
      </c>
      <c r="DM83" s="11" t="n">
        <v>0.829059829059829</v>
      </c>
      <c r="DN83" s="11" t="n">
        <v>0.786324786324786</v>
      </c>
      <c r="DO83" s="11" t="n">
        <v>-0.00823697346285324</v>
      </c>
      <c r="DP83" s="11" t="n">
        <v>0</v>
      </c>
      <c r="DQ83" s="11" t="n">
        <v>0</v>
      </c>
      <c r="DR83" s="11" t="n">
        <v>0</v>
      </c>
      <c r="DS83" s="11" t="n">
        <v>0</v>
      </c>
      <c r="DT83" s="11" t="n">
        <v>0</v>
      </c>
      <c r="DU83" s="11" t="n">
        <v>0</v>
      </c>
      <c r="DV83" s="11" t="n">
        <v>5</v>
      </c>
      <c r="DW83" s="11" t="s">
        <v>573</v>
      </c>
      <c r="DX83" s="11" t="n">
        <v>0.406307</v>
      </c>
      <c r="DY83" s="11" t="n">
        <v>-0.0227795719432999</v>
      </c>
      <c r="DZ83" s="11" t="n">
        <v>0.8353935719433</v>
      </c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 t="n">
        <v>6.75964705035467</v>
      </c>
      <c r="EP83" s="11" t="n">
        <v>71.4211729001933</v>
      </c>
      <c r="EQ83" s="11" t="n">
        <v>1471.69554191035</v>
      </c>
      <c r="ER83" s="11" t="n">
        <v>3.5279472456189</v>
      </c>
      <c r="ES83" s="11" t="n">
        <v>3.5279472456189</v>
      </c>
      <c r="ET83" s="11" t="n">
        <v>1.44218933938037</v>
      </c>
      <c r="EU83" s="11" t="n">
        <v>33.0747845028069</v>
      </c>
      <c r="EV83" s="11" t="n">
        <v>33.0747845028069</v>
      </c>
      <c r="EW83" s="11" t="n">
        <v>403.958184990674</v>
      </c>
      <c r="EX83" s="11" t="n">
        <v>492.941942377654</v>
      </c>
      <c r="EY83" s="11" t="n">
        <v>1.24624904334864</v>
      </c>
      <c r="EZ83" s="11" t="n">
        <v>1.06922810934952</v>
      </c>
      <c r="FA83" s="11" t="n">
        <v>0.0495689015639861</v>
      </c>
      <c r="FB83" s="11" t="n">
        <v>1</v>
      </c>
      <c r="FC83" s="11" t="n">
        <v>0</v>
      </c>
      <c r="FD83" s="11" t="n">
        <v>0</v>
      </c>
      <c r="FE83" s="11" t="s">
        <v>574</v>
      </c>
      <c r="FF83" s="11" t="s">
        <v>304</v>
      </c>
      <c r="FG83" s="11" t="n">
        <v>117</v>
      </c>
      <c r="FH83" s="11" t="s">
        <v>575</v>
      </c>
      <c r="FI83" s="11" t="s">
        <v>59</v>
      </c>
      <c r="FJ83" s="11" t="n">
        <v>0.2</v>
      </c>
      <c r="FK83" s="11" t="n">
        <v>0.0933687817343224</v>
      </c>
      <c r="FL83" s="11" t="n">
        <v>0.0612851071987649</v>
      </c>
      <c r="FM83" s="11" t="n">
        <v>0</v>
      </c>
      <c r="FN83" s="11" t="n">
        <v>1</v>
      </c>
      <c r="FO83" s="11" t="n">
        <v>0.668065551747589</v>
      </c>
      <c r="FP83" s="11" t="n">
        <v>0.45182914223692</v>
      </c>
      <c r="FQ83" s="11" t="n">
        <v>0.196581196581197</v>
      </c>
      <c r="FR83" s="11" t="n">
        <v>0</v>
      </c>
      <c r="FS83" s="11" t="n">
        <v>0.665110211898563</v>
      </c>
      <c r="FT83" s="11" t="n">
        <v>0.449116968557178</v>
      </c>
      <c r="FU83" s="11" t="n">
        <v>1</v>
      </c>
      <c r="FV83" s="11" t="n">
        <v>7.52137069884376</v>
      </c>
      <c r="FW83" s="11" t="n">
        <v>224.589598949707</v>
      </c>
      <c r="FX83" s="11" t="n">
        <v>0.0131488583290938</v>
      </c>
      <c r="FY83" s="11" t="n">
        <v>1</v>
      </c>
      <c r="FZ83" s="11" t="n">
        <v>21</v>
      </c>
      <c r="GA83" s="11" t="n">
        <v>1</v>
      </c>
      <c r="GB83" s="11" t="s">
        <v>576</v>
      </c>
      <c r="GC83" s="11" t="n">
        <v>0.802066900791266</v>
      </c>
      <c r="GD83" s="11" t="n">
        <v>0.834885817307692</v>
      </c>
      <c r="GE83" s="11" t="n">
        <v>0.837606837606838</v>
      </c>
      <c r="GF83" s="11" t="n">
        <v>0.837606837606838</v>
      </c>
      <c r="GG83" s="11" t="n">
        <v>0.111111111111111</v>
      </c>
      <c r="GH83" s="11" t="n">
        <v>0.111111111111111</v>
      </c>
      <c r="GI83" s="11" t="n">
        <v>0.0126038141377369</v>
      </c>
      <c r="GJ83" s="11" t="n">
        <v>0.0206326313802383</v>
      </c>
      <c r="GK83" s="11" t="n">
        <v>0.0189192522354578</v>
      </c>
      <c r="GL83" s="11" t="n">
        <v>0.0223537156177768</v>
      </c>
      <c r="GM83" s="11" t="n">
        <v>0.0502472650386708</v>
      </c>
      <c r="GN83" s="11" t="n">
        <v>0.043305401450462</v>
      </c>
      <c r="GO83" s="11" t="n">
        <v>0.837606837606838</v>
      </c>
      <c r="GP83" s="11" t="n">
        <v>0.837606837606838</v>
      </c>
      <c r="GQ83" s="11" t="n">
        <v>-0.0291661061346531</v>
      </c>
      <c r="GR83" s="11" t="n">
        <v>0</v>
      </c>
      <c r="GS83" s="11" t="n">
        <v>1</v>
      </c>
      <c r="GT83" s="11" t="n">
        <v>0</v>
      </c>
      <c r="GU83" s="11" t="n">
        <v>0</v>
      </c>
      <c r="GV83" s="11" t="n">
        <v>1</v>
      </c>
      <c r="GW83" s="11" t="n">
        <v>1</v>
      </c>
      <c r="GX83" s="11" t="n">
        <v>1</v>
      </c>
      <c r="GY83" s="11" t="n">
        <v>1</v>
      </c>
      <c r="GZ83" s="11" t="n">
        <v>1</v>
      </c>
      <c r="HA83" s="11" t="n">
        <v>1</v>
      </c>
      <c r="HB83" s="11" t="n">
        <v>1</v>
      </c>
      <c r="HC83" s="11" t="n">
        <v>1</v>
      </c>
      <c r="HD83" s="11" t="n">
        <v>1</v>
      </c>
      <c r="HE83" s="11" t="n">
        <v>1</v>
      </c>
      <c r="HF83" s="11" t="n">
        <v>1</v>
      </c>
      <c r="HG83" s="11" t="n">
        <v>1</v>
      </c>
      <c r="HH83" s="11" t="n">
        <v>1</v>
      </c>
      <c r="HI83" s="11" t="n">
        <v>1</v>
      </c>
      <c r="HJ83" s="11" t="n">
        <v>1</v>
      </c>
      <c r="HK83" s="11"/>
      <c r="HL83" s="11" t="s">
        <v>577</v>
      </c>
      <c r="HM83" s="11" t="n">
        <v>1</v>
      </c>
      <c r="HN83" s="11" t="s">
        <v>1037</v>
      </c>
      <c r="HO83" s="11" t="s">
        <v>1038</v>
      </c>
      <c r="HP83" s="11" t="s">
        <v>1038</v>
      </c>
      <c r="HQ83" s="11" t="n">
        <v>0</v>
      </c>
      <c r="HR83" s="11" t="s">
        <v>204</v>
      </c>
      <c r="HS83" s="11" t="s">
        <v>300</v>
      </c>
      <c r="HT83" s="11" t="s">
        <v>300</v>
      </c>
      <c r="HU83" s="11" t="s">
        <v>1146</v>
      </c>
      <c r="HV83" s="11" t="s">
        <v>1146</v>
      </c>
      <c r="HW83" s="11" t="s">
        <v>907</v>
      </c>
      <c r="HX83" s="11" t="s">
        <v>900</v>
      </c>
      <c r="HY83" s="11" t="s">
        <v>583</v>
      </c>
      <c r="HZ83" s="11" t="s">
        <v>1147</v>
      </c>
      <c r="IA83" s="11" t="s">
        <v>1145</v>
      </c>
      <c r="IB83" s="11" t="s">
        <v>1148</v>
      </c>
      <c r="IC83" s="11" t="s">
        <v>304</v>
      </c>
      <c r="ID83" s="11" t="s">
        <v>903</v>
      </c>
      <c r="IE83" s="11" t="s">
        <v>198</v>
      </c>
      <c r="IF83" s="11" t="s">
        <v>191</v>
      </c>
      <c r="IG83" s="11" t="s">
        <v>197</v>
      </c>
      <c r="IH83" s="11" t="s">
        <v>1042</v>
      </c>
    </row>
    <row r="84" customFormat="false" ht="15" hidden="false" customHeight="false" outlineLevel="0" collapsed="false">
      <c r="A84" s="11" t="s">
        <v>105</v>
      </c>
      <c r="B84" s="11" t="s">
        <v>1149</v>
      </c>
      <c r="C84" s="11" t="s">
        <v>1035</v>
      </c>
      <c r="D84" s="11" t="s">
        <v>570</v>
      </c>
      <c r="E84" s="11" t="s">
        <v>51</v>
      </c>
      <c r="F84" s="11"/>
      <c r="G84" s="11"/>
      <c r="H84" s="11" t="s">
        <v>1150</v>
      </c>
      <c r="I84" s="11" t="s">
        <v>308</v>
      </c>
      <c r="J84" s="11" t="n">
        <v>128</v>
      </c>
      <c r="K84" s="11" t="n">
        <v>4.26666666666667</v>
      </c>
      <c r="L84" s="11" t="n">
        <v>0.754794418811798</v>
      </c>
      <c r="M84" s="11" t="n">
        <v>0.80975216627121</v>
      </c>
      <c r="N84" s="11" t="n">
        <v>0</v>
      </c>
      <c r="O84" s="11" t="n">
        <v>1.76553515634317</v>
      </c>
      <c r="P84" s="11" t="n">
        <v>1.82784372755847</v>
      </c>
      <c r="Q84" s="11" t="n">
        <v>0.364932926395324</v>
      </c>
      <c r="R84" s="11" t="n">
        <v>0.4921875</v>
      </c>
      <c r="S84" s="11" t="n">
        <v>0.3359375</v>
      </c>
      <c r="T84" s="11" t="n">
        <v>0.015625</v>
      </c>
      <c r="U84" s="11" t="n">
        <v>0</v>
      </c>
      <c r="V84" s="11" t="n">
        <v>0</v>
      </c>
      <c r="W84" s="11" t="n">
        <v>0.5859375</v>
      </c>
      <c r="X84" s="11" t="n">
        <v>0.2578125</v>
      </c>
      <c r="Y84" s="11" t="n">
        <v>0.3359375</v>
      </c>
      <c r="Z84" s="11" t="n">
        <v>0.390625</v>
      </c>
      <c r="AA84" s="11" t="n">
        <v>0.25</v>
      </c>
      <c r="AB84" s="11" t="n">
        <v>0.1953125</v>
      </c>
      <c r="AC84" s="11" t="n">
        <v>-0.00406329770421868</v>
      </c>
      <c r="AD84" s="11" t="n">
        <v>-0.00995176402261794</v>
      </c>
      <c r="AE84" s="11" t="n">
        <v>0.653846153846154</v>
      </c>
      <c r="AF84" s="11" t="n">
        <v>0.538461538461538</v>
      </c>
      <c r="AG84" s="11" t="n">
        <v>0.413461538461538</v>
      </c>
      <c r="AH84" s="11" t="n">
        <v>0.328125</v>
      </c>
      <c r="AI84" s="11" t="n">
        <v>0.25</v>
      </c>
      <c r="AJ84" s="11" t="n">
        <v>0.1953125</v>
      </c>
      <c r="AK84" s="11" t="n">
        <v>0.440288280028055</v>
      </c>
      <c r="AL84" s="11" t="n">
        <v>0</v>
      </c>
      <c r="AM84" s="11" t="n">
        <v>0</v>
      </c>
      <c r="AN84" s="11" t="n">
        <v>0</v>
      </c>
      <c r="AO84" s="11"/>
      <c r="AP84" s="11"/>
      <c r="AQ84" s="11"/>
      <c r="AR84" s="11" t="n">
        <v>0</v>
      </c>
      <c r="AS84" s="11" t="n">
        <v>0.03125</v>
      </c>
      <c r="AT84" s="11" t="n">
        <v>0</v>
      </c>
      <c r="AU84" s="11" t="n">
        <v>0</v>
      </c>
      <c r="AV84" s="11" t="n">
        <v>0</v>
      </c>
      <c r="AW84" s="11" t="n">
        <v>0</v>
      </c>
      <c r="AX84" s="11" t="n">
        <v>0</v>
      </c>
      <c r="AY84" s="11" t="n">
        <v>0.00889528386757429</v>
      </c>
      <c r="AZ84" s="11" t="n">
        <v>0.0292516812748403</v>
      </c>
      <c r="BA84" s="11"/>
      <c r="BB84" s="11" t="n">
        <v>0.0703125</v>
      </c>
      <c r="BC84" s="11" t="n">
        <v>0.7265625</v>
      </c>
      <c r="BD84" s="11" t="n">
        <v>0.3125</v>
      </c>
      <c r="BE84" s="11" t="n">
        <v>0.7265625</v>
      </c>
      <c r="BF84" s="11" t="n">
        <v>0.5625</v>
      </c>
      <c r="BG84" s="11" t="n">
        <v>0.75</v>
      </c>
      <c r="BH84" s="11" t="n">
        <v>0.609375</v>
      </c>
      <c r="BI84" s="11" t="n">
        <v>0.7890625</v>
      </c>
      <c r="BJ84" s="11" t="n">
        <v>0.148683717873608</v>
      </c>
      <c r="BK84" s="11" t="n">
        <v>0.0332458579456531</v>
      </c>
      <c r="BL84" s="11" t="n">
        <v>0.166515823690843</v>
      </c>
      <c r="BM84" s="11" t="n">
        <v>0.0208591898193232</v>
      </c>
      <c r="BN84" s="11" t="n">
        <v>0.427800475937001</v>
      </c>
      <c r="BO84" s="11" t="n">
        <v>0.162164235552856</v>
      </c>
      <c r="BP84" s="11" t="n">
        <v>0.0136749706394562</v>
      </c>
      <c r="BQ84" s="11" t="n">
        <v>0.00414753726320784</v>
      </c>
      <c r="BR84" s="11" t="n">
        <v>3.33202131494898</v>
      </c>
      <c r="BS84" s="11" t="n">
        <v>15.5278683519977</v>
      </c>
      <c r="BT84" s="11" t="n">
        <v>18.3148755938317</v>
      </c>
      <c r="BU84" s="11" t="n">
        <v>14.8683717873608</v>
      </c>
      <c r="BV84" s="11" t="n">
        <v>9.54065391807805</v>
      </c>
      <c r="BW84" s="11" t="n">
        <v>12.4612332287901</v>
      </c>
      <c r="BX84" s="11" t="n">
        <v>4.49318756496742</v>
      </c>
      <c r="BY84" s="11" t="n">
        <v>5.32372737297024</v>
      </c>
      <c r="BZ84" s="11" t="n">
        <v>0.5703125</v>
      </c>
      <c r="CA84" s="11" t="n">
        <v>0.835616438356164</v>
      </c>
      <c r="CB84" s="11" t="n">
        <v>0.315068493150685</v>
      </c>
      <c r="CC84" s="11" t="n">
        <v>0.424657534246575</v>
      </c>
      <c r="CD84" s="11" t="n">
        <v>0.493150684931507</v>
      </c>
      <c r="CE84" s="11" t="n">
        <v>0.5703125</v>
      </c>
      <c r="CF84" s="11" t="n">
        <v>5</v>
      </c>
      <c r="CG84" s="11" t="n">
        <v>0</v>
      </c>
      <c r="CH84" s="11" t="n">
        <v>0.835616438356164</v>
      </c>
      <c r="CI84" s="11" t="n">
        <v>0.424657534246575</v>
      </c>
      <c r="CJ84" s="11" t="n">
        <v>0.493150684931507</v>
      </c>
      <c r="CK84" s="11" t="n">
        <v>0.254545454545454</v>
      </c>
      <c r="CL84" s="11" t="n">
        <v>0.181818181818182</v>
      </c>
      <c r="CM84" s="11" t="n">
        <v>0.218181818181818</v>
      </c>
      <c r="CN84" s="11" t="n">
        <v>0.254545454545454</v>
      </c>
      <c r="CO84" s="11" t="n">
        <v>0</v>
      </c>
      <c r="CP84" s="11" t="n">
        <v>0</v>
      </c>
      <c r="CQ84" s="11" t="n">
        <v>0</v>
      </c>
      <c r="CR84" s="11" t="n">
        <v>0</v>
      </c>
      <c r="CS84" s="11" t="n">
        <v>0.358974358974359</v>
      </c>
      <c r="CT84" s="11" t="n">
        <v>0.256410256410256</v>
      </c>
      <c r="CU84" s="11" t="n">
        <v>0.307692307692308</v>
      </c>
      <c r="CV84" s="11" t="n">
        <v>0.358974358974359</v>
      </c>
      <c r="CW84" s="11" t="n">
        <v>0.0273972602739726</v>
      </c>
      <c r="CX84" s="11" t="n">
        <v>0</v>
      </c>
      <c r="CY84" s="11" t="n">
        <v>0.0191000416819183</v>
      </c>
      <c r="CZ84" s="11" t="n">
        <v>-0.0495563092579403</v>
      </c>
      <c r="DA84" s="11" t="n">
        <v>10.6443188777644</v>
      </c>
      <c r="DB84" s="11" t="n">
        <v>0.00395395160408498</v>
      </c>
      <c r="DC84" s="11" t="n">
        <v>21.1603919722306</v>
      </c>
      <c r="DD84" s="11" t="n">
        <v>0.234625885782357</v>
      </c>
      <c r="DE84" s="11" t="n">
        <v>0.421875</v>
      </c>
      <c r="DF84" s="11" t="n">
        <v>-0.00699812214918085</v>
      </c>
      <c r="DG84" s="11" t="n">
        <v>0.0214315222117338</v>
      </c>
      <c r="DH84" s="11" t="n">
        <v>-2.84296443609146</v>
      </c>
      <c r="DI84" s="11" t="n">
        <v>176.699648086362</v>
      </c>
      <c r="DJ84" s="11" t="n">
        <v>73.9972639020966</v>
      </c>
      <c r="DK84" s="11" t="n">
        <v>8.71916932738136</v>
      </c>
      <c r="DL84" s="11" t="n">
        <v>49.05</v>
      </c>
      <c r="DM84" s="11" t="n">
        <v>0.3125</v>
      </c>
      <c r="DN84" s="11" t="n">
        <v>0.140625</v>
      </c>
      <c r="DO84" s="11" t="n">
        <v>-0.00937908089137146</v>
      </c>
      <c r="DP84" s="11" t="n">
        <v>0</v>
      </c>
      <c r="DQ84" s="11" t="n">
        <v>0.078125</v>
      </c>
      <c r="DR84" s="11" t="n">
        <v>0</v>
      </c>
      <c r="DS84" s="11" t="n">
        <v>0</v>
      </c>
      <c r="DT84" s="11" t="n">
        <v>0</v>
      </c>
      <c r="DU84" s="11" t="n">
        <v>0</v>
      </c>
      <c r="DV84" s="11" t="n">
        <v>5</v>
      </c>
      <c r="DW84" s="11" t="s">
        <v>573</v>
      </c>
      <c r="DX84" s="11" t="n">
        <v>0.406307</v>
      </c>
      <c r="DY84" s="11" t="n">
        <v>0.00751748371684058</v>
      </c>
      <c r="DZ84" s="11" t="n">
        <v>0.805096516283159</v>
      </c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 t="n">
        <v>7.24371521394525</v>
      </c>
      <c r="EP84" s="11" t="n">
        <v>70.1866795777766</v>
      </c>
      <c r="EQ84" s="11" t="n">
        <v>1696.99858328079</v>
      </c>
      <c r="ER84" s="11" t="n">
        <v>4.74300287995288</v>
      </c>
      <c r="ES84" s="11" t="n">
        <v>4.74300287995288</v>
      </c>
      <c r="ET84" s="11" t="n">
        <v>2.08787409952688</v>
      </c>
      <c r="EU84" s="11" t="n">
        <v>46.232521442095</v>
      </c>
      <c r="EV84" s="11" t="n">
        <v>46.232521442095</v>
      </c>
      <c r="EW84" s="11" t="n">
        <v>489.18404323421</v>
      </c>
      <c r="EX84" s="11" t="n">
        <v>599.240044824222</v>
      </c>
      <c r="EY84" s="11" t="n">
        <v>1.75470402363808</v>
      </c>
      <c r="EZ84" s="11" t="n">
        <v>0.460879168341058</v>
      </c>
      <c r="FA84" s="11" t="n">
        <v>0.0496487897090461</v>
      </c>
      <c r="FB84" s="11" t="n">
        <v>0.9296875</v>
      </c>
      <c r="FC84" s="11" t="n">
        <v>0</v>
      </c>
      <c r="FD84" s="11" t="n">
        <v>0</v>
      </c>
      <c r="FE84" s="11" t="s">
        <v>574</v>
      </c>
      <c r="FF84" s="11" t="s">
        <v>309</v>
      </c>
      <c r="FG84" s="11" t="n">
        <v>128</v>
      </c>
      <c r="FH84" s="11" t="s">
        <v>575</v>
      </c>
      <c r="FI84" s="11" t="s">
        <v>59</v>
      </c>
      <c r="FJ84" s="11" t="n">
        <v>0.2</v>
      </c>
      <c r="FK84" s="11" t="n">
        <v>0.15292252724227</v>
      </c>
      <c r="FL84" s="11" t="n">
        <v>0.101687321467584</v>
      </c>
      <c r="FM84" s="11" t="n">
        <v>0</v>
      </c>
      <c r="FN84" s="11" t="n">
        <v>1</v>
      </c>
      <c r="FO84" s="11" t="n">
        <v>0.795942385084065</v>
      </c>
      <c r="FP84" s="11" t="n">
        <v>0.54095153943598</v>
      </c>
      <c r="FQ84" s="11" t="n">
        <v>0.212890625</v>
      </c>
      <c r="FR84" s="11" t="n">
        <v>0</v>
      </c>
      <c r="FS84" s="11" t="n">
        <v>0.794024738197953</v>
      </c>
      <c r="FT84" s="11" t="n">
        <v>0.540924894426214</v>
      </c>
      <c r="FU84" s="11" t="n">
        <v>1</v>
      </c>
      <c r="FV84" s="11" t="n">
        <v>11.0753759494453</v>
      </c>
      <c r="FW84" s="11" t="n">
        <v>242.110026058423</v>
      </c>
      <c r="FX84" s="11" t="n">
        <v>0.0336287562890183</v>
      </c>
      <c r="FY84" s="11" t="n">
        <v>1</v>
      </c>
      <c r="FZ84" s="11" t="n">
        <v>39</v>
      </c>
      <c r="GA84" s="11" t="n">
        <v>1</v>
      </c>
      <c r="GB84" s="11" t="s">
        <v>576</v>
      </c>
      <c r="GC84" s="11" t="n">
        <v>0.950126647949219</v>
      </c>
      <c r="GD84" s="11" t="n">
        <v>0.953125</v>
      </c>
      <c r="GE84" s="11" t="n">
        <v>0.953125</v>
      </c>
      <c r="GF84" s="11" t="n">
        <v>0.953125</v>
      </c>
      <c r="GG84" s="11" t="n">
        <v>0</v>
      </c>
      <c r="GH84" s="11" t="n">
        <v>0</v>
      </c>
      <c r="GI84" s="11" t="n">
        <v>0.0930726636474901</v>
      </c>
      <c r="GJ84" s="11" t="n">
        <v>0.10392257195781</v>
      </c>
      <c r="GK84" s="11" t="n">
        <v>0.101367017653697</v>
      </c>
      <c r="GL84" s="11" t="n">
        <v>0.105356975291215</v>
      </c>
      <c r="GM84" s="11" t="n">
        <v>0.000189686821091772</v>
      </c>
      <c r="GN84" s="11" t="n">
        <v>0</v>
      </c>
      <c r="GO84" s="11" t="n">
        <v>0.953125</v>
      </c>
      <c r="GP84" s="11" t="n">
        <v>0.953125</v>
      </c>
      <c r="GQ84" s="11" t="n">
        <v>-0.0503080151975155</v>
      </c>
      <c r="GR84" s="11" t="n">
        <v>1</v>
      </c>
      <c r="GS84" s="11" t="n">
        <v>1</v>
      </c>
      <c r="GT84" s="11" t="n">
        <v>0</v>
      </c>
      <c r="GU84" s="11" t="n">
        <v>0</v>
      </c>
      <c r="GV84" s="11" t="n">
        <v>1</v>
      </c>
      <c r="GW84" s="11" t="n">
        <v>1</v>
      </c>
      <c r="GX84" s="11" t="n">
        <v>1</v>
      </c>
      <c r="GY84" s="11" t="n">
        <v>0</v>
      </c>
      <c r="GZ84" s="11" t="n">
        <v>1</v>
      </c>
      <c r="HA84" s="11" t="n">
        <v>1</v>
      </c>
      <c r="HB84" s="11" t="n">
        <v>1</v>
      </c>
      <c r="HC84" s="11" t="n">
        <v>1</v>
      </c>
      <c r="HD84" s="11" t="n">
        <v>1</v>
      </c>
      <c r="HE84" s="11" t="n">
        <v>1</v>
      </c>
      <c r="HF84" s="11" t="n">
        <v>1</v>
      </c>
      <c r="HG84" s="11" t="n">
        <v>1</v>
      </c>
      <c r="HH84" s="11" t="n">
        <v>0</v>
      </c>
      <c r="HI84" s="11" t="n">
        <v>0</v>
      </c>
      <c r="HJ84" s="11" t="n">
        <v>0</v>
      </c>
      <c r="HK84" s="11" t="s">
        <v>137</v>
      </c>
      <c r="HL84" s="11" t="s">
        <v>577</v>
      </c>
      <c r="HM84" s="11" t="n">
        <v>1</v>
      </c>
      <c r="HN84" s="11" t="s">
        <v>1037</v>
      </c>
      <c r="HO84" s="11" t="s">
        <v>1038</v>
      </c>
      <c r="HP84" s="11" t="s">
        <v>1038</v>
      </c>
      <c r="HQ84" s="11" t="n">
        <v>0</v>
      </c>
      <c r="HR84" s="11" t="s">
        <v>204</v>
      </c>
      <c r="HS84" s="11" t="s">
        <v>300</v>
      </c>
      <c r="HT84" s="11" t="s">
        <v>300</v>
      </c>
      <c r="HU84" s="11" t="s">
        <v>1151</v>
      </c>
      <c r="HV84" s="11" t="s">
        <v>1151</v>
      </c>
      <c r="HW84" s="11" t="s">
        <v>923</v>
      </c>
      <c r="HX84" s="11" t="s">
        <v>916</v>
      </c>
      <c r="HY84" s="11" t="s">
        <v>583</v>
      </c>
      <c r="HZ84" s="11" t="s">
        <v>1152</v>
      </c>
      <c r="IA84" s="11" t="s">
        <v>1150</v>
      </c>
      <c r="IB84" s="11" t="s">
        <v>1153</v>
      </c>
      <c r="IC84" s="11" t="s">
        <v>309</v>
      </c>
      <c r="ID84" s="11" t="s">
        <v>919</v>
      </c>
      <c r="IE84" s="11" t="s">
        <v>198</v>
      </c>
      <c r="IF84" s="11" t="s">
        <v>205</v>
      </c>
      <c r="IG84" s="11" t="s">
        <v>211</v>
      </c>
      <c r="IH84" s="11" t="s">
        <v>1048</v>
      </c>
    </row>
    <row r="85" customFormat="false" ht="15" hidden="false" customHeight="false" outlineLevel="0" collapsed="false">
      <c r="A85" s="11" t="s">
        <v>106</v>
      </c>
      <c r="B85" s="11" t="s">
        <v>1154</v>
      </c>
      <c r="C85" s="11" t="s">
        <v>1035</v>
      </c>
      <c r="D85" s="11" t="s">
        <v>570</v>
      </c>
      <c r="E85" s="11" t="s">
        <v>51</v>
      </c>
      <c r="F85" s="11"/>
      <c r="G85" s="11"/>
      <c r="H85" s="11" t="s">
        <v>1155</v>
      </c>
      <c r="I85" s="11" t="s">
        <v>313</v>
      </c>
      <c r="J85" s="11" t="n">
        <v>122</v>
      </c>
      <c r="K85" s="11" t="n">
        <v>4.06666666666667</v>
      </c>
      <c r="L85" s="11" t="n">
        <v>0.730655491352081</v>
      </c>
      <c r="M85" s="11" t="n">
        <v>0.812078714370728</v>
      </c>
      <c r="N85" s="11" t="n">
        <v>0</v>
      </c>
      <c r="O85" s="11" t="n">
        <v>0.781111411365715</v>
      </c>
      <c r="P85" s="11" t="n">
        <v>0.798369782534539</v>
      </c>
      <c r="Q85" s="11" t="n">
        <v>0.201315294667636</v>
      </c>
      <c r="R85" s="11" t="n">
        <v>0.573770491803279</v>
      </c>
      <c r="S85" s="11" t="n">
        <v>0.172131147540984</v>
      </c>
      <c r="T85" s="11" t="n">
        <v>0.0327868852459016</v>
      </c>
      <c r="U85" s="11" t="n">
        <v>0</v>
      </c>
      <c r="V85" s="11" t="n">
        <v>0</v>
      </c>
      <c r="W85" s="11" t="n">
        <v>0.352459016393443</v>
      </c>
      <c r="X85" s="11" t="n">
        <v>0.0983606557377049</v>
      </c>
      <c r="Y85" s="11" t="n">
        <v>0.155737704918033</v>
      </c>
      <c r="Z85" s="11" t="n">
        <v>0.245901639344262</v>
      </c>
      <c r="AA85" s="11" t="n">
        <v>0.19672131147541</v>
      </c>
      <c r="AB85" s="11" t="n">
        <v>0.10655737704918</v>
      </c>
      <c r="AC85" s="11" t="n">
        <v>-0.00412572039713376</v>
      </c>
      <c r="AD85" s="11" t="n">
        <v>-0.0106310838625738</v>
      </c>
      <c r="AE85" s="11" t="n">
        <v>0.72</v>
      </c>
      <c r="AF85" s="11" t="n">
        <v>0.54</v>
      </c>
      <c r="AG85" s="11" t="n">
        <v>0.3</v>
      </c>
      <c r="AH85" s="11" t="n">
        <v>0.254098360655738</v>
      </c>
      <c r="AI85" s="11" t="n">
        <v>0.19672131147541</v>
      </c>
      <c r="AJ85" s="11" t="n">
        <v>0.10655737704918</v>
      </c>
      <c r="AK85" s="11" t="n">
        <v>0.396406179815473</v>
      </c>
      <c r="AL85" s="11" t="n">
        <v>0</v>
      </c>
      <c r="AM85" s="11" t="n">
        <v>0</v>
      </c>
      <c r="AN85" s="11" t="n">
        <v>0</v>
      </c>
      <c r="AO85" s="11"/>
      <c r="AP85" s="11"/>
      <c r="AQ85" s="11"/>
      <c r="AR85" s="11" t="n">
        <v>0</v>
      </c>
      <c r="AS85" s="11" t="n">
        <v>0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0</v>
      </c>
      <c r="AY85" s="11" t="n">
        <v>0.00450312533449822</v>
      </c>
      <c r="AZ85" s="11" t="n">
        <v>0.0160328603777009</v>
      </c>
      <c r="BA85" s="11"/>
      <c r="BB85" s="11" t="n">
        <v>0.147540983606557</v>
      </c>
      <c r="BC85" s="11" t="n">
        <v>0.508196721311475</v>
      </c>
      <c r="BD85" s="11" t="n">
        <v>0.319672131147541</v>
      </c>
      <c r="BE85" s="11" t="n">
        <v>0.524590163934426</v>
      </c>
      <c r="BF85" s="11" t="n">
        <v>0.401639344262295</v>
      </c>
      <c r="BG85" s="11" t="n">
        <v>0.532786885245902</v>
      </c>
      <c r="BH85" s="11" t="n">
        <v>0.483606557377049</v>
      </c>
      <c r="BI85" s="11" t="n">
        <v>0.549180327868853</v>
      </c>
      <c r="BJ85" s="11" t="n">
        <v>0.167249604210872</v>
      </c>
      <c r="BK85" s="11" t="n">
        <v>0.0872675968281656</v>
      </c>
      <c r="BL85" s="11" t="n">
        <v>0.156708826463868</v>
      </c>
      <c r="BM85" s="11" t="n">
        <v>0.0134004089869301</v>
      </c>
      <c r="BN85" s="11" t="n">
        <v>0.503290158414785</v>
      </c>
      <c r="BO85" s="11" t="n">
        <v>0.152947378987375</v>
      </c>
      <c r="BP85" s="11" t="n">
        <v>0.014001737454275</v>
      </c>
      <c r="BQ85" s="11" t="n">
        <v>0.00379320121372843</v>
      </c>
      <c r="BR85" s="11" t="n">
        <v>3.80613222989028</v>
      </c>
      <c r="BS85" s="11" t="n">
        <v>14.6475744488026</v>
      </c>
      <c r="BT85" s="11" t="n">
        <v>19.8475518656748</v>
      </c>
      <c r="BU85" s="11" t="n">
        <v>16.7249604210872</v>
      </c>
      <c r="BV85" s="11" t="n">
        <v>8.97875436882676</v>
      </c>
      <c r="BW85" s="11" t="n">
        <v>6.16721851708683</v>
      </c>
      <c r="BX85" s="11" t="n">
        <v>3.1782518331838</v>
      </c>
      <c r="BY85" s="11" t="n">
        <v>3.73948963331854</v>
      </c>
      <c r="BZ85" s="11" t="n">
        <v>0.516393442622951</v>
      </c>
      <c r="CA85" s="11" t="n">
        <v>0.571428571428571</v>
      </c>
      <c r="CB85" s="11" t="n">
        <v>0.158730158730159</v>
      </c>
      <c r="CC85" s="11" t="n">
        <v>0.26984126984127</v>
      </c>
      <c r="CD85" s="11" t="n">
        <v>0.380952380952381</v>
      </c>
      <c r="CE85" s="11" t="n">
        <v>0.540983606557377</v>
      </c>
      <c r="CF85" s="11" t="n">
        <v>5</v>
      </c>
      <c r="CG85" s="11" t="n">
        <v>3</v>
      </c>
      <c r="CH85" s="11" t="n">
        <v>0.575757575757576</v>
      </c>
      <c r="CI85" s="11" t="n">
        <v>0.287878787878788</v>
      </c>
      <c r="CJ85" s="11" t="n">
        <v>0.393939393939394</v>
      </c>
      <c r="CK85" s="11" t="n">
        <v>0.11864406779661</v>
      </c>
      <c r="CL85" s="11" t="n">
        <v>0.0338983050847458</v>
      </c>
      <c r="CM85" s="11" t="n">
        <v>0.0338983050847458</v>
      </c>
      <c r="CN85" s="11" t="n">
        <v>0.101694915254237</v>
      </c>
      <c r="CO85" s="11" t="n">
        <v>0</v>
      </c>
      <c r="CP85" s="11" t="n">
        <v>0</v>
      </c>
      <c r="CQ85" s="11" t="n">
        <v>0</v>
      </c>
      <c r="CR85" s="11" t="n">
        <v>0</v>
      </c>
      <c r="CS85" s="11" t="n">
        <v>0.128205128205128</v>
      </c>
      <c r="CT85" s="11" t="n">
        <v>0</v>
      </c>
      <c r="CU85" s="11" t="n">
        <v>0</v>
      </c>
      <c r="CV85" s="11" t="n">
        <v>0.102564102564103</v>
      </c>
      <c r="CW85" s="11" t="n">
        <v>0.0634920634920635</v>
      </c>
      <c r="CX85" s="11" t="n">
        <v>0</v>
      </c>
      <c r="CY85" s="11" t="n">
        <v>0.00112651064112363</v>
      </c>
      <c r="CZ85" s="11" t="n">
        <v>-0.0691335663562465</v>
      </c>
      <c r="DA85" s="11" t="n">
        <v>4.78272249571333</v>
      </c>
      <c r="DB85" s="11" t="n">
        <v>-0.0407587245978496</v>
      </c>
      <c r="DC85" s="11" t="n">
        <v>7.77555600331602</v>
      </c>
      <c r="DD85" s="11" t="n">
        <v>0.362975112760014</v>
      </c>
      <c r="DE85" s="11" t="n">
        <v>0.352459016393443</v>
      </c>
      <c r="DF85" s="11" t="n">
        <v>-0.0347644245263512</v>
      </c>
      <c r="DG85" s="11" t="n">
        <v>-0.0342255476510569</v>
      </c>
      <c r="DH85" s="11" t="n">
        <v>-0.0538876875294352</v>
      </c>
      <c r="DI85" s="11" t="n">
        <v>74.6070221288667</v>
      </c>
      <c r="DJ85" s="11" t="n">
        <v>57.0373802838369</v>
      </c>
      <c r="DK85" s="11" t="n">
        <v>9.67364850365218</v>
      </c>
      <c r="DL85" s="11" t="n">
        <v>49.05</v>
      </c>
      <c r="DM85" s="11" t="n">
        <v>0.565573770491803</v>
      </c>
      <c r="DN85" s="11" t="n">
        <v>0.549180327868853</v>
      </c>
      <c r="DO85" s="11" t="n">
        <v>-0.0138159530695061</v>
      </c>
      <c r="DP85" s="11" t="n">
        <v>0</v>
      </c>
      <c r="DQ85" s="11" t="n">
        <v>0.0655737704918033</v>
      </c>
      <c r="DR85" s="11" t="n">
        <v>0.00819672131147541</v>
      </c>
      <c r="DS85" s="11" t="n">
        <v>0</v>
      </c>
      <c r="DT85" s="11" t="n">
        <v>0</v>
      </c>
      <c r="DU85" s="11" t="n">
        <v>0</v>
      </c>
      <c r="DV85" s="11" t="n">
        <v>5</v>
      </c>
      <c r="DW85" s="11" t="s">
        <v>573</v>
      </c>
      <c r="DX85" s="11" t="n">
        <v>0.406307</v>
      </c>
      <c r="DY85" s="11" t="n">
        <v>0.356497826208221</v>
      </c>
      <c r="DZ85" s="11" t="n">
        <v>0.456116173791779</v>
      </c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 t="n">
        <v>8.80248317187786</v>
      </c>
      <c r="EP85" s="11" t="n">
        <v>96.9694186047722</v>
      </c>
      <c r="EQ85" s="11" t="n">
        <v>2541.23777122053</v>
      </c>
      <c r="ER85" s="11" t="n">
        <v>3.12802112598628</v>
      </c>
      <c r="ES85" s="11" t="n">
        <v>3.12802112598628</v>
      </c>
      <c r="ET85" s="11" t="n">
        <v>2.56210110016951</v>
      </c>
      <c r="EU85" s="11" t="n">
        <v>68.2891772058941</v>
      </c>
      <c r="EV85" s="11" t="n">
        <v>68.2891772058941</v>
      </c>
      <c r="EW85" s="11" t="n">
        <v>519.495799055966</v>
      </c>
      <c r="EX85" s="11" t="n">
        <v>552.079709379693</v>
      </c>
      <c r="EY85" s="11" t="n">
        <v>0.961548898869379</v>
      </c>
      <c r="EZ85" s="11" t="n">
        <v>0.536281904674997</v>
      </c>
      <c r="FA85" s="11" t="n">
        <v>0.0496376837738115</v>
      </c>
      <c r="FB85" s="11" t="n">
        <v>0.983606557377049</v>
      </c>
      <c r="FC85" s="11" t="n">
        <v>0</v>
      </c>
      <c r="FD85" s="11" t="n">
        <v>0</v>
      </c>
      <c r="FE85" s="11" t="s">
        <v>574</v>
      </c>
      <c r="FF85" s="11" t="s">
        <v>314</v>
      </c>
      <c r="FG85" s="11" t="n">
        <v>122</v>
      </c>
      <c r="FH85" s="11" t="s">
        <v>575</v>
      </c>
      <c r="FI85" s="11" t="s">
        <v>59</v>
      </c>
      <c r="FJ85" s="11" t="n">
        <v>0.2</v>
      </c>
      <c r="FK85" s="11" t="n">
        <v>0.203725670687302</v>
      </c>
      <c r="FL85" s="11" t="n">
        <v>0.0935660008354223</v>
      </c>
      <c r="FM85" s="11" t="n">
        <v>0.00204918032786885</v>
      </c>
      <c r="FN85" s="11" t="n">
        <v>1</v>
      </c>
      <c r="FO85" s="11" t="n">
        <v>0.615296096998429</v>
      </c>
      <c r="FP85" s="11" t="n">
        <v>0.516878230849273</v>
      </c>
      <c r="FQ85" s="11" t="n">
        <v>0.159836065573771</v>
      </c>
      <c r="FR85" s="11" t="n">
        <v>0</v>
      </c>
      <c r="FS85" s="11" t="n">
        <v>0.612596457836116</v>
      </c>
      <c r="FT85" s="11" t="n">
        <v>0.515574510493885</v>
      </c>
      <c r="FU85" s="11" t="n">
        <v>1</v>
      </c>
      <c r="FV85" s="11" t="n">
        <v>13.0254526708194</v>
      </c>
      <c r="FW85" s="11" t="n">
        <v>319.456645437388</v>
      </c>
      <c r="FX85" s="11" t="n">
        <v>0.0416924673030072</v>
      </c>
      <c r="FY85" s="11" t="n">
        <v>1</v>
      </c>
      <c r="FZ85" s="11" t="n">
        <v>39</v>
      </c>
      <c r="GA85" s="11" t="n">
        <v>1</v>
      </c>
      <c r="GB85" s="11" t="s">
        <v>576</v>
      </c>
      <c r="GC85" s="11" t="n">
        <v>0.94545132996606</v>
      </c>
      <c r="GD85" s="11" t="n">
        <v>0.950819672131147</v>
      </c>
      <c r="GE85" s="11" t="n">
        <v>0.950684064632801</v>
      </c>
      <c r="GF85" s="11" t="n">
        <v>0.950819672131147</v>
      </c>
      <c r="GG85" s="11" t="n">
        <v>0</v>
      </c>
      <c r="GH85" s="11" t="n">
        <v>0</v>
      </c>
      <c r="GI85" s="11" t="n">
        <v>0.0636731653716883</v>
      </c>
      <c r="GJ85" s="11" t="n">
        <v>0.0772877709680527</v>
      </c>
      <c r="GK85" s="11" t="n">
        <v>0.0754180281115385</v>
      </c>
      <c r="GL85" s="11" t="n">
        <v>0.0818681742873837</v>
      </c>
      <c r="GM85" s="11" t="n">
        <v>0.000446491569171198</v>
      </c>
      <c r="GN85" s="11" t="n">
        <v>0</v>
      </c>
      <c r="GO85" s="11" t="n">
        <v>0.950051229508197</v>
      </c>
      <c r="GP85" s="11" t="n">
        <v>0.950819672131147</v>
      </c>
      <c r="GQ85" s="11" t="n">
        <v>-0.0357215292751789</v>
      </c>
      <c r="GR85" s="11" t="n">
        <v>1</v>
      </c>
      <c r="GS85" s="11" t="n">
        <v>1</v>
      </c>
      <c r="GT85" s="11" t="n">
        <v>0</v>
      </c>
      <c r="GU85" s="11" t="n">
        <v>0</v>
      </c>
      <c r="GV85" s="11" t="n">
        <v>1</v>
      </c>
      <c r="GW85" s="11" t="n">
        <v>1</v>
      </c>
      <c r="GX85" s="11" t="n">
        <v>1</v>
      </c>
      <c r="GY85" s="11" t="n">
        <v>1</v>
      </c>
      <c r="GZ85" s="11" t="n">
        <v>1</v>
      </c>
      <c r="HA85" s="11" t="n">
        <v>1</v>
      </c>
      <c r="HB85" s="11" t="n">
        <v>1</v>
      </c>
      <c r="HC85" s="11" t="n">
        <v>1</v>
      </c>
      <c r="HD85" s="11" t="n">
        <v>1</v>
      </c>
      <c r="HE85" s="11" t="n">
        <v>1</v>
      </c>
      <c r="HF85" s="11" t="n">
        <v>1</v>
      </c>
      <c r="HG85" s="11" t="n">
        <v>1</v>
      </c>
      <c r="HH85" s="11" t="n">
        <v>1</v>
      </c>
      <c r="HI85" s="11" t="n">
        <v>1</v>
      </c>
      <c r="HJ85" s="11" t="n">
        <v>1</v>
      </c>
      <c r="HK85" s="11"/>
      <c r="HL85" s="11" t="s">
        <v>577</v>
      </c>
      <c r="HM85" s="11" t="n">
        <v>1</v>
      </c>
      <c r="HN85" s="11" t="s">
        <v>1037</v>
      </c>
      <c r="HO85" s="11" t="s">
        <v>1038</v>
      </c>
      <c r="HP85" s="11" t="s">
        <v>1038</v>
      </c>
      <c r="HQ85" s="11" t="n">
        <v>0</v>
      </c>
      <c r="HR85" s="11" t="s">
        <v>189</v>
      </c>
      <c r="HS85" s="11" t="s">
        <v>300</v>
      </c>
      <c r="HT85" s="11" t="s">
        <v>300</v>
      </c>
      <c r="HU85" s="11" t="s">
        <v>1156</v>
      </c>
      <c r="HV85" s="11" t="s">
        <v>1156</v>
      </c>
      <c r="HW85" s="11" t="s">
        <v>938</v>
      </c>
      <c r="HX85" s="11" t="s">
        <v>931</v>
      </c>
      <c r="HY85" s="11" t="s">
        <v>583</v>
      </c>
      <c r="HZ85" s="11" t="s">
        <v>1157</v>
      </c>
      <c r="IA85" s="11" t="s">
        <v>1155</v>
      </c>
      <c r="IB85" s="11" t="s">
        <v>1158</v>
      </c>
      <c r="IC85" s="11" t="s">
        <v>314</v>
      </c>
      <c r="ID85" s="11" t="s">
        <v>934</v>
      </c>
      <c r="IE85" s="11" t="s">
        <v>198</v>
      </c>
      <c r="IF85" s="11" t="s">
        <v>191</v>
      </c>
      <c r="IG85" s="11" t="s">
        <v>237</v>
      </c>
      <c r="IH85" s="11" t="s">
        <v>1048</v>
      </c>
    </row>
    <row r="86" customFormat="false" ht="15" hidden="false" customHeight="false" outlineLevel="0" collapsed="false">
      <c r="A86" s="11" t="s">
        <v>107</v>
      </c>
      <c r="B86" s="11" t="s">
        <v>1159</v>
      </c>
      <c r="C86" s="11" t="s">
        <v>1035</v>
      </c>
      <c r="D86" s="11" t="s">
        <v>570</v>
      </c>
      <c r="E86" s="11" t="s">
        <v>51</v>
      </c>
      <c r="F86" s="11"/>
      <c r="G86" s="11"/>
      <c r="H86" s="11" t="s">
        <v>1160</v>
      </c>
      <c r="I86" s="11" t="s">
        <v>318</v>
      </c>
      <c r="J86" s="11" t="n">
        <v>109</v>
      </c>
      <c r="K86" s="11" t="n">
        <v>3.63333333333333</v>
      </c>
      <c r="L86" s="11" t="n">
        <v>0.761687278747559</v>
      </c>
      <c r="M86" s="11" t="n">
        <v>0.812638342380524</v>
      </c>
      <c r="N86" s="11" t="n">
        <v>0</v>
      </c>
      <c r="O86" s="11" t="n">
        <v>0.737646018481846</v>
      </c>
      <c r="P86" s="11" t="n">
        <v>0.723536947425349</v>
      </c>
      <c r="Q86" s="11" t="n">
        <v>0.178937417247211</v>
      </c>
      <c r="R86" s="11" t="n">
        <v>0.587155963302752</v>
      </c>
      <c r="S86" s="11" t="n">
        <v>0.119266055045872</v>
      </c>
      <c r="T86" s="11" t="n">
        <v>0.018348623853211</v>
      </c>
      <c r="U86" s="11" t="n">
        <v>0</v>
      </c>
      <c r="V86" s="11" t="n">
        <v>0</v>
      </c>
      <c r="W86" s="11" t="n">
        <v>0.486238532110092</v>
      </c>
      <c r="X86" s="11" t="n">
        <v>0.321100917431193</v>
      </c>
      <c r="Y86" s="11" t="n">
        <v>0.403669724770642</v>
      </c>
      <c r="Z86" s="11" t="n">
        <v>0.486238532110092</v>
      </c>
      <c r="AA86" s="11" t="n">
        <v>0.0825688073394496</v>
      </c>
      <c r="AB86" s="11" t="n">
        <v>0</v>
      </c>
      <c r="AC86" s="11" t="n">
        <v>-0.00166206323852312</v>
      </c>
      <c r="AD86" s="11" t="n">
        <v>-0.00446380244511214</v>
      </c>
      <c r="AE86" s="11" t="n">
        <v>0.339622641509434</v>
      </c>
      <c r="AF86" s="11" t="n">
        <v>0.169811320754717</v>
      </c>
      <c r="AG86" s="11" t="n">
        <v>0</v>
      </c>
      <c r="AH86" s="11" t="n">
        <v>0.165137614678899</v>
      </c>
      <c r="AI86" s="11" t="n">
        <v>0.0825688073394496</v>
      </c>
      <c r="AJ86" s="11" t="n">
        <v>0</v>
      </c>
      <c r="AK86" s="11" t="n">
        <v>0.437557146716716</v>
      </c>
      <c r="AL86" s="11" t="n">
        <v>0</v>
      </c>
      <c r="AM86" s="11" t="n">
        <v>0</v>
      </c>
      <c r="AN86" s="11" t="n">
        <v>0</v>
      </c>
      <c r="AO86" s="11"/>
      <c r="AP86" s="11"/>
      <c r="AQ86" s="11"/>
      <c r="AR86" s="11" t="n">
        <v>0</v>
      </c>
      <c r="AS86" s="11" t="n">
        <v>0.0091743119266055</v>
      </c>
      <c r="AT86" s="11" t="n">
        <v>0</v>
      </c>
      <c r="AU86" s="11" t="n">
        <v>0</v>
      </c>
      <c r="AV86" s="11" t="n">
        <v>0</v>
      </c>
      <c r="AW86" s="11" t="n">
        <v>0</v>
      </c>
      <c r="AX86" s="11" t="n">
        <v>0</v>
      </c>
      <c r="AY86" s="11" t="n">
        <v>0.00437060057671649</v>
      </c>
      <c r="AZ86" s="11" t="n">
        <v>0.0135863747968658</v>
      </c>
      <c r="BA86" s="11"/>
      <c r="BB86" s="11" t="n">
        <v>0.587155963302752</v>
      </c>
      <c r="BC86" s="11" t="n">
        <v>0.724770642201835</v>
      </c>
      <c r="BD86" s="11" t="n">
        <v>0.614678899082569</v>
      </c>
      <c r="BE86" s="11" t="n">
        <v>0.798165137614679</v>
      </c>
      <c r="BF86" s="11" t="n">
        <v>0.697247706422018</v>
      </c>
      <c r="BG86" s="11" t="n">
        <v>0.862385321100918</v>
      </c>
      <c r="BH86" s="11" t="n">
        <v>0.73394495412844</v>
      </c>
      <c r="BI86" s="11" t="n">
        <v>0.91743119266055</v>
      </c>
      <c r="BJ86" s="11" t="n">
        <v>0.113456555929732</v>
      </c>
      <c r="BK86" s="11" t="n">
        <v>0.0517302533741971</v>
      </c>
      <c r="BL86" s="11" t="n">
        <v>0.0928581725980313</v>
      </c>
      <c r="BM86" s="11" t="n">
        <v>0.0115590709437649</v>
      </c>
      <c r="BN86" s="11" t="n">
        <v>0.418908368602974</v>
      </c>
      <c r="BO86" s="11" t="n">
        <v>0.193699059084125</v>
      </c>
      <c r="BP86" s="11" t="n">
        <v>0.0130981974197776</v>
      </c>
      <c r="BQ86" s="11" t="n">
        <v>0.00507468674511775</v>
      </c>
      <c r="BR86" s="11" t="n">
        <v>3.32432513937837</v>
      </c>
      <c r="BS86" s="11" t="n">
        <v>9.8014300093305</v>
      </c>
      <c r="BT86" s="11" t="n">
        <v>14.9300445110525</v>
      </c>
      <c r="BU86" s="11" t="n">
        <v>11.3456555929732</v>
      </c>
      <c r="BV86" s="11" t="n">
        <v>5.32038137768154</v>
      </c>
      <c r="BW86" s="11" t="n">
        <v>6.25415150245964</v>
      </c>
      <c r="BX86" s="11" t="n">
        <v>3.07697501411768</v>
      </c>
      <c r="BY86" s="11" t="n">
        <v>3.32713286650569</v>
      </c>
      <c r="BZ86" s="11" t="n">
        <v>0.559633027522936</v>
      </c>
      <c r="CA86" s="11" t="n">
        <v>0.704918032786885</v>
      </c>
      <c r="CB86" s="11" t="n">
        <v>0.426229508196721</v>
      </c>
      <c r="CC86" s="11" t="n">
        <v>0.557377049180328</v>
      </c>
      <c r="CD86" s="11" t="n">
        <v>0.704918032786885</v>
      </c>
      <c r="CE86" s="11" t="n">
        <v>0.559633027522936</v>
      </c>
      <c r="CF86" s="11" t="n">
        <v>5</v>
      </c>
      <c r="CG86" s="11" t="n">
        <v>0</v>
      </c>
      <c r="CH86" s="11" t="n">
        <v>0.704918032786885</v>
      </c>
      <c r="CI86" s="11" t="n">
        <v>0.557377049180328</v>
      </c>
      <c r="CJ86" s="11" t="n">
        <v>0.704918032786885</v>
      </c>
      <c r="CK86" s="11" t="n">
        <v>0.208333333333333</v>
      </c>
      <c r="CL86" s="11" t="n">
        <v>0.1875</v>
      </c>
      <c r="CM86" s="11" t="n">
        <v>0.208333333333333</v>
      </c>
      <c r="CN86" s="11" t="n">
        <v>0.208333333333333</v>
      </c>
      <c r="CO86" s="11" t="n">
        <v>0</v>
      </c>
      <c r="CP86" s="11" t="n">
        <v>0</v>
      </c>
      <c r="CQ86" s="11" t="n">
        <v>0</v>
      </c>
      <c r="CR86" s="11" t="n">
        <v>0</v>
      </c>
      <c r="CS86" s="11" t="n">
        <v>0.333333333333333</v>
      </c>
      <c r="CT86" s="11" t="n">
        <v>0.3</v>
      </c>
      <c r="CU86" s="11" t="n">
        <v>0.333333333333333</v>
      </c>
      <c r="CV86" s="11" t="n">
        <v>0.333333333333333</v>
      </c>
      <c r="CW86" s="11" t="n">
        <v>0.0327868852459016</v>
      </c>
      <c r="CX86" s="11" t="n">
        <v>0</v>
      </c>
      <c r="CY86" s="11" t="n">
        <v>0.00710000930518592</v>
      </c>
      <c r="CZ86" s="11" t="n">
        <v>-0.0565491901054505</v>
      </c>
      <c r="DA86" s="11" t="n">
        <v>4.71384018666074</v>
      </c>
      <c r="DB86" s="11" t="n">
        <v>-0.026849293605054</v>
      </c>
      <c r="DC86" s="11" t="n">
        <v>11.2693584679574</v>
      </c>
      <c r="DD86" s="11" t="n">
        <v>0.267941776382746</v>
      </c>
      <c r="DE86" s="11" t="n">
        <v>0.339449541284404</v>
      </c>
      <c r="DF86" s="11" t="n">
        <v>-0.0359491410275559</v>
      </c>
      <c r="DG86" s="11" t="n">
        <v>-0.0320972890623704</v>
      </c>
      <c r="DH86" s="11" t="n">
        <v>-0.385185196518553</v>
      </c>
      <c r="DI86" s="11" t="n">
        <v>88.8854823877152</v>
      </c>
      <c r="DJ86" s="11" t="n">
        <v>45.8420576599529</v>
      </c>
      <c r="DK86" s="11" t="n">
        <v>8.64436480559416</v>
      </c>
      <c r="DL86" s="11" t="n">
        <v>49.05</v>
      </c>
      <c r="DM86" s="11" t="n">
        <v>0.532110091743119</v>
      </c>
      <c r="DN86" s="11" t="n">
        <v>0.458715596330275</v>
      </c>
      <c r="DO86" s="11" t="n">
        <v>-0.0127583431125435</v>
      </c>
      <c r="DP86" s="11" t="n">
        <v>0</v>
      </c>
      <c r="DQ86" s="11" t="n">
        <v>0</v>
      </c>
      <c r="DR86" s="11" t="n">
        <v>0</v>
      </c>
      <c r="DS86" s="11" t="n">
        <v>0</v>
      </c>
      <c r="DT86" s="11" t="n">
        <v>0</v>
      </c>
      <c r="DU86" s="11" t="n">
        <v>0</v>
      </c>
      <c r="DV86" s="11" t="n">
        <v>5</v>
      </c>
      <c r="DW86" s="11" t="s">
        <v>573</v>
      </c>
      <c r="DX86" s="11" t="n">
        <v>0.406307</v>
      </c>
      <c r="DY86" s="11" t="n">
        <v>0.045756938902907</v>
      </c>
      <c r="DZ86" s="11" t="n">
        <v>0.766857061097093</v>
      </c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 t="n">
        <v>6.87182756288509</v>
      </c>
      <c r="EP86" s="11" t="n">
        <v>81.0377941553294</v>
      </c>
      <c r="EQ86" s="11" t="n">
        <v>1852.31230739971</v>
      </c>
      <c r="ER86" s="11" t="n">
        <v>3.21035978096401</v>
      </c>
      <c r="ES86" s="11" t="n">
        <v>3.21035978096401</v>
      </c>
      <c r="ET86" s="11" t="n">
        <v>1.68571956774137</v>
      </c>
      <c r="EU86" s="11" t="n">
        <v>46.164665298655</v>
      </c>
      <c r="EV86" s="11" t="n">
        <v>46.164665298655</v>
      </c>
      <c r="EW86" s="11" t="n">
        <v>500.069046480746</v>
      </c>
      <c r="EX86" s="11" t="n">
        <v>600.532096855082</v>
      </c>
      <c r="EY86" s="11" t="n">
        <v>0.809955082364421</v>
      </c>
      <c r="EZ86" s="11" t="n">
        <v>0.694731315656073</v>
      </c>
      <c r="FA86" s="11" t="n">
        <v>0.0493563526396615</v>
      </c>
      <c r="FB86" s="11" t="n">
        <v>1</v>
      </c>
      <c r="FC86" s="11" t="n">
        <v>0</v>
      </c>
      <c r="FD86" s="11" t="n">
        <v>0</v>
      </c>
      <c r="FE86" s="11" t="s">
        <v>574</v>
      </c>
      <c r="FF86" s="11" t="s">
        <v>319</v>
      </c>
      <c r="FG86" s="11" t="n">
        <v>109</v>
      </c>
      <c r="FH86" s="11" t="s">
        <v>575</v>
      </c>
      <c r="FI86" s="11" t="s">
        <v>59</v>
      </c>
      <c r="FJ86" s="11" t="n">
        <v>0.2</v>
      </c>
      <c r="FK86" s="11" t="n">
        <v>0.0984176037974308</v>
      </c>
      <c r="FL86" s="11" t="n">
        <v>0.0502160886953991</v>
      </c>
      <c r="FM86" s="11" t="n">
        <v>0</v>
      </c>
      <c r="FN86" s="11" t="n">
        <v>1</v>
      </c>
      <c r="FO86" s="11" t="n">
        <v>0.569054843117067</v>
      </c>
      <c r="FP86" s="11" t="n">
        <v>0.401815038256492</v>
      </c>
      <c r="FQ86" s="11" t="n">
        <v>0.073394495412844</v>
      </c>
      <c r="FR86" s="11" t="n">
        <v>0</v>
      </c>
      <c r="FS86" s="11" t="n">
        <v>0.569054563408235</v>
      </c>
      <c r="FT86" s="11" t="n">
        <v>0.401742315488759</v>
      </c>
      <c r="FU86" s="11" t="n">
        <v>1</v>
      </c>
      <c r="FV86" s="11" t="n">
        <v>7.11053923797898</v>
      </c>
      <c r="FW86" s="11" t="n">
        <v>223.741888007306</v>
      </c>
      <c r="FX86" s="11" t="n">
        <v>0.0179303292444957</v>
      </c>
      <c r="FY86" s="11" t="n">
        <v>1</v>
      </c>
      <c r="FZ86" s="11" t="n">
        <v>30</v>
      </c>
      <c r="GA86" s="11" t="n">
        <v>1</v>
      </c>
      <c r="GB86" s="11" t="s">
        <v>576</v>
      </c>
      <c r="GC86" s="11" t="n">
        <v>0.927496393886181</v>
      </c>
      <c r="GD86" s="11" t="n">
        <v>0.944595756880734</v>
      </c>
      <c r="GE86" s="11" t="n">
        <v>0.944684295737774</v>
      </c>
      <c r="GF86" s="11" t="n">
        <v>0.944954128440367</v>
      </c>
      <c r="GG86" s="11" t="n">
        <v>0</v>
      </c>
      <c r="GH86" s="11" t="n">
        <v>0</v>
      </c>
      <c r="GI86" s="11" t="n">
        <v>0.0334896132749945</v>
      </c>
      <c r="GJ86" s="11" t="n">
        <v>0.0455919020176959</v>
      </c>
      <c r="GK86" s="11" t="n">
        <v>0.0421335940122427</v>
      </c>
      <c r="GL86" s="11" t="n">
        <v>0.0475467136898719</v>
      </c>
      <c r="GM86" s="11" t="n">
        <v>0.00190209327951308</v>
      </c>
      <c r="GN86" s="11" t="n">
        <v>1.6612015715843E-005</v>
      </c>
      <c r="GO86" s="11" t="n">
        <v>0.944667431192661</v>
      </c>
      <c r="GP86" s="11" t="n">
        <v>0.944954128440367</v>
      </c>
      <c r="GQ86" s="11" t="n">
        <v>-0.0257054567337036</v>
      </c>
      <c r="GR86" s="11" t="n">
        <v>1</v>
      </c>
      <c r="GS86" s="11" t="n">
        <v>1</v>
      </c>
      <c r="GT86" s="11" t="n">
        <v>0</v>
      </c>
      <c r="GU86" s="11" t="n">
        <v>0</v>
      </c>
      <c r="GV86" s="11" t="n">
        <v>1</v>
      </c>
      <c r="GW86" s="11" t="n">
        <v>1</v>
      </c>
      <c r="GX86" s="11" t="n">
        <v>1</v>
      </c>
      <c r="GY86" s="11" t="n">
        <v>0</v>
      </c>
      <c r="GZ86" s="11" t="n">
        <v>1</v>
      </c>
      <c r="HA86" s="11" t="n">
        <v>1</v>
      </c>
      <c r="HB86" s="11" t="n">
        <v>1</v>
      </c>
      <c r="HC86" s="11" t="n">
        <v>1</v>
      </c>
      <c r="HD86" s="11" t="n">
        <v>1</v>
      </c>
      <c r="HE86" s="11" t="n">
        <v>1</v>
      </c>
      <c r="HF86" s="11" t="n">
        <v>1</v>
      </c>
      <c r="HG86" s="11" t="n">
        <v>1</v>
      </c>
      <c r="HH86" s="11" t="n">
        <v>0</v>
      </c>
      <c r="HI86" s="11" t="n">
        <v>0</v>
      </c>
      <c r="HJ86" s="11" t="n">
        <v>0</v>
      </c>
      <c r="HK86" s="11" t="s">
        <v>137</v>
      </c>
      <c r="HL86" s="11" t="s">
        <v>577</v>
      </c>
      <c r="HM86" s="11" t="n">
        <v>1</v>
      </c>
      <c r="HN86" s="11" t="s">
        <v>1037</v>
      </c>
      <c r="HO86" s="11" t="s">
        <v>1038</v>
      </c>
      <c r="HP86" s="11" t="s">
        <v>1038</v>
      </c>
      <c r="HQ86" s="11" t="n">
        <v>0</v>
      </c>
      <c r="HR86" s="11" t="s">
        <v>189</v>
      </c>
      <c r="HS86" s="11" t="s">
        <v>300</v>
      </c>
      <c r="HT86" s="11" t="s">
        <v>300</v>
      </c>
      <c r="HU86" s="11" t="s">
        <v>1161</v>
      </c>
      <c r="HV86" s="11" t="s">
        <v>1161</v>
      </c>
      <c r="HW86" s="11" t="s">
        <v>953</v>
      </c>
      <c r="HX86" s="11" t="s">
        <v>946</v>
      </c>
      <c r="HY86" s="11" t="s">
        <v>583</v>
      </c>
      <c r="HZ86" s="11" t="s">
        <v>1162</v>
      </c>
      <c r="IA86" s="11" t="s">
        <v>1160</v>
      </c>
      <c r="IB86" s="11" t="s">
        <v>1163</v>
      </c>
      <c r="IC86" s="11" t="s">
        <v>319</v>
      </c>
      <c r="ID86" s="11" t="s">
        <v>949</v>
      </c>
      <c r="IE86" s="11" t="s">
        <v>198</v>
      </c>
      <c r="IF86" s="11" t="s">
        <v>191</v>
      </c>
      <c r="IG86" s="11" t="s">
        <v>197</v>
      </c>
      <c r="IH86" s="11" t="s">
        <v>1048</v>
      </c>
    </row>
    <row r="87" customFormat="false" ht="15" hidden="false" customHeight="false" outlineLevel="0" collapsed="false">
      <c r="A87" s="11" t="s">
        <v>108</v>
      </c>
      <c r="B87" s="11" t="s">
        <v>1164</v>
      </c>
      <c r="C87" s="11" t="s">
        <v>1035</v>
      </c>
      <c r="D87" s="11" t="s">
        <v>570</v>
      </c>
      <c r="E87" s="11" t="s">
        <v>51</v>
      </c>
      <c r="F87" s="11"/>
      <c r="G87" s="11"/>
      <c r="H87" s="11" t="s">
        <v>1165</v>
      </c>
      <c r="I87" s="11" t="s">
        <v>323</v>
      </c>
      <c r="J87" s="11" t="n">
        <v>102</v>
      </c>
      <c r="K87" s="11" t="n">
        <v>3.4</v>
      </c>
      <c r="L87" s="11" t="n">
        <v>0.769795119762421</v>
      </c>
      <c r="M87" s="11" t="n">
        <v>0.840197324752808</v>
      </c>
      <c r="N87" s="11" t="n">
        <v>0</v>
      </c>
      <c r="O87" s="11" t="n">
        <v>1.44973245859073</v>
      </c>
      <c r="P87" s="11" t="n">
        <v>1.13719141238335</v>
      </c>
      <c r="Q87" s="11" t="n">
        <v>0.199359941605479</v>
      </c>
      <c r="R87" s="11" t="n">
        <v>0.225490196078431</v>
      </c>
      <c r="S87" s="11" t="n">
        <v>0.156862745098039</v>
      </c>
      <c r="T87" s="11" t="n">
        <v>0</v>
      </c>
      <c r="U87" s="11" t="n">
        <v>0</v>
      </c>
      <c r="V87" s="11" t="n">
        <v>0</v>
      </c>
      <c r="W87" s="11" t="n">
        <v>0.598039215686274</v>
      </c>
      <c r="X87" s="11" t="n">
        <v>0.235294117647059</v>
      </c>
      <c r="Y87" s="11" t="n">
        <v>0.372549019607843</v>
      </c>
      <c r="Z87" s="11" t="n">
        <v>0.529411764705882</v>
      </c>
      <c r="AA87" s="11" t="n">
        <v>0.225490196078431</v>
      </c>
      <c r="AB87" s="11" t="n">
        <v>0.0686274509803922</v>
      </c>
      <c r="AC87" s="11" t="n">
        <v>-0.0023925227061317</v>
      </c>
      <c r="AD87" s="11" t="n">
        <v>-0.00665949341569639</v>
      </c>
      <c r="AE87" s="11" t="n">
        <v>0.588235294117647</v>
      </c>
      <c r="AF87" s="11" t="n">
        <v>0.294117647058823</v>
      </c>
      <c r="AG87" s="11" t="n">
        <v>0.0823529411764706</v>
      </c>
      <c r="AH87" s="11" t="n">
        <v>0.362745098039216</v>
      </c>
      <c r="AI87" s="11" t="n">
        <v>0.225490196078431</v>
      </c>
      <c r="AJ87" s="11" t="n">
        <v>0.0686274509803922</v>
      </c>
      <c r="AK87" s="11" t="n">
        <v>0.428241967625689</v>
      </c>
      <c r="AL87" s="11" t="n">
        <v>0</v>
      </c>
      <c r="AM87" s="11" t="n">
        <v>0</v>
      </c>
      <c r="AN87" s="11" t="n">
        <v>0</v>
      </c>
      <c r="AO87" s="11"/>
      <c r="AP87" s="11"/>
      <c r="AQ87" s="11"/>
      <c r="AR87" s="11" t="n">
        <v>0</v>
      </c>
      <c r="AS87" s="11" t="n">
        <v>0.117647058823529</v>
      </c>
      <c r="AT87" s="11" t="n">
        <v>0.0490196078431373</v>
      </c>
      <c r="AU87" s="11" t="n">
        <v>0.0490196078431373</v>
      </c>
      <c r="AV87" s="11" t="n">
        <v>0</v>
      </c>
      <c r="AW87" s="11" t="n">
        <v>0</v>
      </c>
      <c r="AX87" s="11" t="n">
        <v>0</v>
      </c>
      <c r="AY87" s="11" t="n">
        <v>0.00739495410534684</v>
      </c>
      <c r="AZ87" s="11" t="n">
        <v>0.0235596083652751</v>
      </c>
      <c r="BA87" s="11"/>
      <c r="BB87" s="11" t="n">
        <v>0</v>
      </c>
      <c r="BC87" s="11" t="n">
        <v>0.696078431372549</v>
      </c>
      <c r="BD87" s="11" t="n">
        <v>0</v>
      </c>
      <c r="BE87" s="11" t="n">
        <v>0.715686274509804</v>
      </c>
      <c r="BF87" s="11" t="n">
        <v>0.46078431372549</v>
      </c>
      <c r="BG87" s="11" t="n">
        <v>0.764705882352941</v>
      </c>
      <c r="BH87" s="11" t="n">
        <v>0.686274509803922</v>
      </c>
      <c r="BI87" s="11" t="n">
        <v>0.813725490196078</v>
      </c>
      <c r="BJ87" s="11" t="n">
        <v>0.137374207583631</v>
      </c>
      <c r="BK87" s="11" t="n">
        <v>0.0553037390094041</v>
      </c>
      <c r="BL87" s="11" t="n">
        <v>0.18891329281271</v>
      </c>
      <c r="BM87" s="11" t="n">
        <v>0.0265761473537154</v>
      </c>
      <c r="BN87" s="11" t="n">
        <v>0.48012190011916</v>
      </c>
      <c r="BO87" s="11" t="n">
        <v>0.360462448929578</v>
      </c>
      <c r="BP87" s="11" t="n">
        <v>0.015214963935261</v>
      </c>
      <c r="BQ87" s="11" t="n">
        <v>0.00336719881955267</v>
      </c>
      <c r="BR87" s="11" t="n">
        <v>3.67581407680032</v>
      </c>
      <c r="BS87" s="11" t="n">
        <v>12.3962238853801</v>
      </c>
      <c r="BT87" s="11" t="n">
        <v>21.9569535499747</v>
      </c>
      <c r="BU87" s="11" t="n">
        <v>13.7374207583631</v>
      </c>
      <c r="BV87" s="11" t="n">
        <v>10.8239343612188</v>
      </c>
      <c r="BW87" s="11" t="n">
        <v>8.9123804921112</v>
      </c>
      <c r="BX87" s="11" t="n">
        <v>2.32932097804085</v>
      </c>
      <c r="BY87" s="11" t="n">
        <v>4.44200191885717</v>
      </c>
      <c r="BZ87" s="11" t="n">
        <v>0.627450980392157</v>
      </c>
      <c r="CA87" s="11" t="n">
        <v>0.921875</v>
      </c>
      <c r="CB87" s="11" t="n">
        <v>0.359375</v>
      </c>
      <c r="CC87" s="11" t="n">
        <v>0.5625</v>
      </c>
      <c r="CD87" s="11" t="n">
        <v>0.8125</v>
      </c>
      <c r="CE87" s="11" t="n">
        <v>0.627450980392157</v>
      </c>
      <c r="CF87" s="11" t="n">
        <v>5</v>
      </c>
      <c r="CG87" s="11" t="n">
        <v>0</v>
      </c>
      <c r="CH87" s="11" t="n">
        <v>0.921875</v>
      </c>
      <c r="CI87" s="11" t="n">
        <v>0.5625</v>
      </c>
      <c r="CJ87" s="11" t="n">
        <v>0.8125</v>
      </c>
      <c r="CK87" s="11" t="n">
        <v>0.0526315789473684</v>
      </c>
      <c r="CL87" s="11" t="n">
        <v>0.0263157894736842</v>
      </c>
      <c r="CM87" s="11" t="n">
        <v>0.0526315789473684</v>
      </c>
      <c r="CN87" s="11" t="n">
        <v>0.0526315789473684</v>
      </c>
      <c r="CO87" s="11" t="n">
        <v>0</v>
      </c>
      <c r="CP87" s="11" t="n">
        <v>0</v>
      </c>
      <c r="CQ87" s="11" t="n">
        <v>0</v>
      </c>
      <c r="CR87" s="11" t="n">
        <v>0</v>
      </c>
      <c r="CS87" s="11" t="n">
        <v>0.0909090909090909</v>
      </c>
      <c r="CT87" s="11" t="n">
        <v>0.0454545454545455</v>
      </c>
      <c r="CU87" s="11" t="n">
        <v>0.0909090909090909</v>
      </c>
      <c r="CV87" s="11" t="n">
        <v>0.0909090909090909</v>
      </c>
      <c r="CW87" s="11" t="n">
        <v>0</v>
      </c>
      <c r="CX87" s="11" t="n">
        <v>0</v>
      </c>
      <c r="CY87" s="11" t="n">
        <v>0.00226643481976184</v>
      </c>
      <c r="CZ87" s="11" t="n">
        <v>-0.0506130769236589</v>
      </c>
      <c r="DA87" s="11" t="n">
        <v>8.20154138667332</v>
      </c>
      <c r="DB87" s="11" t="n">
        <v>-0.0140532608578937</v>
      </c>
      <c r="DC87" s="11" t="n">
        <v>17.4550141312753</v>
      </c>
      <c r="DD87" s="11" t="n">
        <v>0.174129868435552</v>
      </c>
      <c r="DE87" s="11" t="n">
        <v>0.392156862745098</v>
      </c>
      <c r="DF87" s="11" t="n">
        <v>-0.0174119712911278</v>
      </c>
      <c r="DG87" s="11" t="n">
        <v>-0.015055268455437</v>
      </c>
      <c r="DH87" s="11" t="n">
        <v>-0.235670283569076</v>
      </c>
      <c r="DI87" s="11" t="n">
        <v>125.265401516957</v>
      </c>
      <c r="DJ87" s="11" t="n">
        <v>39.1510762982852</v>
      </c>
      <c r="DK87" s="11" t="n">
        <v>13.6855298551757</v>
      </c>
      <c r="DL87" s="11" t="n">
        <v>49.05</v>
      </c>
      <c r="DM87" s="11" t="n">
        <v>0.647058823529412</v>
      </c>
      <c r="DN87" s="11" t="n">
        <v>0.647058823529412</v>
      </c>
      <c r="DO87" s="11" t="n">
        <v>-0.0154284629676927</v>
      </c>
      <c r="DP87" s="11" t="n">
        <v>0</v>
      </c>
      <c r="DQ87" s="11" t="n">
        <v>0</v>
      </c>
      <c r="DR87" s="11" t="n">
        <v>0</v>
      </c>
      <c r="DS87" s="11" t="n">
        <v>0</v>
      </c>
      <c r="DT87" s="11" t="n">
        <v>0</v>
      </c>
      <c r="DU87" s="11" t="n">
        <v>0</v>
      </c>
      <c r="DV87" s="11" t="n">
        <v>5</v>
      </c>
      <c r="DW87" s="11" t="s">
        <v>573</v>
      </c>
      <c r="DX87" s="11" t="n">
        <v>0.406307</v>
      </c>
      <c r="DY87" s="11" t="n">
        <v>-0.0342675331704818</v>
      </c>
      <c r="DZ87" s="11" t="n">
        <v>0.846881533170482</v>
      </c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 t="n">
        <v>6.60360966538136</v>
      </c>
      <c r="EP87" s="11" t="n">
        <v>90.5541986760365</v>
      </c>
      <c r="EQ87" s="11" t="n">
        <v>2043.65501505824</v>
      </c>
      <c r="ER87" s="11" t="n">
        <v>3.64163610120243</v>
      </c>
      <c r="ES87" s="11" t="n">
        <v>3.64163610120243</v>
      </c>
      <c r="ET87" s="11" t="n">
        <v>2.92663568571261</v>
      </c>
      <c r="EU87" s="11" t="n">
        <v>51.3861701191032</v>
      </c>
      <c r="EV87" s="11" t="n">
        <v>51.3861701191032</v>
      </c>
      <c r="EW87" s="11" t="n">
        <v>522.368879880389</v>
      </c>
      <c r="EX87" s="11" t="n">
        <v>488.365367240004</v>
      </c>
      <c r="EY87" s="11" t="n">
        <v>1.38997645173681</v>
      </c>
      <c r="EZ87" s="11" t="n">
        <v>0.456222275150584</v>
      </c>
      <c r="FA87" s="11" t="n">
        <v>0.0493186928913684</v>
      </c>
      <c r="FB87" s="11" t="n">
        <v>0.852941176470588</v>
      </c>
      <c r="FC87" s="11" t="n">
        <v>0</v>
      </c>
      <c r="FD87" s="11" t="n">
        <v>0</v>
      </c>
      <c r="FE87" s="11" t="s">
        <v>574</v>
      </c>
      <c r="FF87" s="11" t="s">
        <v>324</v>
      </c>
      <c r="FG87" s="11" t="n">
        <v>102</v>
      </c>
      <c r="FH87" s="11" t="s">
        <v>575</v>
      </c>
      <c r="FI87" s="11" t="s">
        <v>59</v>
      </c>
      <c r="FJ87" s="11" t="n">
        <v>0.2</v>
      </c>
      <c r="FK87" s="11" t="n">
        <v>0.126619467303987</v>
      </c>
      <c r="FL87" s="11" t="n">
        <v>0.0669156780179939</v>
      </c>
      <c r="FM87" s="11" t="n">
        <v>0</v>
      </c>
      <c r="FN87" s="11" t="n">
        <v>1</v>
      </c>
      <c r="FO87" s="11" t="n">
        <v>0.614691306838119</v>
      </c>
      <c r="FP87" s="11" t="n">
        <v>0.514159945211755</v>
      </c>
      <c r="FQ87" s="11" t="n">
        <v>0.139705882352941</v>
      </c>
      <c r="FR87" s="11" t="n">
        <v>0</v>
      </c>
      <c r="FS87" s="11" t="n">
        <v>0.613333698735699</v>
      </c>
      <c r="FT87" s="11" t="n">
        <v>0.514070861197667</v>
      </c>
      <c r="FU87" s="11" t="n">
        <v>1</v>
      </c>
      <c r="FV87" s="11" t="n">
        <v>11.2480048895749</v>
      </c>
      <c r="FW87" s="11" t="n">
        <v>302.602672625883</v>
      </c>
      <c r="FX87" s="11" t="n">
        <v>0.0444865881897786</v>
      </c>
      <c r="FY87" s="11" t="n">
        <v>1</v>
      </c>
      <c r="FZ87" s="11" t="n">
        <v>22</v>
      </c>
      <c r="GA87" s="11" t="n">
        <v>1</v>
      </c>
      <c r="GB87" s="11" t="s">
        <v>576</v>
      </c>
      <c r="GC87" s="11" t="n">
        <v>0.764667585784314</v>
      </c>
      <c r="GD87" s="11" t="n">
        <v>0.770737591911765</v>
      </c>
      <c r="GE87" s="11" t="n">
        <v>0.774509803903307</v>
      </c>
      <c r="GF87" s="11" t="n">
        <v>0.774509803921569</v>
      </c>
      <c r="GG87" s="11" t="n">
        <v>0.166666666666667</v>
      </c>
      <c r="GH87" s="11" t="n">
        <v>0.166666666666667</v>
      </c>
      <c r="GI87" s="11" t="n">
        <v>0.0569571272327249</v>
      </c>
      <c r="GJ87" s="11" t="n">
        <v>0.0658110113558816</v>
      </c>
      <c r="GK87" s="11" t="n">
        <v>0.0645833572926604</v>
      </c>
      <c r="GL87" s="11" t="n">
        <v>0.0689835586658149</v>
      </c>
      <c r="GM87" s="11" t="n">
        <v>0.100624943004536</v>
      </c>
      <c r="GN87" s="11" t="n">
        <v>0.102110624515762</v>
      </c>
      <c r="GO87" s="11" t="n">
        <v>0.774203431372549</v>
      </c>
      <c r="GP87" s="11" t="n">
        <v>0.774509803921569</v>
      </c>
      <c r="GQ87" s="11" t="n">
        <v>-0.023158673197031</v>
      </c>
      <c r="GR87" s="11" t="n">
        <v>0</v>
      </c>
      <c r="GS87" s="11" t="n">
        <v>1</v>
      </c>
      <c r="GT87" s="11" t="n">
        <v>0</v>
      </c>
      <c r="GU87" s="11" t="n">
        <v>0</v>
      </c>
      <c r="GV87" s="11" t="n">
        <v>1</v>
      </c>
      <c r="GW87" s="11" t="n">
        <v>1</v>
      </c>
      <c r="GX87" s="11" t="n">
        <v>1</v>
      </c>
      <c r="GY87" s="11" t="n">
        <v>1</v>
      </c>
      <c r="GZ87" s="11" t="n">
        <v>1</v>
      </c>
      <c r="HA87" s="11" t="n">
        <v>1</v>
      </c>
      <c r="HB87" s="11" t="n">
        <v>1</v>
      </c>
      <c r="HC87" s="11" t="n">
        <v>1</v>
      </c>
      <c r="HD87" s="11" t="n">
        <v>1</v>
      </c>
      <c r="HE87" s="11" t="n">
        <v>0</v>
      </c>
      <c r="HF87" s="11" t="n">
        <v>1</v>
      </c>
      <c r="HG87" s="11" t="n">
        <v>1</v>
      </c>
      <c r="HH87" s="11" t="n">
        <v>1</v>
      </c>
      <c r="HI87" s="11" t="n">
        <v>0</v>
      </c>
      <c r="HJ87" s="11" t="n">
        <v>0</v>
      </c>
      <c r="HK87" s="11" t="s">
        <v>143</v>
      </c>
      <c r="HL87" s="11" t="s">
        <v>577</v>
      </c>
      <c r="HM87" s="11" t="n">
        <v>1</v>
      </c>
      <c r="HN87" s="11" t="s">
        <v>1037</v>
      </c>
      <c r="HO87" s="11" t="s">
        <v>1038</v>
      </c>
      <c r="HP87" s="11" t="s">
        <v>1038</v>
      </c>
      <c r="HQ87" s="11" t="n">
        <v>0</v>
      </c>
      <c r="HR87" s="11" t="s">
        <v>189</v>
      </c>
      <c r="HS87" s="11" t="s">
        <v>300</v>
      </c>
      <c r="HT87" s="11" t="s">
        <v>300</v>
      </c>
      <c r="HU87" s="11" t="s">
        <v>1166</v>
      </c>
      <c r="HV87" s="11" t="s">
        <v>1166</v>
      </c>
      <c r="HW87" s="11" t="s">
        <v>968</v>
      </c>
      <c r="HX87" s="11" t="s">
        <v>961</v>
      </c>
      <c r="HY87" s="11" t="s">
        <v>583</v>
      </c>
      <c r="HZ87" s="11" t="s">
        <v>1167</v>
      </c>
      <c r="IA87" s="11" t="s">
        <v>1165</v>
      </c>
      <c r="IB87" s="11" t="s">
        <v>1168</v>
      </c>
      <c r="IC87" s="11" t="s">
        <v>324</v>
      </c>
      <c r="ID87" s="11" t="s">
        <v>964</v>
      </c>
      <c r="IE87" s="11" t="s">
        <v>198</v>
      </c>
      <c r="IF87" s="11" t="s">
        <v>205</v>
      </c>
      <c r="IG87" s="11" t="s">
        <v>211</v>
      </c>
      <c r="IH87" s="11" t="s">
        <v>1048</v>
      </c>
    </row>
    <row r="88" customFormat="false" ht="15" hidden="false" customHeight="false" outlineLevel="0" collapsed="false">
      <c r="A88" s="11" t="s">
        <v>109</v>
      </c>
      <c r="B88" s="11" t="s">
        <v>1169</v>
      </c>
      <c r="C88" s="11" t="s">
        <v>1035</v>
      </c>
      <c r="D88" s="11" t="s">
        <v>570</v>
      </c>
      <c r="E88" s="11" t="s">
        <v>51</v>
      </c>
      <c r="F88" s="11"/>
      <c r="G88" s="11"/>
      <c r="H88" s="11" t="s">
        <v>1170</v>
      </c>
      <c r="I88" s="11" t="s">
        <v>328</v>
      </c>
      <c r="J88" s="11" t="n">
        <v>107</v>
      </c>
      <c r="K88" s="11" t="n">
        <v>3.56666666666667</v>
      </c>
      <c r="L88" s="11" t="n">
        <v>0.746991217136383</v>
      </c>
      <c r="M88" s="11" t="n">
        <v>0.804318904876709</v>
      </c>
      <c r="N88" s="11" t="n">
        <v>0</v>
      </c>
      <c r="O88" s="11" t="n">
        <v>1.14532040678321</v>
      </c>
      <c r="P88" s="11" t="n">
        <v>0.913818821995737</v>
      </c>
      <c r="Q88" s="11" t="n">
        <v>0.199877292686334</v>
      </c>
      <c r="R88" s="11" t="n">
        <v>0.214953271028037</v>
      </c>
      <c r="S88" s="11" t="n">
        <v>0.205607476635514</v>
      </c>
      <c r="T88" s="11" t="n">
        <v>0.00934579439252336</v>
      </c>
      <c r="U88" s="11" t="n">
        <v>0</v>
      </c>
      <c r="V88" s="11" t="n">
        <v>0</v>
      </c>
      <c r="W88" s="11" t="n">
        <v>0.663551401869159</v>
      </c>
      <c r="X88" s="11" t="n">
        <v>0.158878504672897</v>
      </c>
      <c r="Y88" s="11" t="n">
        <v>0.411214953271028</v>
      </c>
      <c r="Z88" s="11" t="n">
        <v>0.588785046728972</v>
      </c>
      <c r="AA88" s="11" t="n">
        <v>0.252336448598131</v>
      </c>
      <c r="AB88" s="11" t="n">
        <v>0.0747663551401869</v>
      </c>
      <c r="AC88" s="11" t="n">
        <v>-0.00295477243467341</v>
      </c>
      <c r="AD88" s="11" t="n">
        <v>-0.00790393740902949</v>
      </c>
      <c r="AE88" s="11" t="n">
        <v>0.76056338028169</v>
      </c>
      <c r="AF88" s="11" t="n">
        <v>0.380281690140845</v>
      </c>
      <c r="AG88" s="11" t="n">
        <v>0.112676056338028</v>
      </c>
      <c r="AH88" s="11" t="n">
        <v>0.504672897196262</v>
      </c>
      <c r="AI88" s="11" t="n">
        <v>0.252336448598131</v>
      </c>
      <c r="AJ88" s="11" t="n">
        <v>0.0747663551401869</v>
      </c>
      <c r="AK88" s="11" t="n">
        <v>0.384524155740954</v>
      </c>
      <c r="AL88" s="11" t="n">
        <v>0</v>
      </c>
      <c r="AM88" s="11" t="n">
        <v>0</v>
      </c>
      <c r="AN88" s="11" t="n">
        <v>0</v>
      </c>
      <c r="AO88" s="11"/>
      <c r="AP88" s="11"/>
      <c r="AQ88" s="11"/>
      <c r="AR88" s="11" t="n">
        <v>0</v>
      </c>
      <c r="AS88" s="11" t="n">
        <v>0.177570093457944</v>
      </c>
      <c r="AT88" s="11" t="n">
        <v>0.0186915887850467</v>
      </c>
      <c r="AU88" s="11" t="n">
        <v>0.0186915887850467</v>
      </c>
      <c r="AV88" s="11" t="n">
        <v>0</v>
      </c>
      <c r="AW88" s="11" t="n">
        <v>0</v>
      </c>
      <c r="AX88" s="11" t="n">
        <v>0</v>
      </c>
      <c r="AY88" s="11" t="n">
        <v>0.00724078552549294</v>
      </c>
      <c r="AZ88" s="11" t="n">
        <v>0.0206348379073728</v>
      </c>
      <c r="BA88" s="11"/>
      <c r="BB88" s="11" t="n">
        <v>0.626168224299065</v>
      </c>
      <c r="BC88" s="11" t="n">
        <v>0.831775700934579</v>
      </c>
      <c r="BD88" s="11" t="n">
        <v>0.635514018691589</v>
      </c>
      <c r="BE88" s="11" t="n">
        <v>0.88785046728972</v>
      </c>
      <c r="BF88" s="11" t="n">
        <v>0.757009345794392</v>
      </c>
      <c r="BG88" s="11" t="n">
        <v>0.981308411214953</v>
      </c>
      <c r="BH88" s="11" t="n">
        <v>0.803738317757009</v>
      </c>
      <c r="BI88" s="11" t="n">
        <v>1</v>
      </c>
      <c r="BJ88" s="11" t="n">
        <v>0.160683429602753</v>
      </c>
      <c r="BK88" s="11" t="n">
        <v>0.0579124967205445</v>
      </c>
      <c r="BL88" s="11" t="n">
        <v>0.110060000076349</v>
      </c>
      <c r="BM88" s="11" t="n">
        <v>0.0510764921109186</v>
      </c>
      <c r="BN88" s="11" t="n">
        <v>0.448504393273116</v>
      </c>
      <c r="BO88" s="11" t="n">
        <v>0.284901551387148</v>
      </c>
      <c r="BP88" s="11" t="n">
        <v>0.00769028092058358</v>
      </c>
      <c r="BQ88" s="11" t="n">
        <v>0.00205693208131963</v>
      </c>
      <c r="BR88" s="11" t="n">
        <v>3.54279417128065</v>
      </c>
      <c r="BS88" s="11" t="n">
        <v>13.5234158127176</v>
      </c>
      <c r="BT88" s="11" t="n">
        <v>23.1748468219478</v>
      </c>
      <c r="BU88" s="11" t="n">
        <v>16.0683429602752</v>
      </c>
      <c r="BV88" s="11" t="n">
        <v>6.30597349758378</v>
      </c>
      <c r="BW88" s="11" t="n">
        <v>9.48665613096294</v>
      </c>
      <c r="BX88" s="11" t="n">
        <v>2.95456244714251</v>
      </c>
      <c r="BY88" s="11" t="n">
        <v>5.94102716630453</v>
      </c>
      <c r="BZ88" s="11" t="n">
        <v>0.766355140186916</v>
      </c>
      <c r="CA88" s="11" t="n">
        <v>0.865853658536585</v>
      </c>
      <c r="CB88" s="11" t="n">
        <v>0.207317073170732</v>
      </c>
      <c r="CC88" s="11" t="n">
        <v>0.536585365853659</v>
      </c>
      <c r="CD88" s="11" t="n">
        <v>0.768292682926829</v>
      </c>
      <c r="CE88" s="11" t="n">
        <v>0.766355140186916</v>
      </c>
      <c r="CF88" s="11" t="n">
        <v>5</v>
      </c>
      <c r="CG88" s="11" t="n">
        <v>0</v>
      </c>
      <c r="CH88" s="11" t="n">
        <v>0.865853658536585</v>
      </c>
      <c r="CI88" s="11" t="n">
        <v>0.536585365853659</v>
      </c>
      <c r="CJ88" s="11" t="n">
        <v>0.768292682926829</v>
      </c>
      <c r="CK88" s="11" t="n">
        <v>0</v>
      </c>
      <c r="CL88" s="11" t="n">
        <v>0</v>
      </c>
      <c r="CM88" s="11" t="n">
        <v>0</v>
      </c>
      <c r="CN88" s="11" t="n">
        <v>0</v>
      </c>
      <c r="CO88" s="11" t="n">
        <v>0</v>
      </c>
      <c r="CP88" s="11" t="n">
        <v>0</v>
      </c>
      <c r="CQ88" s="11" t="n">
        <v>0</v>
      </c>
      <c r="CR88" s="11" t="n">
        <v>0</v>
      </c>
      <c r="CS88" s="11" t="n">
        <v>0</v>
      </c>
      <c r="CT88" s="11" t="n">
        <v>0</v>
      </c>
      <c r="CU88" s="11" t="n">
        <v>0</v>
      </c>
      <c r="CV88" s="11" t="n">
        <v>0</v>
      </c>
      <c r="CW88" s="11" t="n">
        <v>0.0121951219512195</v>
      </c>
      <c r="CX88" s="11" t="n">
        <v>0</v>
      </c>
      <c r="CY88" s="11" t="n">
        <v>-0.0160345661320418</v>
      </c>
      <c r="CZ88" s="11" t="n">
        <v>-0.0775975039743048</v>
      </c>
      <c r="DA88" s="11" t="n">
        <v>8.71852502727922</v>
      </c>
      <c r="DB88" s="11" t="n">
        <v>-0.0343382830586383</v>
      </c>
      <c r="DC88" s="11" t="n">
        <v>14.3394199302396</v>
      </c>
      <c r="DD88" s="11" t="n">
        <v>0.235152885451995</v>
      </c>
      <c r="DE88" s="11" t="n">
        <v>0.570093457943925</v>
      </c>
      <c r="DF88" s="11" t="n">
        <v>-0.0708250448472679</v>
      </c>
      <c r="DG88" s="11" t="n">
        <v>-0.00787462458570875</v>
      </c>
      <c r="DH88" s="11" t="n">
        <v>-6.29504202615591</v>
      </c>
      <c r="DI88" s="11" t="n">
        <v>127.456695339773</v>
      </c>
      <c r="DJ88" s="11" t="n">
        <v>50.6310879457153</v>
      </c>
      <c r="DK88" s="11" t="n">
        <v>12.4688056392148</v>
      </c>
      <c r="DL88" s="11" t="n">
        <v>49.05</v>
      </c>
      <c r="DM88" s="11" t="n">
        <v>0.242990654205607</v>
      </c>
      <c r="DN88" s="11" t="n">
        <v>0.233644859813084</v>
      </c>
      <c r="DO88" s="11" t="n">
        <v>-0.0115192361348847</v>
      </c>
      <c r="DP88" s="11" t="n">
        <v>0</v>
      </c>
      <c r="DQ88" s="11" t="n">
        <v>0</v>
      </c>
      <c r="DR88" s="11" t="n">
        <v>0</v>
      </c>
      <c r="DS88" s="11" t="n">
        <v>0</v>
      </c>
      <c r="DT88" s="11" t="n">
        <v>0</v>
      </c>
      <c r="DU88" s="11" t="n">
        <v>0</v>
      </c>
      <c r="DV88" s="11" t="n">
        <v>5</v>
      </c>
      <c r="DW88" s="11" t="s">
        <v>573</v>
      </c>
      <c r="DX88" s="11" t="n">
        <v>0.406307</v>
      </c>
      <c r="DY88" s="11" t="n">
        <v>0.0869863255642391</v>
      </c>
      <c r="DZ88" s="11" t="n">
        <v>0.725627674435761</v>
      </c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 t="n">
        <v>6.03097095534915</v>
      </c>
      <c r="EP88" s="11" t="n">
        <v>79.7255453802367</v>
      </c>
      <c r="EQ88" s="11" t="n">
        <v>1688.72958611317</v>
      </c>
      <c r="ER88" s="11" t="n">
        <v>3.21646209307713</v>
      </c>
      <c r="ES88" s="11" t="n">
        <v>3.21646209307713</v>
      </c>
      <c r="ET88" s="11" t="n">
        <v>2.74170717828164</v>
      </c>
      <c r="EU88" s="11" t="n">
        <v>58.1612226857461</v>
      </c>
      <c r="EV88" s="11" t="n">
        <v>58.1612226857461</v>
      </c>
      <c r="EW88" s="11" t="n">
        <v>469.424145589844</v>
      </c>
      <c r="EX88" s="11" t="n">
        <v>601.82965506785</v>
      </c>
      <c r="EY88" s="11" t="n">
        <v>1.24059230481973</v>
      </c>
      <c r="EZ88" s="11" t="n">
        <v>1.00915835653892</v>
      </c>
      <c r="FA88" s="11" t="n">
        <v>0.0495468439927189</v>
      </c>
      <c r="FB88" s="11" t="n">
        <v>1</v>
      </c>
      <c r="FC88" s="11" t="n">
        <v>0</v>
      </c>
      <c r="FD88" s="11" t="n">
        <v>0</v>
      </c>
      <c r="FE88" s="11" t="s">
        <v>574</v>
      </c>
      <c r="FF88" s="11" t="s">
        <v>329</v>
      </c>
      <c r="FG88" s="11" t="n">
        <v>107</v>
      </c>
      <c r="FH88" s="11" t="s">
        <v>575</v>
      </c>
      <c r="FI88" s="11" t="s">
        <v>59</v>
      </c>
      <c r="FJ88" s="11" t="n">
        <v>0.2</v>
      </c>
      <c r="FK88" s="11" t="n">
        <v>0.117232783513971</v>
      </c>
      <c r="FL88" s="11" t="n">
        <v>0.0845300364182804</v>
      </c>
      <c r="FM88" s="11" t="n">
        <v>0</v>
      </c>
      <c r="FN88" s="11" t="n">
        <v>1</v>
      </c>
      <c r="FO88" s="11" t="n">
        <v>0.524718438692562</v>
      </c>
      <c r="FP88" s="11" t="n">
        <v>0.34286014450321</v>
      </c>
      <c r="FQ88" s="11" t="n">
        <v>0.102803738317757</v>
      </c>
      <c r="FR88" s="11" t="n">
        <v>0</v>
      </c>
      <c r="FS88" s="11" t="n">
        <v>0.524705280142409</v>
      </c>
      <c r="FT88" s="11" t="n">
        <v>0.3423625321586</v>
      </c>
      <c r="FU88" s="11" t="n">
        <v>1</v>
      </c>
      <c r="FV88" s="11" t="n">
        <v>4.9538831910091</v>
      </c>
      <c r="FW88" s="11" t="n">
        <v>156.620538467086</v>
      </c>
      <c r="FX88" s="11" t="n">
        <v>0.0132037410082702</v>
      </c>
      <c r="FY88" s="11" t="n">
        <v>1</v>
      </c>
      <c r="FZ88" s="11" t="n">
        <v>18</v>
      </c>
      <c r="GA88" s="11" t="n">
        <v>1</v>
      </c>
      <c r="GB88" s="11" t="s">
        <v>576</v>
      </c>
      <c r="GC88" s="11" t="n">
        <v>0.656942492333528</v>
      </c>
      <c r="GD88" s="11" t="n">
        <v>0.663505768107477</v>
      </c>
      <c r="GE88" s="11" t="n">
        <v>0.6626322842437</v>
      </c>
      <c r="GF88" s="11" t="n">
        <v>0.663551401869159</v>
      </c>
      <c r="GG88" s="11" t="n">
        <v>0.280373831775701</v>
      </c>
      <c r="GH88" s="11" t="n">
        <v>0.280373831775701</v>
      </c>
      <c r="GI88" s="11" t="n">
        <v>0.0124183523132211</v>
      </c>
      <c r="GJ88" s="11" t="n">
        <v>0.0236334089346439</v>
      </c>
      <c r="GK88" s="11" t="n">
        <v>0.0208845205841554</v>
      </c>
      <c r="GL88" s="11" t="n">
        <v>0.0257129505560646</v>
      </c>
      <c r="GM88" s="11" t="n">
        <v>0.0508452106818656</v>
      </c>
      <c r="GN88" s="11" t="n">
        <v>0.0435342303712234</v>
      </c>
      <c r="GO88" s="11" t="n">
        <v>0.662091121495327</v>
      </c>
      <c r="GP88" s="11" t="n">
        <v>0.663551401869159</v>
      </c>
      <c r="GQ88" s="11" t="n">
        <v>-0.0356851816177368</v>
      </c>
      <c r="GR88" s="11" t="n">
        <v>0</v>
      </c>
      <c r="GS88" s="11" t="n">
        <v>1</v>
      </c>
      <c r="GT88" s="11" t="n">
        <v>0</v>
      </c>
      <c r="GU88" s="11" t="n">
        <v>0</v>
      </c>
      <c r="GV88" s="11" t="n">
        <v>1</v>
      </c>
      <c r="GW88" s="11" t="n">
        <v>1</v>
      </c>
      <c r="GX88" s="11" t="n">
        <v>1</v>
      </c>
      <c r="GY88" s="11" t="n">
        <v>1</v>
      </c>
      <c r="GZ88" s="11" t="n">
        <v>1</v>
      </c>
      <c r="HA88" s="11" t="n">
        <v>1</v>
      </c>
      <c r="HB88" s="11" t="n">
        <v>1</v>
      </c>
      <c r="HC88" s="11" t="n">
        <v>1</v>
      </c>
      <c r="HD88" s="11" t="n">
        <v>1</v>
      </c>
      <c r="HE88" s="11" t="n">
        <v>0</v>
      </c>
      <c r="HF88" s="11" t="n">
        <v>1</v>
      </c>
      <c r="HG88" s="11" t="n">
        <v>1</v>
      </c>
      <c r="HH88" s="11" t="n">
        <v>1</v>
      </c>
      <c r="HI88" s="11" t="n">
        <v>0</v>
      </c>
      <c r="HJ88" s="11" t="n">
        <v>0</v>
      </c>
      <c r="HK88" s="11" t="s">
        <v>143</v>
      </c>
      <c r="HL88" s="11" t="s">
        <v>577</v>
      </c>
      <c r="HM88" s="11" t="n">
        <v>1</v>
      </c>
      <c r="HN88" s="11" t="s">
        <v>1037</v>
      </c>
      <c r="HO88" s="11" t="s">
        <v>1038</v>
      </c>
      <c r="HP88" s="11" t="s">
        <v>1038</v>
      </c>
      <c r="HQ88" s="11" t="n">
        <v>0</v>
      </c>
      <c r="HR88" s="11" t="s">
        <v>189</v>
      </c>
      <c r="HS88" s="11" t="s">
        <v>300</v>
      </c>
      <c r="HT88" s="11" t="s">
        <v>300</v>
      </c>
      <c r="HU88" s="11" t="s">
        <v>1171</v>
      </c>
      <c r="HV88" s="11" t="s">
        <v>1171</v>
      </c>
      <c r="HW88" s="11" t="s">
        <v>983</v>
      </c>
      <c r="HX88" s="11" t="s">
        <v>976</v>
      </c>
      <c r="HY88" s="11" t="s">
        <v>583</v>
      </c>
      <c r="HZ88" s="11" t="s">
        <v>1172</v>
      </c>
      <c r="IA88" s="11" t="s">
        <v>1170</v>
      </c>
      <c r="IB88" s="11" t="s">
        <v>1173</v>
      </c>
      <c r="IC88" s="11" t="s">
        <v>329</v>
      </c>
      <c r="ID88" s="11" t="s">
        <v>979</v>
      </c>
      <c r="IE88" s="11" t="s">
        <v>198</v>
      </c>
      <c r="IF88" s="11" t="s">
        <v>191</v>
      </c>
      <c r="IG88" s="11" t="s">
        <v>197</v>
      </c>
      <c r="IH88" s="11" t="s">
        <v>1048</v>
      </c>
    </row>
    <row r="89" customFormat="false" ht="15" hidden="false" customHeight="false" outlineLevel="0" collapsed="false">
      <c r="A89" s="11" t="s">
        <v>110</v>
      </c>
      <c r="B89" s="11" t="s">
        <v>1174</v>
      </c>
      <c r="C89" s="11" t="s">
        <v>1035</v>
      </c>
      <c r="D89" s="11" t="s">
        <v>570</v>
      </c>
      <c r="E89" s="11" t="s">
        <v>51</v>
      </c>
      <c r="F89" s="11"/>
      <c r="G89" s="11"/>
      <c r="H89" s="11" t="s">
        <v>1175</v>
      </c>
      <c r="I89" s="11" t="s">
        <v>333</v>
      </c>
      <c r="J89" s="11" t="n">
        <v>190</v>
      </c>
      <c r="K89" s="11" t="n">
        <v>6.33333333333333</v>
      </c>
      <c r="L89" s="11" t="n">
        <v>0.740691840648651</v>
      </c>
      <c r="M89" s="11" t="n">
        <v>0.801230072975159</v>
      </c>
      <c r="N89" s="11" t="n">
        <v>0</v>
      </c>
      <c r="O89" s="11" t="n">
        <v>1.45963169867617</v>
      </c>
      <c r="P89" s="11" t="n">
        <v>0.897426647974939</v>
      </c>
      <c r="Q89" s="11" t="n">
        <v>0.216051897570278</v>
      </c>
      <c r="R89" s="11" t="n">
        <v>0.521052631578947</v>
      </c>
      <c r="S89" s="11" t="n">
        <v>0.331578947368421</v>
      </c>
      <c r="T89" s="11" t="n">
        <v>0.0157894736842105</v>
      </c>
      <c r="U89" s="11" t="n">
        <v>0</v>
      </c>
      <c r="V89" s="11" t="n">
        <v>0</v>
      </c>
      <c r="W89" s="11" t="n">
        <v>0.410526315789474</v>
      </c>
      <c r="X89" s="11" t="n">
        <v>0.342105263157895</v>
      </c>
      <c r="Y89" s="11" t="n">
        <v>0.384210526315789</v>
      </c>
      <c r="Z89" s="11" t="n">
        <v>0.405263157894737</v>
      </c>
      <c r="AA89" s="11" t="n">
        <v>0.0263157894736842</v>
      </c>
      <c r="AB89" s="11" t="n">
        <v>0.00526315789473684</v>
      </c>
      <c r="AC89" s="11" t="n">
        <v>-0.00108988826287169</v>
      </c>
      <c r="AD89" s="11" t="n">
        <v>-0.00515734503528087</v>
      </c>
      <c r="AE89" s="11" t="n">
        <v>0.160919540229885</v>
      </c>
      <c r="AF89" s="11" t="n">
        <v>0.0574712643678161</v>
      </c>
      <c r="AG89" s="11" t="n">
        <v>0.0114942528735632</v>
      </c>
      <c r="AH89" s="11" t="n">
        <v>0.068421052631579</v>
      </c>
      <c r="AI89" s="11" t="n">
        <v>0.0263157894736842</v>
      </c>
      <c r="AJ89" s="11" t="n">
        <v>0.00526315789473684</v>
      </c>
      <c r="AK89" s="11" t="n">
        <v>0.375403992007993</v>
      </c>
      <c r="AL89" s="11" t="n">
        <v>0</v>
      </c>
      <c r="AM89" s="11" t="n">
        <v>0</v>
      </c>
      <c r="AN89" s="11" t="n">
        <v>0</v>
      </c>
      <c r="AO89" s="11"/>
      <c r="AP89" s="11"/>
      <c r="AQ89" s="11"/>
      <c r="AR89" s="11" t="n">
        <v>0</v>
      </c>
      <c r="AS89" s="11" t="n">
        <v>0</v>
      </c>
      <c r="AT89" s="11" t="n">
        <v>0</v>
      </c>
      <c r="AU89" s="11" t="n">
        <v>0</v>
      </c>
      <c r="AV89" s="11" t="n">
        <v>0</v>
      </c>
      <c r="AW89" s="11" t="n">
        <v>0</v>
      </c>
      <c r="AX89" s="11" t="n">
        <v>0</v>
      </c>
      <c r="AY89" s="11" t="n">
        <v>0.00367724642698038</v>
      </c>
      <c r="AZ89" s="11" t="n">
        <v>0.0182301831712464</v>
      </c>
      <c r="BA89" s="11"/>
      <c r="BB89" s="11" t="n">
        <v>0.252631578947368</v>
      </c>
      <c r="BC89" s="11" t="n">
        <v>0.610526315789474</v>
      </c>
      <c r="BD89" s="11" t="n">
        <v>0.468421052631579</v>
      </c>
      <c r="BE89" s="11" t="n">
        <v>0.636842105263158</v>
      </c>
      <c r="BF89" s="11" t="n">
        <v>0.526315789473684</v>
      </c>
      <c r="BG89" s="11" t="n">
        <v>0.68421052631579</v>
      </c>
      <c r="BH89" s="11" t="n">
        <v>0.568421052631579</v>
      </c>
      <c r="BI89" s="11" t="n">
        <v>0.736842105263158</v>
      </c>
      <c r="BJ89" s="11" t="n">
        <v>0.184446873598602</v>
      </c>
      <c r="BK89" s="11" t="n">
        <v>0.553015219769164</v>
      </c>
      <c r="BL89" s="11" t="n">
        <v>0.0820501411559367</v>
      </c>
      <c r="BM89" s="11" t="n">
        <v>0.0122010791616302</v>
      </c>
      <c r="BN89" s="11" t="n">
        <v>0.321473508093848</v>
      </c>
      <c r="BO89" s="11" t="n">
        <v>0.100977519435522</v>
      </c>
      <c r="BP89" s="11" t="n">
        <v>0.00792081676817174</v>
      </c>
      <c r="BQ89" s="11" t="n">
        <v>0.00366238828402497</v>
      </c>
      <c r="BR89" s="11" t="n">
        <v>2.45407268260318</v>
      </c>
      <c r="BS89" s="11" t="n">
        <v>19.1817882227027</v>
      </c>
      <c r="BT89" s="11" t="n">
        <v>10.4603233596512</v>
      </c>
      <c r="BU89" s="11" t="n">
        <v>18.4446873598602</v>
      </c>
      <c r="BV89" s="11" t="n">
        <v>4.70112679668681</v>
      </c>
      <c r="BW89" s="11" t="n">
        <v>5.18803966550844</v>
      </c>
      <c r="BX89" s="11" t="n">
        <v>1.95088410945214</v>
      </c>
      <c r="BY89" s="11" t="n">
        <v>3.5172158625006</v>
      </c>
      <c r="BZ89" s="11" t="n">
        <v>0.48421052631579</v>
      </c>
      <c r="CA89" s="11" t="n">
        <v>0.75</v>
      </c>
      <c r="CB89" s="11" t="n">
        <v>0.608695652173913</v>
      </c>
      <c r="CC89" s="11" t="n">
        <v>0.695652173913043</v>
      </c>
      <c r="CD89" s="11" t="n">
        <v>0.739130434782609</v>
      </c>
      <c r="CE89" s="11" t="n">
        <v>0.48421052631579</v>
      </c>
      <c r="CF89" s="11" t="n">
        <v>5</v>
      </c>
      <c r="CG89" s="11" t="n">
        <v>0</v>
      </c>
      <c r="CH89" s="11" t="n">
        <v>0.75</v>
      </c>
      <c r="CI89" s="11" t="n">
        <v>0.695652173913043</v>
      </c>
      <c r="CJ89" s="11" t="n">
        <v>0.739130434782609</v>
      </c>
      <c r="CK89" s="11" t="n">
        <v>0.0918367346938776</v>
      </c>
      <c r="CL89" s="11" t="n">
        <v>0.0918367346938776</v>
      </c>
      <c r="CM89" s="11" t="n">
        <v>0.0918367346938776</v>
      </c>
      <c r="CN89" s="11" t="n">
        <v>0.0918367346938776</v>
      </c>
      <c r="CO89" s="11" t="n">
        <v>0</v>
      </c>
      <c r="CP89" s="11" t="n">
        <v>0</v>
      </c>
      <c r="CQ89" s="11" t="n">
        <v>0</v>
      </c>
      <c r="CR89" s="11" t="n">
        <v>0</v>
      </c>
      <c r="CS89" s="11" t="n">
        <v>0.1125</v>
      </c>
      <c r="CT89" s="11" t="n">
        <v>0.1125</v>
      </c>
      <c r="CU89" s="11" t="n">
        <v>0.1125</v>
      </c>
      <c r="CV89" s="11" t="n">
        <v>0.1125</v>
      </c>
      <c r="CW89" s="11" t="n">
        <v>0.0326086956521739</v>
      </c>
      <c r="CX89" s="11" t="n">
        <v>0</v>
      </c>
      <c r="CY89" s="11" t="n">
        <v>0.00252087393775629</v>
      </c>
      <c r="CZ89" s="11" t="n">
        <v>-0.032327889829962</v>
      </c>
      <c r="DA89" s="11" t="n">
        <v>4.2691875597842</v>
      </c>
      <c r="DB89" s="11" t="n">
        <v>-0.0184716711915195</v>
      </c>
      <c r="DC89" s="11" t="n">
        <v>11.69606609122</v>
      </c>
      <c r="DD89" s="11" t="n">
        <v>0.23501420717753</v>
      </c>
      <c r="DE89" s="11" t="n">
        <v>0.305263157894737</v>
      </c>
      <c r="DF89" s="11" t="n">
        <v>-0.00121579891605253</v>
      </c>
      <c r="DG89" s="11" t="n">
        <v>-0.0317726310284994</v>
      </c>
      <c r="DH89" s="11" t="n">
        <v>3.05568321124469</v>
      </c>
      <c r="DI89" s="11" t="n">
        <v>111.143036218261</v>
      </c>
      <c r="DJ89" s="11" t="n">
        <v>48.3878536660211</v>
      </c>
      <c r="DK89" s="11" t="n">
        <v>9.76099057209279</v>
      </c>
      <c r="DL89" s="11" t="n">
        <v>49.05</v>
      </c>
      <c r="DM89" s="11" t="n">
        <v>0.505263157894737</v>
      </c>
      <c r="DN89" s="11" t="n">
        <v>0.431578947368421</v>
      </c>
      <c r="DO89" s="11" t="n">
        <v>-0.0135146663745893</v>
      </c>
      <c r="DP89" s="11" t="n">
        <v>0</v>
      </c>
      <c r="DQ89" s="11" t="n">
        <v>0</v>
      </c>
      <c r="DR89" s="11" t="n">
        <v>0</v>
      </c>
      <c r="DS89" s="11" t="n">
        <v>0</v>
      </c>
      <c r="DT89" s="11" t="n">
        <v>0</v>
      </c>
      <c r="DU89" s="11" t="n">
        <v>0</v>
      </c>
      <c r="DV89" s="11" t="n">
        <v>5</v>
      </c>
      <c r="DW89" s="11" t="s">
        <v>573</v>
      </c>
      <c r="DX89" s="11" t="n">
        <v>0.406307</v>
      </c>
      <c r="DY89" s="11" t="n">
        <v>-0.0129055221311265</v>
      </c>
      <c r="DZ89" s="11" t="n">
        <v>0.825519522131126</v>
      </c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 t="n">
        <v>5.72548553157953</v>
      </c>
      <c r="EP89" s="11" t="n">
        <v>69.4934478029032</v>
      </c>
      <c r="EQ89" s="11" t="n">
        <v>1572.78371533263</v>
      </c>
      <c r="ER89" s="11" t="n">
        <v>3.17009454754519</v>
      </c>
      <c r="ES89" s="11" t="n">
        <v>3.17009454754519</v>
      </c>
      <c r="ET89" s="11" t="n">
        <v>1.9951997566526</v>
      </c>
      <c r="EU89" s="11" t="n">
        <v>37.6049207238712</v>
      </c>
      <c r="EV89" s="11" t="n">
        <v>37.6049207238712</v>
      </c>
      <c r="EW89" s="11" t="n">
        <v>461.229179565812</v>
      </c>
      <c r="EX89" s="11" t="n">
        <v>601.285871592218</v>
      </c>
      <c r="EY89" s="11" t="n">
        <v>1.09143819287659</v>
      </c>
      <c r="EZ89" s="11" t="n">
        <v>0.744054788589498</v>
      </c>
      <c r="FA89" s="11" t="n">
        <v>0.0497369401961589</v>
      </c>
      <c r="FB89" s="11" t="n">
        <v>1</v>
      </c>
      <c r="FC89" s="11" t="n">
        <v>0</v>
      </c>
      <c r="FD89" s="11" t="n">
        <v>0</v>
      </c>
      <c r="FE89" s="11" t="s">
        <v>574</v>
      </c>
      <c r="FF89" s="11" t="s">
        <v>334</v>
      </c>
      <c r="FG89" s="11" t="n">
        <v>190</v>
      </c>
      <c r="FH89" s="11" t="s">
        <v>575</v>
      </c>
      <c r="FI89" s="11" t="s">
        <v>59</v>
      </c>
      <c r="FJ89" s="11" t="n">
        <v>0.2</v>
      </c>
      <c r="FK89" s="11" t="n">
        <v>0.105429722941731</v>
      </c>
      <c r="FL89" s="11" t="n">
        <v>0.0481226675793689</v>
      </c>
      <c r="FM89" s="11" t="n">
        <v>0</v>
      </c>
      <c r="FN89" s="11" t="n">
        <v>1</v>
      </c>
      <c r="FO89" s="11" t="n">
        <v>0.613473302637188</v>
      </c>
      <c r="FP89" s="11" t="n">
        <v>0.562229865234926</v>
      </c>
      <c r="FQ89" s="11" t="n">
        <v>0.232894736842105</v>
      </c>
      <c r="FR89" s="11" t="n">
        <v>0</v>
      </c>
      <c r="FS89" s="11" t="n">
        <v>0.613458815317804</v>
      </c>
      <c r="FT89" s="11" t="n">
        <v>0.562217349480817</v>
      </c>
      <c r="FU89" s="11" t="n">
        <v>1</v>
      </c>
      <c r="FV89" s="11" t="n">
        <v>5.62861267266872</v>
      </c>
      <c r="FW89" s="11" t="n">
        <v>192.80316548662</v>
      </c>
      <c r="FX89" s="11" t="n">
        <v>0.011106018470465</v>
      </c>
      <c r="FY89" s="11" t="n">
        <v>1</v>
      </c>
      <c r="FZ89" s="11" t="n">
        <v>80</v>
      </c>
      <c r="GA89" s="11" t="n">
        <v>1</v>
      </c>
      <c r="GB89" s="11" t="s">
        <v>576</v>
      </c>
      <c r="GC89" s="11" t="n">
        <v>0.95975341796875</v>
      </c>
      <c r="GD89" s="11" t="n">
        <v>0.968338815789474</v>
      </c>
      <c r="GE89" s="11" t="n">
        <v>0.968421052631579</v>
      </c>
      <c r="GF89" s="11" t="n">
        <v>0.968421052631579</v>
      </c>
      <c r="GG89" s="11" t="n">
        <v>0</v>
      </c>
      <c r="GH89" s="11" t="n">
        <v>0</v>
      </c>
      <c r="GI89" s="11" t="n">
        <v>0.117291018011823</v>
      </c>
      <c r="GJ89" s="11" t="n">
        <v>0.128879409459861</v>
      </c>
      <c r="GK89" s="11" t="n">
        <v>0.125916689494163</v>
      </c>
      <c r="GL89" s="11" t="n">
        <v>0.130685739371141</v>
      </c>
      <c r="GM89" s="11" t="n">
        <v>0.000757786292624767</v>
      </c>
      <c r="GN89" s="11" t="n">
        <v>1.713267594919E-006</v>
      </c>
      <c r="GO89" s="11" t="n">
        <v>0.968421052631579</v>
      </c>
      <c r="GP89" s="11" t="n">
        <v>0.968421052631579</v>
      </c>
      <c r="GQ89" s="11" t="n">
        <v>-0.0263776928186417</v>
      </c>
      <c r="GR89" s="11" t="n">
        <v>1</v>
      </c>
      <c r="GS89" s="11" t="n">
        <v>1</v>
      </c>
      <c r="GT89" s="11" t="n">
        <v>0</v>
      </c>
      <c r="GU89" s="11" t="n">
        <v>0</v>
      </c>
      <c r="GV89" s="11" t="n">
        <v>1</v>
      </c>
      <c r="GW89" s="11" t="n">
        <v>1</v>
      </c>
      <c r="GX89" s="11" t="n">
        <v>1</v>
      </c>
      <c r="GY89" s="11" t="n">
        <v>1</v>
      </c>
      <c r="GZ89" s="11" t="n">
        <v>1</v>
      </c>
      <c r="HA89" s="11" t="n">
        <v>1</v>
      </c>
      <c r="HB89" s="11" t="n">
        <v>1</v>
      </c>
      <c r="HC89" s="11" t="n">
        <v>1</v>
      </c>
      <c r="HD89" s="11" t="n">
        <v>1</v>
      </c>
      <c r="HE89" s="11" t="n">
        <v>1</v>
      </c>
      <c r="HF89" s="11" t="n">
        <v>1</v>
      </c>
      <c r="HG89" s="11" t="n">
        <v>1</v>
      </c>
      <c r="HH89" s="11" t="n">
        <v>1</v>
      </c>
      <c r="HI89" s="11" t="n">
        <v>1</v>
      </c>
      <c r="HJ89" s="11" t="n">
        <v>1</v>
      </c>
      <c r="HK89" s="11"/>
      <c r="HL89" s="11" t="s">
        <v>577</v>
      </c>
      <c r="HM89" s="11" t="n">
        <v>1</v>
      </c>
      <c r="HN89" s="11" t="s">
        <v>1037</v>
      </c>
      <c r="HO89" s="11" t="s">
        <v>1038</v>
      </c>
      <c r="HP89" s="11" t="s">
        <v>1038</v>
      </c>
      <c r="HQ89" s="11" t="n">
        <v>0</v>
      </c>
      <c r="HR89" s="11" t="s">
        <v>189</v>
      </c>
      <c r="HS89" s="11" t="s">
        <v>300</v>
      </c>
      <c r="HT89" s="11" t="s">
        <v>300</v>
      </c>
      <c r="HU89" s="11" t="s">
        <v>1176</v>
      </c>
      <c r="HV89" s="11" t="s">
        <v>1176</v>
      </c>
      <c r="HW89" s="11" t="s">
        <v>999</v>
      </c>
      <c r="HX89" s="11" t="s">
        <v>992</v>
      </c>
      <c r="HY89" s="11" t="s">
        <v>583</v>
      </c>
      <c r="HZ89" s="11" t="s">
        <v>1177</v>
      </c>
      <c r="IA89" s="11" t="s">
        <v>1175</v>
      </c>
      <c r="IB89" s="11" t="s">
        <v>1178</v>
      </c>
      <c r="IC89" s="11" t="s">
        <v>334</v>
      </c>
      <c r="ID89" s="11" t="s">
        <v>995</v>
      </c>
      <c r="IE89" s="11" t="s">
        <v>198</v>
      </c>
      <c r="IF89" s="11" t="s">
        <v>191</v>
      </c>
      <c r="IG89" s="11" t="s">
        <v>237</v>
      </c>
      <c r="IH89" s="11" t="s">
        <v>1048</v>
      </c>
    </row>
    <row r="90" customFormat="false" ht="15" hidden="false" customHeight="false" outlineLevel="0" collapsed="false">
      <c r="A90" s="11" t="s">
        <v>111</v>
      </c>
      <c r="B90" s="11" t="s">
        <v>1179</v>
      </c>
      <c r="C90" s="11" t="s">
        <v>1035</v>
      </c>
      <c r="D90" s="11" t="s">
        <v>570</v>
      </c>
      <c r="E90" s="11" t="s">
        <v>91</v>
      </c>
      <c r="F90" s="11"/>
      <c r="G90" s="11"/>
      <c r="H90" s="11" t="s">
        <v>1180</v>
      </c>
      <c r="I90" s="11" t="s">
        <v>338</v>
      </c>
      <c r="J90" s="11" t="n">
        <v>98</v>
      </c>
      <c r="K90" s="11" t="n">
        <v>3.26666666666667</v>
      </c>
      <c r="L90" s="11" t="n">
        <v>0.67842423915863</v>
      </c>
      <c r="M90" s="11" t="n">
        <v>0.840000629425049</v>
      </c>
      <c r="N90" s="11" t="n">
        <v>0</v>
      </c>
      <c r="O90" s="11" t="n">
        <v>1.78547349144986</v>
      </c>
      <c r="P90" s="11" t="n">
        <v>1.81122712027665</v>
      </c>
      <c r="Q90" s="11" t="n">
        <v>0.522318562537571</v>
      </c>
      <c r="R90" s="11" t="n">
        <v>0.326530612244898</v>
      </c>
      <c r="S90" s="11" t="n">
        <v>0.36734693877551</v>
      </c>
      <c r="T90" s="11" t="n">
        <v>0.26530612244898</v>
      </c>
      <c r="U90" s="11" t="n">
        <v>0.204081632653061</v>
      </c>
      <c r="V90" s="11" t="n">
        <v>0.0510204081632653</v>
      </c>
      <c r="W90" s="11" t="n">
        <v>0.397959183673469</v>
      </c>
      <c r="X90" s="11" t="n">
        <v>0.102040816326531</v>
      </c>
      <c r="Y90" s="11" t="n">
        <v>0.142857142857143</v>
      </c>
      <c r="Z90" s="11" t="n">
        <v>0.193877551020408</v>
      </c>
      <c r="AA90" s="11" t="n">
        <v>0.255102040816326</v>
      </c>
      <c r="AB90" s="11" t="n">
        <v>0.204081632653061</v>
      </c>
      <c r="AC90" s="11" t="n">
        <v>-0.0117893379330814</v>
      </c>
      <c r="AD90" s="11" t="n">
        <v>-0.0734402567369096</v>
      </c>
      <c r="AE90" s="11" t="n">
        <v>0.75</v>
      </c>
      <c r="AF90" s="11" t="n">
        <v>0.660714285714286</v>
      </c>
      <c r="AG90" s="11" t="n">
        <v>0.553571428571429</v>
      </c>
      <c r="AH90" s="11" t="n">
        <v>0.295918367346939</v>
      </c>
      <c r="AI90" s="11" t="n">
        <v>0.255102040816326</v>
      </c>
      <c r="AJ90" s="11" t="n">
        <v>0.204081632653061</v>
      </c>
      <c r="AK90" s="11" t="n">
        <v>0.220074350984675</v>
      </c>
      <c r="AL90" s="11" t="n">
        <v>0</v>
      </c>
      <c r="AM90" s="11" t="n">
        <v>0</v>
      </c>
      <c r="AN90" s="11" t="n">
        <v>0</v>
      </c>
      <c r="AO90" s="11"/>
      <c r="AP90" s="11"/>
      <c r="AQ90" s="11"/>
      <c r="AR90" s="11" t="n">
        <v>0</v>
      </c>
      <c r="AS90" s="11" t="n">
        <v>0.102040816326531</v>
      </c>
      <c r="AT90" s="11" t="n">
        <v>0.0612244897959184</v>
      </c>
      <c r="AU90" s="11" t="n">
        <v>0.0612244897959184</v>
      </c>
      <c r="AV90" s="11" t="n">
        <v>0</v>
      </c>
      <c r="AW90" s="11" t="n">
        <v>0</v>
      </c>
      <c r="AX90" s="11" t="n">
        <v>0</v>
      </c>
      <c r="AY90" s="11" t="n">
        <v>0.0129052415437951</v>
      </c>
      <c r="AZ90" s="11" t="n">
        <v>0.0640006568275707</v>
      </c>
      <c r="BA90" s="11"/>
      <c r="BB90" s="11" t="n">
        <v>0</v>
      </c>
      <c r="BC90" s="11" t="n">
        <v>0.489795918367347</v>
      </c>
      <c r="BD90" s="11" t="n">
        <v>0.0204081632653061</v>
      </c>
      <c r="BE90" s="11" t="n">
        <v>0.5</v>
      </c>
      <c r="BF90" s="11" t="n">
        <v>0.0510204081632653</v>
      </c>
      <c r="BG90" s="11" t="n">
        <v>0.510204081632653</v>
      </c>
      <c r="BH90" s="11" t="n">
        <v>0.204081632653061</v>
      </c>
      <c r="BI90" s="11" t="n">
        <v>0.520408163265306</v>
      </c>
      <c r="BJ90" s="11" t="n">
        <v>0.301152544469782</v>
      </c>
      <c r="BK90" s="11" t="n">
        <v>0.120074954171677</v>
      </c>
      <c r="BL90" s="11" t="n">
        <v>0.347989200365892</v>
      </c>
      <c r="BM90" s="11" t="n">
        <v>0.0208722820413467</v>
      </c>
      <c r="BN90" s="11" t="n">
        <v>0.675801801399174</v>
      </c>
      <c r="BO90" s="11" t="n">
        <v>0.668854999387696</v>
      </c>
      <c r="BP90" s="11" t="n">
        <v>0.0557661813375496</v>
      </c>
      <c r="BQ90" s="11" t="n">
        <v>0.0416377325208428</v>
      </c>
      <c r="BR90" s="11" t="n">
        <v>4.81569294819114</v>
      </c>
      <c r="BS90" s="11" t="n">
        <v>25.2593076100526</v>
      </c>
      <c r="BT90" s="11" t="n">
        <v>25.730174047556</v>
      </c>
      <c r="BU90" s="11" t="n">
        <v>30.1152544469782</v>
      </c>
      <c r="BV90" s="11" t="n">
        <v>19.9383124821915</v>
      </c>
      <c r="BW90" s="11" t="n">
        <v>18.5021010410789</v>
      </c>
      <c r="BX90" s="11" t="n">
        <v>4.85066778849137</v>
      </c>
      <c r="BY90" s="11" t="n">
        <v>3.53571792698012</v>
      </c>
      <c r="BZ90" s="11" t="n">
        <v>0.469387755102041</v>
      </c>
      <c r="CA90" s="11" t="n">
        <v>0.717391304347826</v>
      </c>
      <c r="CB90" s="11" t="n">
        <v>0.195652173913043</v>
      </c>
      <c r="CC90" s="11" t="n">
        <v>0.282608695652174</v>
      </c>
      <c r="CD90" s="11" t="n">
        <v>0.391304347826087</v>
      </c>
      <c r="CE90" s="11" t="n">
        <v>0.530612244897959</v>
      </c>
      <c r="CF90" s="11" t="n">
        <v>5</v>
      </c>
      <c r="CG90" s="11" t="n">
        <v>6</v>
      </c>
      <c r="CH90" s="11" t="n">
        <v>0.75</v>
      </c>
      <c r="CI90" s="11" t="n">
        <v>0.269230769230769</v>
      </c>
      <c r="CJ90" s="11" t="n">
        <v>0.365384615384615</v>
      </c>
      <c r="CK90" s="11" t="n">
        <v>0.115384615384615</v>
      </c>
      <c r="CL90" s="11" t="n">
        <v>0.0192307692307692</v>
      </c>
      <c r="CM90" s="11" t="n">
        <v>0.0192307692307692</v>
      </c>
      <c r="CN90" s="11" t="n">
        <v>0.0192307692307692</v>
      </c>
      <c r="CO90" s="11" t="n">
        <v>0</v>
      </c>
      <c r="CP90" s="11" t="n">
        <v>0</v>
      </c>
      <c r="CQ90" s="11" t="n">
        <v>0</v>
      </c>
      <c r="CR90" s="11" t="n">
        <v>0</v>
      </c>
      <c r="CS90" s="11" t="n">
        <v>0</v>
      </c>
      <c r="CT90" s="11" t="n">
        <v>0</v>
      </c>
      <c r="CU90" s="11" t="n">
        <v>0</v>
      </c>
      <c r="CV90" s="11" t="n">
        <v>0</v>
      </c>
      <c r="CW90" s="11" t="n">
        <v>0.456521739130435</v>
      </c>
      <c r="CX90" s="11" t="n">
        <v>0.326086956521739</v>
      </c>
      <c r="CY90" s="11" t="n">
        <v>-0.0342476089509068</v>
      </c>
      <c r="CZ90" s="11" t="n">
        <v>-0.175244602762886</v>
      </c>
      <c r="DA90" s="11" t="n">
        <v>15.7691029453723</v>
      </c>
      <c r="DB90" s="11" t="n">
        <v>-0.0987114358528792</v>
      </c>
      <c r="DC90" s="11" t="n">
        <v>35.8613914000816</v>
      </c>
      <c r="DD90" s="11" t="n">
        <v>0.220252068013558</v>
      </c>
      <c r="DE90" s="11" t="n">
        <v>0.408163265306122</v>
      </c>
      <c r="DF90" s="11" t="n">
        <v>-0.102805282995187</v>
      </c>
      <c r="DG90" s="11" t="n">
        <v>-0.0954673087018813</v>
      </c>
      <c r="DH90" s="11" t="n">
        <v>-0.733797429330546</v>
      </c>
      <c r="DI90" s="11" t="n">
        <v>533.617335532187</v>
      </c>
      <c r="DJ90" s="11" t="n">
        <v>134.007485402437</v>
      </c>
      <c r="DK90" s="11" t="n">
        <v>9.9880539241869</v>
      </c>
      <c r="DL90" s="11" t="n">
        <v>49.05</v>
      </c>
      <c r="DM90" s="11" t="n">
        <v>0.408163265306122</v>
      </c>
      <c r="DN90" s="11" t="n">
        <v>0.275510204081633</v>
      </c>
      <c r="DO90" s="11" t="n">
        <v>-0.0103510392005066</v>
      </c>
      <c r="DP90" s="11" t="n">
        <v>0.0510204081632653</v>
      </c>
      <c r="DQ90" s="11" t="n">
        <v>0.193877551020408</v>
      </c>
      <c r="DR90" s="11" t="n">
        <v>0.183673469387755</v>
      </c>
      <c r="DS90" s="11" t="n">
        <v>0.173469387755102</v>
      </c>
      <c r="DT90" s="11" t="n">
        <v>0.0918367346938776</v>
      </c>
      <c r="DU90" s="11" t="n">
        <v>0.0510204081632653</v>
      </c>
      <c r="DV90" s="11" t="n">
        <v>5</v>
      </c>
      <c r="DW90" s="11" t="s">
        <v>690</v>
      </c>
      <c r="DX90" s="11" t="n">
        <v>0.195506</v>
      </c>
      <c r="DY90" s="11" t="n">
        <v>-0.0473408316278159</v>
      </c>
      <c r="DZ90" s="11" t="n">
        <v>0.438352831627816</v>
      </c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 t="n">
        <v>11.5894738386137</v>
      </c>
      <c r="EP90" s="11" t="n">
        <v>112.438222769146</v>
      </c>
      <c r="EQ90" s="11" t="n">
        <v>2701.4853235474</v>
      </c>
      <c r="ER90" s="11" t="n">
        <v>4.7014692581774</v>
      </c>
      <c r="ES90" s="11" t="n">
        <v>4.7014692581774</v>
      </c>
      <c r="ET90" s="11" t="n">
        <v>3.44385773718448</v>
      </c>
      <c r="EU90" s="11" t="n">
        <v>61.898065613415</v>
      </c>
      <c r="EV90" s="11" t="n">
        <v>61.898065613415</v>
      </c>
      <c r="EW90" s="11" t="n">
        <v>847.329268559145</v>
      </c>
      <c r="EX90" s="11" t="n">
        <v>993.461191361489</v>
      </c>
      <c r="EY90" s="11" t="n">
        <v>3.75412722028289</v>
      </c>
      <c r="EZ90" s="11" t="n">
        <v>0.321395541007706</v>
      </c>
      <c r="FA90" s="11" t="n">
        <v>0.0496566204222063</v>
      </c>
      <c r="FB90" s="11" t="n">
        <v>0.591836734693878</v>
      </c>
      <c r="FC90" s="11" t="n">
        <v>0</v>
      </c>
      <c r="FD90" s="11" t="n">
        <v>0</v>
      </c>
      <c r="FE90" s="11" t="s">
        <v>574</v>
      </c>
      <c r="FF90" s="11" t="s">
        <v>339</v>
      </c>
      <c r="FG90" s="11" t="n">
        <v>98</v>
      </c>
      <c r="FH90" s="11" t="s">
        <v>575</v>
      </c>
      <c r="FI90" s="11" t="s">
        <v>59</v>
      </c>
      <c r="FJ90" s="11" t="n">
        <v>0.2</v>
      </c>
      <c r="FK90" s="11" t="n">
        <v>0.252233911278048</v>
      </c>
      <c r="FL90" s="11" t="n">
        <v>0.162523330748775</v>
      </c>
      <c r="FM90" s="11" t="n">
        <v>0.0280612244897959</v>
      </c>
      <c r="FN90" s="11" t="n">
        <v>1</v>
      </c>
      <c r="FO90" s="11" t="n">
        <v>1.39346548050235</v>
      </c>
      <c r="FP90" s="11" t="n">
        <v>1.08047545472733</v>
      </c>
      <c r="FQ90" s="11" t="n">
        <v>0.278061224489796</v>
      </c>
      <c r="FR90" s="11" t="n">
        <v>0</v>
      </c>
      <c r="FS90" s="11" t="n">
        <v>1.39123683590705</v>
      </c>
      <c r="FT90" s="11" t="n">
        <v>1.08045398905574</v>
      </c>
      <c r="FU90" s="11" t="n">
        <v>1</v>
      </c>
      <c r="FV90" s="11" t="n">
        <v>18.0636887327486</v>
      </c>
      <c r="FW90" s="11" t="n">
        <v>551.41023676954</v>
      </c>
      <c r="FX90" s="11" t="n">
        <v>0.0371908656730733</v>
      </c>
      <c r="FY90" s="11" t="n">
        <v>1</v>
      </c>
      <c r="FZ90" s="11" t="n">
        <v>31</v>
      </c>
      <c r="GA90" s="11" t="n">
        <v>1</v>
      </c>
      <c r="GB90" s="11" t="s">
        <v>576</v>
      </c>
      <c r="GC90" s="11" t="n">
        <v>0.510182283362564</v>
      </c>
      <c r="GD90" s="11" t="n">
        <v>0.531429368622449</v>
      </c>
      <c r="GE90" s="11" t="n">
        <v>0.52533513488134</v>
      </c>
      <c r="GF90" s="11" t="n">
        <v>0.539015607300157</v>
      </c>
      <c r="GG90" s="11" t="n">
        <v>0.370535714285714</v>
      </c>
      <c r="GH90" s="11" t="n">
        <v>0.387755102040816</v>
      </c>
      <c r="GI90" s="11" t="n">
        <v>0.0164117281436825</v>
      </c>
      <c r="GJ90" s="11" t="n">
        <v>0.0277129783941319</v>
      </c>
      <c r="GK90" s="11" t="n">
        <v>0.026931926256501</v>
      </c>
      <c r="GL90" s="11" t="n">
        <v>0.0323361737786659</v>
      </c>
      <c r="GM90" s="11" t="n">
        <v>0.114094557258209</v>
      </c>
      <c r="GN90" s="11" t="n">
        <v>0.113370730631928</v>
      </c>
      <c r="GO90" s="11" t="n">
        <v>0.501913265306122</v>
      </c>
      <c r="GP90" s="11" t="n">
        <v>0.520408163265306</v>
      </c>
      <c r="GQ90" s="11" t="n">
        <v>-0.10687779635191</v>
      </c>
      <c r="GR90" s="11" t="n">
        <v>0</v>
      </c>
      <c r="GS90" s="11" t="n">
        <v>1</v>
      </c>
      <c r="GT90" s="11" t="n">
        <v>0</v>
      </c>
      <c r="GU90" s="11" t="n">
        <v>0</v>
      </c>
      <c r="GV90" s="11" t="n">
        <v>1</v>
      </c>
      <c r="GW90" s="11" t="n">
        <v>1</v>
      </c>
      <c r="GX90" s="11" t="n">
        <v>1</v>
      </c>
      <c r="GY90" s="11" t="n">
        <v>1</v>
      </c>
      <c r="GZ90" s="11" t="n">
        <v>1</v>
      </c>
      <c r="HA90" s="11" t="n">
        <v>1</v>
      </c>
      <c r="HB90" s="11" t="n">
        <v>0</v>
      </c>
      <c r="HC90" s="11" t="n">
        <v>1</v>
      </c>
      <c r="HD90" s="11" t="n">
        <v>0</v>
      </c>
      <c r="HE90" s="11" t="n">
        <v>0</v>
      </c>
      <c r="HF90" s="11" t="n">
        <v>1</v>
      </c>
      <c r="HG90" s="11" t="n">
        <v>1</v>
      </c>
      <c r="HH90" s="11" t="n">
        <v>1</v>
      </c>
      <c r="HI90" s="11" t="n">
        <v>0</v>
      </c>
      <c r="HJ90" s="11" t="n">
        <v>0</v>
      </c>
      <c r="HK90" s="11" t="s">
        <v>721</v>
      </c>
      <c r="HL90" s="11" t="s">
        <v>577</v>
      </c>
      <c r="HM90" s="11" t="n">
        <v>1</v>
      </c>
      <c r="HN90" s="11" t="s">
        <v>1037</v>
      </c>
      <c r="HO90" s="11" t="s">
        <v>1038</v>
      </c>
      <c r="HP90" s="11" t="s">
        <v>1038</v>
      </c>
      <c r="HQ90" s="11" t="n">
        <v>0</v>
      </c>
      <c r="HR90" s="11" t="s">
        <v>189</v>
      </c>
      <c r="HS90" s="11" t="s">
        <v>300</v>
      </c>
      <c r="HT90" s="11" t="s">
        <v>300</v>
      </c>
      <c r="HU90" s="11" t="s">
        <v>1181</v>
      </c>
      <c r="HV90" s="11" t="s">
        <v>1181</v>
      </c>
      <c r="HW90" s="11" t="s">
        <v>1016</v>
      </c>
      <c r="HX90" s="11" t="s">
        <v>1008</v>
      </c>
      <c r="HY90" s="11" t="s">
        <v>583</v>
      </c>
      <c r="HZ90" s="11" t="s">
        <v>1182</v>
      </c>
      <c r="IA90" s="11" t="s">
        <v>1180</v>
      </c>
      <c r="IB90" s="11" t="s">
        <v>1183</v>
      </c>
      <c r="IC90" s="11" t="s">
        <v>339</v>
      </c>
      <c r="ID90" s="11" t="s">
        <v>1011</v>
      </c>
      <c r="IE90" s="11" t="s">
        <v>198</v>
      </c>
      <c r="IF90" s="11" t="s">
        <v>191</v>
      </c>
      <c r="IG90" s="11" t="s">
        <v>237</v>
      </c>
      <c r="IH90" s="11" t="s">
        <v>1048</v>
      </c>
    </row>
    <row r="91" customFormat="false" ht="15" hidden="false" customHeight="false" outlineLevel="0" collapsed="false">
      <c r="A91" s="11" t="s">
        <v>112</v>
      </c>
      <c r="B91" s="11" t="s">
        <v>1184</v>
      </c>
      <c r="C91" s="11" t="s">
        <v>1035</v>
      </c>
      <c r="D91" s="11" t="s">
        <v>570</v>
      </c>
      <c r="E91" s="11" t="s">
        <v>91</v>
      </c>
      <c r="F91" s="11"/>
      <c r="G91" s="11"/>
      <c r="H91" s="11" t="s">
        <v>1185</v>
      </c>
      <c r="I91" s="11" t="s">
        <v>343</v>
      </c>
      <c r="J91" s="11" t="n">
        <v>110</v>
      </c>
      <c r="K91" s="11" t="n">
        <v>3.66666666666667</v>
      </c>
      <c r="L91" s="11" t="n">
        <v>0.603311836719513</v>
      </c>
      <c r="M91" s="11" t="n">
        <v>0.773935616016388</v>
      </c>
      <c r="N91" s="11" t="n">
        <v>0</v>
      </c>
      <c r="O91" s="11" t="n">
        <v>0.898823641785563</v>
      </c>
      <c r="P91" s="11" t="n">
        <v>0.859282774929047</v>
      </c>
      <c r="Q91" s="11" t="n">
        <v>0.453145442358779</v>
      </c>
      <c r="R91" s="11" t="n">
        <v>0.118181818181818</v>
      </c>
      <c r="S91" s="11" t="n">
        <v>0.263636363636364</v>
      </c>
      <c r="T91" s="11" t="n">
        <v>0.0363636363636364</v>
      </c>
      <c r="U91" s="11" t="n">
        <v>0</v>
      </c>
      <c r="V91" s="11" t="n">
        <v>0</v>
      </c>
      <c r="W91" s="11" t="n">
        <v>0.427272727272727</v>
      </c>
      <c r="X91" s="11" t="n">
        <v>0.245454545454545</v>
      </c>
      <c r="Y91" s="11" t="n">
        <v>0.281818181818182</v>
      </c>
      <c r="Z91" s="11" t="n">
        <v>0.336363636363636</v>
      </c>
      <c r="AA91" s="11" t="n">
        <v>0.145454545454545</v>
      </c>
      <c r="AB91" s="11" t="n">
        <v>0.0909090909090909</v>
      </c>
      <c r="AC91" s="11" t="n">
        <v>-0.00220006942170486</v>
      </c>
      <c r="AD91" s="11" t="n">
        <v>-0.0070868980031106</v>
      </c>
      <c r="AE91" s="11" t="n">
        <v>0.349206349206349</v>
      </c>
      <c r="AF91" s="11" t="n">
        <v>0.26984126984127</v>
      </c>
      <c r="AG91" s="11" t="n">
        <v>0.158730158730159</v>
      </c>
      <c r="AH91" s="11" t="n">
        <v>0.181818181818182</v>
      </c>
      <c r="AI91" s="11" t="n">
        <v>0.145454545454545</v>
      </c>
      <c r="AJ91" s="11" t="n">
        <v>0.0909090909090909</v>
      </c>
      <c r="AK91" s="11" t="n">
        <v>0.114508993718636</v>
      </c>
      <c r="AL91" s="11" t="n">
        <v>0</v>
      </c>
      <c r="AM91" s="11" t="n">
        <v>0</v>
      </c>
      <c r="AN91" s="11" t="n">
        <v>0</v>
      </c>
      <c r="AO91" s="11"/>
      <c r="AP91" s="11"/>
      <c r="AQ91" s="11"/>
      <c r="AR91" s="11" t="n">
        <v>0</v>
      </c>
      <c r="AS91" s="11" t="n">
        <v>0.0636363636363636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0.00745132334945317</v>
      </c>
      <c r="AZ91" s="11" t="n">
        <v>0.0213088731358382</v>
      </c>
      <c r="BA91" s="11"/>
      <c r="BB91" s="11" t="n">
        <v>0.0818181818181818</v>
      </c>
      <c r="BC91" s="11" t="n">
        <v>0.590909090909091</v>
      </c>
      <c r="BD91" s="11" t="n">
        <v>0.154545454545455</v>
      </c>
      <c r="BE91" s="11" t="n">
        <v>0.590909090909091</v>
      </c>
      <c r="BF91" s="11" t="n">
        <v>0.463636363636364</v>
      </c>
      <c r="BG91" s="11" t="n">
        <v>0.6</v>
      </c>
      <c r="BH91" s="11" t="n">
        <v>0.554545454545455</v>
      </c>
      <c r="BI91" s="11" t="n">
        <v>0.618181818181818</v>
      </c>
      <c r="BJ91" s="11" t="n">
        <v>0.0939250653439287</v>
      </c>
      <c r="BK91" s="11" t="n">
        <v>0.00812111230286969</v>
      </c>
      <c r="BL91" s="11" t="n">
        <v>0.120230345139365</v>
      </c>
      <c r="BM91" s="11" t="n">
        <v>0.0131589990210523</v>
      </c>
      <c r="BN91" s="11" t="n">
        <v>0.476953177662434</v>
      </c>
      <c r="BO91" s="11" t="n">
        <v>0.0990185058791571</v>
      </c>
      <c r="BP91" s="11" t="n">
        <v>0.0128573213777851</v>
      </c>
      <c r="BQ91" s="11" t="n">
        <v>0.00513905252901886</v>
      </c>
      <c r="BR91" s="11" t="n">
        <v>3.81303262587652</v>
      </c>
      <c r="BS91" s="11" t="n">
        <v>9.40552775577205</v>
      </c>
      <c r="BT91" s="11" t="n">
        <v>16.9396589741585</v>
      </c>
      <c r="BU91" s="11" t="n">
        <v>9.39250653439287</v>
      </c>
      <c r="BV91" s="11" t="n">
        <v>6.88869134588591</v>
      </c>
      <c r="BW91" s="11" t="n">
        <v>8.28640690324966</v>
      </c>
      <c r="BX91" s="11" t="n">
        <v>3.59717120250694</v>
      </c>
      <c r="BY91" s="11" t="n">
        <v>6.05852467697294</v>
      </c>
      <c r="BZ91" s="11" t="n">
        <v>0.563636363636364</v>
      </c>
      <c r="CA91" s="11" t="n">
        <v>0.758064516129032</v>
      </c>
      <c r="CB91" s="11" t="n">
        <v>0.435483870967742</v>
      </c>
      <c r="CC91" s="11" t="n">
        <v>0.5</v>
      </c>
      <c r="CD91" s="11" t="n">
        <v>0.596774193548387</v>
      </c>
      <c r="CE91" s="11" t="n">
        <v>0.563636363636364</v>
      </c>
      <c r="CF91" s="11" t="n">
        <v>5</v>
      </c>
      <c r="CG91" s="11" t="n">
        <v>0</v>
      </c>
      <c r="CH91" s="11" t="n">
        <v>0.758064516129032</v>
      </c>
      <c r="CI91" s="11" t="n">
        <v>0.5</v>
      </c>
      <c r="CJ91" s="11" t="n">
        <v>0.596774193548387</v>
      </c>
      <c r="CK91" s="11" t="n">
        <v>0</v>
      </c>
      <c r="CL91" s="11" t="n">
        <v>0</v>
      </c>
      <c r="CM91" s="11" t="n">
        <v>0</v>
      </c>
      <c r="CN91" s="11" t="n">
        <v>0</v>
      </c>
      <c r="CO91" s="11" t="n">
        <v>0</v>
      </c>
      <c r="CP91" s="11" t="n">
        <v>0</v>
      </c>
      <c r="CQ91" s="11" t="n">
        <v>0</v>
      </c>
      <c r="CR91" s="11" t="n">
        <v>0</v>
      </c>
      <c r="CS91" s="11" t="n">
        <v>0</v>
      </c>
      <c r="CT91" s="11" t="n">
        <v>0</v>
      </c>
      <c r="CU91" s="11" t="n">
        <v>0</v>
      </c>
      <c r="CV91" s="11" t="n">
        <v>0</v>
      </c>
      <c r="CW91" s="11" t="n">
        <v>0.0645161290322581</v>
      </c>
      <c r="CX91" s="11" t="n">
        <v>0</v>
      </c>
      <c r="CY91" s="11" t="n">
        <v>-0.00252748315137048</v>
      </c>
      <c r="CZ91" s="11" t="n">
        <v>-0.0774716642967923</v>
      </c>
      <c r="DA91" s="11" t="n">
        <v>6.51705061491582</v>
      </c>
      <c r="DB91" s="11" t="n">
        <v>-0.0296518527485277</v>
      </c>
      <c r="DC91" s="11" t="n">
        <v>13.7063363869351</v>
      </c>
      <c r="DD91" s="11" t="n">
        <v>0.31293554293373</v>
      </c>
      <c r="DE91" s="11" t="n">
        <v>0.409090909090909</v>
      </c>
      <c r="DF91" s="11" t="n">
        <v>-0.0212957887764035</v>
      </c>
      <c r="DG91" s="11" t="n">
        <v>-0.0265500314803446</v>
      </c>
      <c r="DH91" s="11" t="n">
        <v>0.525424270394112</v>
      </c>
      <c r="DI91" s="11" t="n">
        <v>122.603007075129</v>
      </c>
      <c r="DJ91" s="11" t="n">
        <v>93.6154257290567</v>
      </c>
      <c r="DK91" s="11" t="n">
        <v>11.1884082170513</v>
      </c>
      <c r="DL91" s="11" t="n">
        <v>49.05</v>
      </c>
      <c r="DM91" s="11" t="n">
        <v>0.5</v>
      </c>
      <c r="DN91" s="11" t="n">
        <v>0.118181818181818</v>
      </c>
      <c r="DO91" s="11" t="n">
        <v>-0.00711678120302414</v>
      </c>
      <c r="DP91" s="11" t="n">
        <v>0</v>
      </c>
      <c r="DQ91" s="11" t="n">
        <v>0</v>
      </c>
      <c r="DR91" s="11" t="n">
        <v>0</v>
      </c>
      <c r="DS91" s="11" t="n">
        <v>0</v>
      </c>
      <c r="DT91" s="11" t="n">
        <v>0</v>
      </c>
      <c r="DU91" s="11" t="n">
        <v>0</v>
      </c>
      <c r="DV91" s="11" t="n">
        <v>5</v>
      </c>
      <c r="DW91" s="11" t="s">
        <v>690</v>
      </c>
      <c r="DX91" s="11" t="n">
        <v>0.195506</v>
      </c>
      <c r="DY91" s="11" t="n">
        <v>0.158697195869243</v>
      </c>
      <c r="DZ91" s="11" t="n">
        <v>0.232314804130757</v>
      </c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 t="n">
        <v>11.3278408502901</v>
      </c>
      <c r="EP91" s="11" t="n">
        <v>85.2737234480412</v>
      </c>
      <c r="EQ91" s="11" t="n">
        <v>1903.96180445788</v>
      </c>
      <c r="ER91" s="11" t="n">
        <v>3.55758127550572</v>
      </c>
      <c r="ES91" s="11" t="n">
        <v>3.55758127550572</v>
      </c>
      <c r="ET91" s="11" t="n">
        <v>1.8743021001911</v>
      </c>
      <c r="EU91" s="11" t="n">
        <v>34.2469385694966</v>
      </c>
      <c r="EV91" s="11" t="n">
        <v>34.2469385694966</v>
      </c>
      <c r="EW91" s="11" t="n">
        <v>454.641812435175</v>
      </c>
      <c r="EX91" s="11" t="n">
        <v>552.235117387783</v>
      </c>
      <c r="EY91" s="11" t="n">
        <v>1.28189655365736</v>
      </c>
      <c r="EZ91" s="11" t="n">
        <v>0.917936738792311</v>
      </c>
      <c r="FA91" s="11" t="n">
        <v>0.0491856013417025</v>
      </c>
      <c r="FB91" s="11" t="n">
        <v>1</v>
      </c>
      <c r="FC91" s="11" t="n">
        <v>0</v>
      </c>
      <c r="FD91" s="11" t="n">
        <v>0</v>
      </c>
      <c r="FE91" s="11" t="s">
        <v>574</v>
      </c>
      <c r="FF91" s="11" t="s">
        <v>344</v>
      </c>
      <c r="FG91" s="11" t="n">
        <v>110</v>
      </c>
      <c r="FH91" s="11" t="s">
        <v>575</v>
      </c>
      <c r="FI91" s="11" t="s">
        <v>59</v>
      </c>
      <c r="FJ91" s="11" t="n">
        <v>0.2</v>
      </c>
      <c r="FK91" s="11" t="n">
        <v>0.17274306506404</v>
      </c>
      <c r="FL91" s="11" t="n">
        <v>0.10915987416074</v>
      </c>
      <c r="FM91" s="11" t="n">
        <v>0</v>
      </c>
      <c r="FN91" s="11" t="n">
        <v>1</v>
      </c>
      <c r="FO91" s="11" t="n">
        <v>0.479243248155315</v>
      </c>
      <c r="FP91" s="11" t="n">
        <v>0.332731529530203</v>
      </c>
      <c r="FQ91" s="11" t="n">
        <v>0.0681818181818182</v>
      </c>
      <c r="FR91" s="11" t="n">
        <v>0</v>
      </c>
      <c r="FS91" s="11" t="n">
        <v>0.478596938424895</v>
      </c>
      <c r="FT91" s="11" t="n">
        <v>0.331537492931679</v>
      </c>
      <c r="FU91" s="11" t="n">
        <v>1</v>
      </c>
      <c r="FV91" s="11" t="n">
        <v>9.72175564188984</v>
      </c>
      <c r="FW91" s="11" t="n">
        <v>232.666018566535</v>
      </c>
      <c r="FX91" s="11" t="n">
        <v>0.0289368070474751</v>
      </c>
      <c r="FY91" s="11" t="n">
        <v>1</v>
      </c>
      <c r="FZ91" s="11" t="n">
        <v>31</v>
      </c>
      <c r="GA91" s="11" t="n">
        <v>1</v>
      </c>
      <c r="GB91" s="11" t="s">
        <v>576</v>
      </c>
      <c r="GC91" s="11" t="n">
        <v>0.918794111772017</v>
      </c>
      <c r="GD91" s="11" t="n">
        <v>0.927272727272727</v>
      </c>
      <c r="GE91" s="11" t="n">
        <v>0.927161319077343</v>
      </c>
      <c r="GF91" s="11" t="n">
        <v>0.927272727272727</v>
      </c>
      <c r="GG91" s="11" t="n">
        <v>0.0170454545454545</v>
      </c>
      <c r="GH91" s="11" t="n">
        <v>0.0181818181818182</v>
      </c>
      <c r="GI91" s="11" t="n">
        <v>0.0200389939049439</v>
      </c>
      <c r="GJ91" s="11" t="n">
        <v>0.0322380279783498</v>
      </c>
      <c r="GK91" s="11" t="n">
        <v>0.0293185721944646</v>
      </c>
      <c r="GL91" s="11" t="n">
        <v>0.0355246745790778</v>
      </c>
      <c r="GM91" s="11" t="n">
        <v>0.00287631653512428</v>
      </c>
      <c r="GN91" s="11" t="n">
        <v>0.00164332538843155</v>
      </c>
      <c r="GO91" s="11" t="n">
        <v>0.926420454545455</v>
      </c>
      <c r="GP91" s="11" t="n">
        <v>0.927272727272727</v>
      </c>
      <c r="GQ91" s="11" t="n">
        <v>-0.030680600553751</v>
      </c>
      <c r="GR91" s="11" t="n">
        <v>1</v>
      </c>
      <c r="GS91" s="11" t="n">
        <v>1</v>
      </c>
      <c r="GT91" s="11" t="n">
        <v>0</v>
      </c>
      <c r="GU91" s="11" t="n">
        <v>0</v>
      </c>
      <c r="GV91" s="11" t="n">
        <v>1</v>
      </c>
      <c r="GW91" s="11" t="n">
        <v>1</v>
      </c>
      <c r="GX91" s="11" t="n">
        <v>1</v>
      </c>
      <c r="GY91" s="11" t="n">
        <v>1</v>
      </c>
      <c r="GZ91" s="11" t="n">
        <v>1</v>
      </c>
      <c r="HA91" s="11" t="n">
        <v>1</v>
      </c>
      <c r="HB91" s="11" t="n">
        <v>1</v>
      </c>
      <c r="HC91" s="11" t="n">
        <v>1</v>
      </c>
      <c r="HD91" s="11" t="n">
        <v>1</v>
      </c>
      <c r="HE91" s="11" t="n">
        <v>1</v>
      </c>
      <c r="HF91" s="11" t="n">
        <v>1</v>
      </c>
      <c r="HG91" s="11" t="n">
        <v>1</v>
      </c>
      <c r="HH91" s="11" t="n">
        <v>1</v>
      </c>
      <c r="HI91" s="11" t="n">
        <v>1</v>
      </c>
      <c r="HJ91" s="11" t="n">
        <v>1</v>
      </c>
      <c r="HK91" s="11"/>
      <c r="HL91" s="11" t="s">
        <v>577</v>
      </c>
      <c r="HM91" s="11" t="n">
        <v>1</v>
      </c>
      <c r="HN91" s="11" t="s">
        <v>1037</v>
      </c>
      <c r="HO91" s="11" t="s">
        <v>1038</v>
      </c>
      <c r="HP91" s="11" t="s">
        <v>1038</v>
      </c>
      <c r="HQ91" s="11" t="n">
        <v>0</v>
      </c>
      <c r="HR91" s="11" t="s">
        <v>189</v>
      </c>
      <c r="HS91" s="11" t="s">
        <v>300</v>
      </c>
      <c r="HT91" s="11" t="s">
        <v>300</v>
      </c>
      <c r="HU91" s="11" t="s">
        <v>1186</v>
      </c>
      <c r="HV91" s="11" t="s">
        <v>1186</v>
      </c>
      <c r="HW91" s="11" t="s">
        <v>1031</v>
      </c>
      <c r="HX91" s="11" t="s">
        <v>1024</v>
      </c>
      <c r="HY91" s="11" t="s">
        <v>583</v>
      </c>
      <c r="HZ91" s="11" t="s">
        <v>1187</v>
      </c>
      <c r="IA91" s="11" t="s">
        <v>1185</v>
      </c>
      <c r="IB91" s="11" t="s">
        <v>1188</v>
      </c>
      <c r="IC91" s="11" t="s">
        <v>344</v>
      </c>
      <c r="ID91" s="11" t="s">
        <v>1027</v>
      </c>
      <c r="IE91" s="11" t="s">
        <v>198</v>
      </c>
      <c r="IF91" s="11" t="s">
        <v>191</v>
      </c>
      <c r="IG91" s="11" t="s">
        <v>237</v>
      </c>
      <c r="IH91" s="11" t="s">
        <v>1048</v>
      </c>
    </row>
  </sheetData>
  <autoFilter ref="A4:IH91"/>
  <mergeCells count="2">
    <mergeCell ref="A1:IH1"/>
    <mergeCell ref="A2:I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2026-08-12T09:18:01Z</dcterms:created>
  <dc:creator>openpyxl</dc:creator>
  <dc:description/>
  <dc:language>en-US</dc:language>
  <cp:lastModifiedBy/>
  <dcterms:modified xsi:type="dcterms:W3CDTF">2026-08-12T09:18:02Z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